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edityle.Davhana\Downloads\Python\Revenue and Fleet Count\October\"/>
    </mc:Choice>
  </mc:AlternateContent>
  <xr:revisionPtr revIDLastSave="0" documentId="8_{8B24C7C6-788B-4910-9CE3-A99D5A00F52F}" xr6:coauthVersionLast="47" xr6:coauthVersionMax="47" xr10:uidLastSave="{00000000-0000-0000-0000-000000000000}"/>
  <bookViews>
    <workbookView xWindow="-28910" yWindow="970" windowWidth="29020" windowHeight="15700" firstSheet="8" activeTab="18" xr2:uid="{00000000-000D-0000-FFFF-FFFF00000000}"/>
  </bookViews>
  <sheets>
    <sheet name="BOT" sheetId="1" r:id="rId1"/>
    <sheet name="GHA" sheetId="2" r:id="rId2"/>
    <sheet name="GHC" sheetId="3" r:id="rId3"/>
    <sheet name="LES" sheetId="4" r:id="rId4"/>
    <sheet name="MOZ" sheetId="5" r:id="rId5"/>
    <sheet name="NAM" sheetId="6" r:id="rId6"/>
    <sheet name="Inland" sheetId="7" r:id="rId7"/>
    <sheet name="Central &amp; Commercial" sheetId="8" r:id="rId8"/>
    <sheet name="Calculations" sheetId="19" r:id="rId9"/>
    <sheet name="Sheet1" sheetId="18" state="hidden" r:id="rId10"/>
    <sheet name="Coastal" sheetId="9" r:id="rId11"/>
    <sheet name="Public Sector_x000a_" sheetId="10" r:id="rId12"/>
    <sheet name="Legal" sheetId="11" r:id="rId13"/>
    <sheet name="Company Cars" sheetId="12" r:id="rId14"/>
    <sheet name="iLease" sheetId="13" r:id="rId15"/>
    <sheet name="ZAM" sheetId="14" r:id="rId16"/>
    <sheet name="ZMK" sheetId="15" r:id="rId17"/>
    <sheet name="Summary" sheetId="16" r:id="rId18"/>
    <sheet name="Summary ZAR" sheetId="17" r:id="rId19"/>
  </sheets>
  <externalReferences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0" i="17" l="1"/>
  <c r="P128" i="17"/>
  <c r="X128" i="17"/>
  <c r="Y128" i="17"/>
  <c r="Q150" i="17"/>
  <c r="Q128" i="17"/>
  <c r="Q153" i="17"/>
  <c r="Q134" i="17"/>
  <c r="R151" i="17"/>
  <c r="R150" i="17"/>
  <c r="R128" i="17"/>
  <c r="Q154" i="17"/>
  <c r="R115" i="17"/>
  <c r="R114" i="17" l="1"/>
  <c r="I121" i="17" s="1"/>
  <c r="R113" i="17"/>
  <c r="I119" i="17" s="1"/>
  <c r="R112" i="17"/>
  <c r="I116" i="17" s="1"/>
  <c r="R111" i="17"/>
  <c r="I120" i="17" s="1"/>
  <c r="R110" i="17"/>
  <c r="I122" i="17" s="1"/>
  <c r="R109" i="17"/>
  <c r="I115" i="17" s="1"/>
  <c r="R108" i="17"/>
  <c r="O104" i="17"/>
  <c r="I117" i="17" l="1"/>
  <c r="I123" i="17"/>
  <c r="I114" i="17"/>
  <c r="I113" i="17"/>
  <c r="I118" i="17"/>
  <c r="N124" i="17" l="1"/>
  <c r="C16" i="19" l="1"/>
  <c r="K28" i="19"/>
  <c r="K26" i="19"/>
  <c r="K24" i="19"/>
  <c r="K23" i="19"/>
  <c r="F23" i="19"/>
  <c r="CX21" i="19"/>
  <c r="CW21" i="19"/>
  <c r="BI21" i="19"/>
  <c r="BQ21" i="19" s="1"/>
  <c r="BY21" i="19" s="1"/>
  <c r="CG21" i="19" s="1"/>
  <c r="CO21" i="19" s="1"/>
  <c r="AK21" i="19"/>
  <c r="E21" i="19"/>
  <c r="D21" i="19"/>
  <c r="CW20" i="19"/>
  <c r="CX20" i="19" s="1"/>
  <c r="CG20" i="19"/>
  <c r="CO20" i="19" s="1"/>
  <c r="BQ20" i="19"/>
  <c r="BY20" i="19" s="1"/>
  <c r="BI20" i="19"/>
  <c r="AK20" i="19"/>
  <c r="E20" i="19"/>
  <c r="D20" i="19"/>
  <c r="CY19" i="19"/>
  <c r="Q19" i="19"/>
  <c r="CY17" i="19"/>
  <c r="CW17" i="19"/>
  <c r="CX17" i="19" s="1"/>
  <c r="BY17" i="19"/>
  <c r="CG17" i="19" s="1"/>
  <c r="CO17" i="19" s="1"/>
  <c r="AK17" i="19"/>
  <c r="AS17" i="19" s="1"/>
  <c r="BA17" i="19" s="1"/>
  <c r="BI17" i="19" s="1"/>
  <c r="BQ17" i="19" s="1"/>
  <c r="AC17" i="19"/>
  <c r="Q17" i="19"/>
  <c r="E17" i="19"/>
  <c r="C17" i="19"/>
  <c r="CY16" i="19"/>
  <c r="CX16" i="19"/>
  <c r="CW16" i="19"/>
  <c r="BY16" i="19"/>
  <c r="CG16" i="19" s="1"/>
  <c r="CO16" i="19" s="1"/>
  <c r="BI16" i="19"/>
  <c r="BQ16" i="19" s="1"/>
  <c r="AC16" i="19"/>
  <c r="AK16" i="19" s="1"/>
  <c r="AS16" i="19" s="1"/>
  <c r="BA16" i="19" s="1"/>
  <c r="Q16" i="19"/>
  <c r="E16" i="19"/>
  <c r="CY15" i="19"/>
  <c r="CW15" i="19"/>
  <c r="CX15" i="19" s="1"/>
  <c r="AC15" i="19"/>
  <c r="AK15" i="19" s="1"/>
  <c r="AS15" i="19" s="1"/>
  <c r="BA15" i="19" s="1"/>
  <c r="BI15" i="19" s="1"/>
  <c r="BQ15" i="19" s="1"/>
  <c r="BY15" i="19" s="1"/>
  <c r="CG15" i="19" s="1"/>
  <c r="CO15" i="19" s="1"/>
  <c r="Q15" i="19"/>
  <c r="E15" i="19"/>
  <c r="C15" i="19"/>
  <c r="CY14" i="19"/>
  <c r="CX14" i="19"/>
  <c r="CW14" i="19"/>
  <c r="AK14" i="19"/>
  <c r="AS14" i="19" s="1"/>
  <c r="BA14" i="19" s="1"/>
  <c r="BI14" i="19" s="1"/>
  <c r="BQ14" i="19" s="1"/>
  <c r="BY14" i="19" s="1"/>
  <c r="CG14" i="19" s="1"/>
  <c r="CO14" i="19" s="1"/>
  <c r="AC14" i="19"/>
  <c r="Q14" i="19"/>
  <c r="E14" i="19"/>
  <c r="C14" i="19"/>
  <c r="CY12" i="19"/>
  <c r="CW12" i="19"/>
  <c r="CX12" i="19" s="1"/>
  <c r="AK12" i="19"/>
  <c r="AS12" i="19" s="1"/>
  <c r="BA12" i="19" s="1"/>
  <c r="BI12" i="19" s="1"/>
  <c r="BQ12" i="19" s="1"/>
  <c r="BY12" i="19" s="1"/>
  <c r="CG12" i="19" s="1"/>
  <c r="CO12" i="19" s="1"/>
  <c r="AC12" i="19"/>
  <c r="Q12" i="19"/>
  <c r="E12" i="19"/>
  <c r="CY11" i="19"/>
  <c r="CW11" i="19"/>
  <c r="CX11" i="19" s="1"/>
  <c r="AK11" i="19"/>
  <c r="AS11" i="19" s="1"/>
  <c r="BA11" i="19" s="1"/>
  <c r="BI11" i="19" s="1"/>
  <c r="BQ11" i="19" s="1"/>
  <c r="BY11" i="19" s="1"/>
  <c r="CG11" i="19" s="1"/>
  <c r="CO11" i="19" s="1"/>
  <c r="AC11" i="19"/>
  <c r="Q11" i="19"/>
  <c r="E11" i="19"/>
  <c r="CY10" i="19"/>
  <c r="CW10" i="19"/>
  <c r="CX10" i="19" s="1"/>
  <c r="CG10" i="19"/>
  <c r="CO10" i="19" s="1"/>
  <c r="BQ10" i="19"/>
  <c r="BY10" i="19" s="1"/>
  <c r="BA10" i="19"/>
  <c r="BI10" i="19" s="1"/>
  <c r="AK10" i="19"/>
  <c r="Q10" i="19"/>
  <c r="E10" i="19"/>
  <c r="CW8" i="19"/>
  <c r="CX8" i="19" s="1"/>
  <c r="BY8" i="19"/>
  <c r="CG8" i="19" s="1"/>
  <c r="CO8" i="19" s="1"/>
  <c r="BI8" i="19"/>
  <c r="BQ8" i="19" s="1"/>
  <c r="AK8" i="19"/>
  <c r="CW7" i="19"/>
  <c r="CX7" i="19" s="1"/>
  <c r="BI7" i="19"/>
  <c r="BQ7" i="19" s="1"/>
  <c r="BY7" i="19" s="1"/>
  <c r="CG7" i="19" s="1"/>
  <c r="CO7" i="19" s="1"/>
  <c r="AK7" i="19"/>
  <c r="CY6" i="19"/>
  <c r="Q6" i="19"/>
  <c r="CY4" i="19"/>
  <c r="CY24" i="19" s="1"/>
  <c r="CX4" i="19"/>
  <c r="CX24" i="19" s="1"/>
  <c r="CZ24" i="19" s="1"/>
  <c r="CW4" i="19"/>
  <c r="BI4" i="19"/>
  <c r="BQ4" i="19" s="1"/>
  <c r="BY4" i="19" s="1"/>
  <c r="CG4" i="19" s="1"/>
  <c r="CO4" i="19" s="1"/>
  <c r="AK4" i="19"/>
  <c r="Q4" i="19"/>
  <c r="Q23" i="19" s="1"/>
  <c r="BW1" i="19"/>
  <c r="BO1" i="19"/>
  <c r="P201" i="17"/>
  <c r="O201" i="17"/>
  <c r="N201" i="17"/>
  <c r="F204" i="17"/>
  <c r="E204" i="17"/>
  <c r="D204" i="17"/>
  <c r="H188" i="17"/>
  <c r="H189" i="17"/>
  <c r="H190" i="17"/>
  <c r="H191" i="17"/>
  <c r="F191" i="17" s="1"/>
  <c r="H192" i="17"/>
  <c r="E192" i="17" s="1"/>
  <c r="H193" i="17"/>
  <c r="H194" i="17"/>
  <c r="H195" i="17"/>
  <c r="H196" i="17"/>
  <c r="H187" i="17"/>
  <c r="E188" i="17"/>
  <c r="E189" i="17"/>
  <c r="E190" i="17"/>
  <c r="E193" i="17"/>
  <c r="E194" i="17"/>
  <c r="E195" i="17"/>
  <c r="E196" i="17"/>
  <c r="E187" i="17"/>
  <c r="F166" i="17"/>
  <c r="G166" i="17"/>
  <c r="H166" i="17"/>
  <c r="I166" i="17"/>
  <c r="J166" i="17"/>
  <c r="K166" i="17"/>
  <c r="L166" i="17"/>
  <c r="M166" i="17"/>
  <c r="N166" i="17"/>
  <c r="O166" i="17"/>
  <c r="P166" i="17"/>
  <c r="E166" i="17"/>
  <c r="F168" i="17"/>
  <c r="G168" i="17"/>
  <c r="H168" i="17"/>
  <c r="I168" i="17"/>
  <c r="J168" i="17"/>
  <c r="K168" i="17"/>
  <c r="L168" i="17"/>
  <c r="M168" i="17"/>
  <c r="N168" i="17"/>
  <c r="O168" i="17"/>
  <c r="P168" i="17"/>
  <c r="E168" i="17"/>
  <c r="F167" i="17"/>
  <c r="G167" i="17"/>
  <c r="H167" i="17"/>
  <c r="I167" i="17"/>
  <c r="J167" i="17"/>
  <c r="K167" i="17"/>
  <c r="L167" i="17"/>
  <c r="M167" i="17"/>
  <c r="N167" i="17"/>
  <c r="O167" i="17"/>
  <c r="P167" i="17"/>
  <c r="E167" i="17"/>
  <c r="F165" i="17"/>
  <c r="G165" i="17"/>
  <c r="H165" i="17"/>
  <c r="I165" i="17"/>
  <c r="J165" i="17"/>
  <c r="K165" i="17"/>
  <c r="L165" i="17"/>
  <c r="M165" i="17"/>
  <c r="N165" i="17"/>
  <c r="O165" i="17"/>
  <c r="P165" i="17"/>
  <c r="E165" i="17"/>
  <c r="F164" i="17"/>
  <c r="G164" i="17"/>
  <c r="H164" i="17"/>
  <c r="I164" i="17"/>
  <c r="J164" i="17"/>
  <c r="K164" i="17"/>
  <c r="L164" i="17"/>
  <c r="M164" i="17"/>
  <c r="N164" i="17"/>
  <c r="O164" i="17"/>
  <c r="P164" i="17"/>
  <c r="E164" i="17"/>
  <c r="F163" i="17"/>
  <c r="G163" i="17"/>
  <c r="H163" i="17"/>
  <c r="I163" i="17"/>
  <c r="J163" i="17"/>
  <c r="K163" i="17"/>
  <c r="L163" i="17"/>
  <c r="M163" i="17"/>
  <c r="N163" i="17"/>
  <c r="O163" i="17"/>
  <c r="P163" i="17"/>
  <c r="E163" i="17"/>
  <c r="I175" i="17" s="1"/>
  <c r="F162" i="17"/>
  <c r="G162" i="17"/>
  <c r="H162" i="17"/>
  <c r="I162" i="17"/>
  <c r="J162" i="17"/>
  <c r="K162" i="17"/>
  <c r="L162" i="17"/>
  <c r="M162" i="17"/>
  <c r="N162" i="17"/>
  <c r="O162" i="17"/>
  <c r="P162" i="17"/>
  <c r="E162" i="17"/>
  <c r="K174" i="17" s="1"/>
  <c r="F161" i="17"/>
  <c r="G161" i="17"/>
  <c r="H161" i="17"/>
  <c r="I161" i="17"/>
  <c r="J161" i="17"/>
  <c r="K161" i="17"/>
  <c r="L161" i="17"/>
  <c r="M161" i="17"/>
  <c r="N161" i="17"/>
  <c r="O161" i="17"/>
  <c r="P161" i="17"/>
  <c r="E161" i="17"/>
  <c r="F160" i="17"/>
  <c r="G160" i="17"/>
  <c r="H160" i="17"/>
  <c r="I160" i="17"/>
  <c r="J160" i="17"/>
  <c r="K160" i="17"/>
  <c r="L160" i="17"/>
  <c r="M160" i="17"/>
  <c r="N160" i="17"/>
  <c r="O160" i="17"/>
  <c r="P160" i="17"/>
  <c r="E160" i="17"/>
  <c r="I172" i="17" s="1"/>
  <c r="M159" i="17"/>
  <c r="N159" i="17"/>
  <c r="O159" i="17"/>
  <c r="P159" i="17"/>
  <c r="F159" i="17"/>
  <c r="G159" i="17"/>
  <c r="H159" i="17"/>
  <c r="I159" i="17"/>
  <c r="J159" i="17"/>
  <c r="K159" i="17"/>
  <c r="L159" i="17"/>
  <c r="E159" i="17"/>
  <c r="BG17" i="19" a="1"/>
  <c r="BH15" i="19" a="1"/>
  <c r="BH21" i="19" a="1"/>
  <c r="BG16" i="19" a="1"/>
  <c r="BH14" i="19" a="1"/>
  <c r="BG8" i="19" a="1"/>
  <c r="BH20" i="19" a="1"/>
  <c r="BK17" i="19" a="1"/>
  <c r="BG15" i="19" a="1"/>
  <c r="BH12" i="19" a="1"/>
  <c r="BH11" i="19" a="1"/>
  <c r="BH10" i="19" a="1"/>
  <c r="BG21" i="19" a="1"/>
  <c r="BK16" i="19" a="1"/>
  <c r="BG14" i="19" a="1"/>
  <c r="BK8" i="19" a="1"/>
  <c r="BG20" i="19" a="1"/>
  <c r="BK15" i="19" a="1"/>
  <c r="BG12" i="19" a="1"/>
  <c r="BG11" i="19" a="1"/>
  <c r="BG10" i="19" a="1"/>
  <c r="BK21" i="19" a="1"/>
  <c r="BG4" i="19" a="1"/>
  <c r="BK10" i="19" a="1"/>
  <c r="BK4" i="19" a="1"/>
  <c r="BS4" i="19" a="1"/>
  <c r="BH16" i="19" a="1"/>
  <c r="BK7" i="19" a="1"/>
  <c r="BK11" i="19" a="1"/>
  <c r="BO7" i="19" a="1"/>
  <c r="BP4" i="19" a="1"/>
  <c r="BK14" i="19" a="1"/>
  <c r="BK12" i="19" a="1"/>
  <c r="BH7" i="19" a="1"/>
  <c r="BK20" i="19" a="1"/>
  <c r="BO4" i="19" a="1"/>
  <c r="BP10" i="19" a="1"/>
  <c r="BX4" i="19" a="1"/>
  <c r="CA7" i="19" a="1"/>
  <c r="BG7" i="19" a="1"/>
  <c r="BH4" i="19" a="1"/>
  <c r="BP21" i="19" a="1"/>
  <c r="BH17" i="19" a="1"/>
  <c r="BS7" i="19" a="1"/>
  <c r="BH8" i="19" a="1"/>
  <c r="BW21" i="19" a="1"/>
  <c r="O174" i="17" l="1"/>
  <c r="F173" i="17"/>
  <c r="G174" i="17"/>
  <c r="K173" i="17"/>
  <c r="G171" i="17"/>
  <c r="K177" i="17"/>
  <c r="L180" i="17"/>
  <c r="J177" i="17"/>
  <c r="J172" i="17"/>
  <c r="O177" i="17"/>
  <c r="M176" i="17"/>
  <c r="M179" i="17"/>
  <c r="F178" i="17"/>
  <c r="J171" i="17"/>
  <c r="K171" i="17"/>
  <c r="E191" i="17"/>
  <c r="G191" i="17" s="1"/>
  <c r="P178" i="17"/>
  <c r="H178" i="17"/>
  <c r="I176" i="17"/>
  <c r="G173" i="17"/>
  <c r="N178" i="17"/>
  <c r="F176" i="17"/>
  <c r="P172" i="17"/>
  <c r="M172" i="17"/>
  <c r="H175" i="17"/>
  <c r="O171" i="17"/>
  <c r="L178" i="17"/>
  <c r="M175" i="17"/>
  <c r="N172" i="17"/>
  <c r="G177" i="17"/>
  <c r="K179" i="17"/>
  <c r="K178" i="17"/>
  <c r="P179" i="17"/>
  <c r="P174" i="17"/>
  <c r="H172" i="17"/>
  <c r="J174" i="17"/>
  <c r="N176" i="17"/>
  <c r="L174" i="17"/>
  <c r="F172" i="17"/>
  <c r="L179" i="17"/>
  <c r="G178" i="17"/>
  <c r="I179" i="17"/>
  <c r="L176" i="17"/>
  <c r="H174" i="17"/>
  <c r="M180" i="17"/>
  <c r="H179" i="17"/>
  <c r="J176" i="17"/>
  <c r="O173" i="17"/>
  <c r="I180" i="17"/>
  <c r="F171" i="17"/>
  <c r="I171" i="17"/>
  <c r="I177" i="17"/>
  <c r="O175" i="17"/>
  <c r="G175" i="17"/>
  <c r="M173" i="17"/>
  <c r="K180" i="17"/>
  <c r="P171" i="17"/>
  <c r="H171" i="17"/>
  <c r="J179" i="17"/>
  <c r="M178" i="17"/>
  <c r="P177" i="17"/>
  <c r="H177" i="17"/>
  <c r="K176" i="17"/>
  <c r="N175" i="17"/>
  <c r="F175" i="17"/>
  <c r="I174" i="17"/>
  <c r="L173" i="17"/>
  <c r="O172" i="17"/>
  <c r="G172" i="17"/>
  <c r="J180" i="17"/>
  <c r="F192" i="17"/>
  <c r="G192" i="17" s="1"/>
  <c r="N171" i="17"/>
  <c r="L175" i="17"/>
  <c r="H180" i="17"/>
  <c r="M171" i="17"/>
  <c r="O179" i="17"/>
  <c r="G179" i="17"/>
  <c r="J178" i="17"/>
  <c r="M177" i="17"/>
  <c r="P176" i="17"/>
  <c r="H176" i="17"/>
  <c r="K175" i="17"/>
  <c r="N174" i="17"/>
  <c r="F174" i="17"/>
  <c r="Q174" i="17" s="1"/>
  <c r="I173" i="17"/>
  <c r="L172" i="17"/>
  <c r="O180" i="17"/>
  <c r="G180" i="17"/>
  <c r="N177" i="17"/>
  <c r="F177" i="17"/>
  <c r="J173" i="17"/>
  <c r="P180" i="17"/>
  <c r="L171" i="17"/>
  <c r="N179" i="17"/>
  <c r="F179" i="17"/>
  <c r="I178" i="17"/>
  <c r="L177" i="17"/>
  <c r="O176" i="17"/>
  <c r="G176" i="17"/>
  <c r="J175" i="17"/>
  <c r="M174" i="17"/>
  <c r="P173" i="17"/>
  <c r="H173" i="17"/>
  <c r="K172" i="17"/>
  <c r="N180" i="17"/>
  <c r="F180" i="17"/>
  <c r="O178" i="17"/>
  <c r="P175" i="17"/>
  <c r="N173" i="17"/>
  <c r="BW21" i="19"/>
  <c r="BH8" i="19"/>
  <c r="BS7" i="19"/>
  <c r="BT7" i="19" s="1"/>
  <c r="BH17" i="19"/>
  <c r="BP21" i="19"/>
  <c r="BH4" i="19"/>
  <c r="BG7" i="19"/>
  <c r="CA7" i="19"/>
  <c r="CB7" i="19" s="1"/>
  <c r="BX4" i="19"/>
  <c r="BP10" i="19"/>
  <c r="BO4" i="19"/>
  <c r="BK20" i="19"/>
  <c r="BL20" i="19" s="1"/>
  <c r="BH7" i="19"/>
  <c r="BK12" i="19"/>
  <c r="BL12" i="19" s="1"/>
  <c r="BK14" i="19"/>
  <c r="BL14" i="19" s="1"/>
  <c r="BP4" i="19"/>
  <c r="BO7" i="19"/>
  <c r="BK11" i="19"/>
  <c r="BL11" i="19" s="1"/>
  <c r="BK7" i="19"/>
  <c r="BL7" i="19" s="1"/>
  <c r="BH16" i="19"/>
  <c r="BS4" i="19"/>
  <c r="BT4" i="19" s="1"/>
  <c r="BK4" i="19"/>
  <c r="BL4" i="19" s="1"/>
  <c r="BK10" i="19"/>
  <c r="BL10" i="19" s="1"/>
  <c r="BG4" i="19"/>
  <c r="BK21" i="19"/>
  <c r="BL21" i="19" s="1"/>
  <c r="BG10" i="19"/>
  <c r="BG11" i="19"/>
  <c r="BG12" i="19"/>
  <c r="BK15" i="19"/>
  <c r="BL15" i="19" s="1"/>
  <c r="BG20" i="19"/>
  <c r="BK8" i="19"/>
  <c r="BL8" i="19" s="1"/>
  <c r="BG14" i="19"/>
  <c r="BK16" i="19"/>
  <c r="BL16" i="19" s="1"/>
  <c r="BG21" i="19"/>
  <c r="BH10" i="19"/>
  <c r="BH11" i="19"/>
  <c r="BH12" i="19"/>
  <c r="BG15" i="19"/>
  <c r="BK17" i="19"/>
  <c r="BL17" i="19" s="1"/>
  <c r="BH20" i="19"/>
  <c r="BG8" i="19"/>
  <c r="BH14" i="19"/>
  <c r="BG16" i="19"/>
  <c r="BH21" i="19"/>
  <c r="BH15" i="19"/>
  <c r="BG17" i="19"/>
  <c r="CE1" i="19"/>
  <c r="H204" i="17"/>
  <c r="R129" i="17"/>
  <c r="R130" i="17"/>
  <c r="R131" i="17"/>
  <c r="R132" i="17"/>
  <c r="BS16" i="19" a="1"/>
  <c r="BS21" i="19" a="1"/>
  <c r="BP8" i="19" a="1"/>
  <c r="BO16" i="19" a="1"/>
  <c r="CA11" i="19" a="1"/>
  <c r="BX21" i="19" a="1"/>
  <c r="BX11" i="19" a="1"/>
  <c r="CA21" i="19" a="1"/>
  <c r="BS10" i="19" a="1"/>
  <c r="BP14" i="19" a="1"/>
  <c r="BO21" i="19" a="1"/>
  <c r="BW7" i="19" a="1"/>
  <c r="BO14" i="19" a="1"/>
  <c r="BS14" i="19" a="1"/>
  <c r="BW12" i="19" a="1"/>
  <c r="CA8" i="19" a="1"/>
  <c r="CA10" i="19" a="1"/>
  <c r="BW16" i="19" a="1"/>
  <c r="BX10" i="19" a="1"/>
  <c r="CA16" i="19" a="1"/>
  <c r="BO8" i="19" a="1"/>
  <c r="BW10" i="19" a="1"/>
  <c r="BO10" i="19" a="1"/>
  <c r="BS8" i="19" a="1"/>
  <c r="BS20" i="19" a="1"/>
  <c r="BW14" i="19" a="1"/>
  <c r="BO15" i="19" a="1"/>
  <c r="BX7" i="19" a="1"/>
  <c r="BX14" i="19" a="1"/>
  <c r="BW11" i="19" a="1"/>
  <c r="BP7" i="19" a="1"/>
  <c r="BX20" i="19" a="1"/>
  <c r="CA20" i="19" a="1"/>
  <c r="CA12" i="19" a="1"/>
  <c r="BO20" i="19" a="1"/>
  <c r="BP17" i="19" a="1"/>
  <c r="BO17" i="19" a="1"/>
  <c r="BX16" i="19" a="1"/>
  <c r="BW8" i="19" a="1"/>
  <c r="CA14" i="19" a="1"/>
  <c r="BP11" i="19" a="1"/>
  <c r="BP15" i="19" a="1"/>
  <c r="BS11" i="19" a="1"/>
  <c r="BP12" i="19" a="1"/>
  <c r="BX15" i="19" a="1"/>
  <c r="CA15" i="19" a="1"/>
  <c r="BS17" i="19" a="1"/>
  <c r="BS15" i="19" a="1"/>
  <c r="BS12" i="19" a="1"/>
  <c r="CA4" i="19" a="1"/>
  <c r="BP20" i="19" a="1"/>
  <c r="BX8" i="19" a="1"/>
  <c r="BW4" i="19" a="1"/>
  <c r="BO12" i="19" a="1"/>
  <c r="CA17" i="19" a="1"/>
  <c r="BW15" i="19" a="1"/>
  <c r="BP16" i="19" a="1"/>
  <c r="BX12" i="19" a="1"/>
  <c r="BW17" i="19" a="1"/>
  <c r="BW20" i="19" a="1"/>
  <c r="BO11" i="19" a="1"/>
  <c r="BX17" i="19" a="1"/>
  <c r="Q173" i="17" l="1"/>
  <c r="F189" i="17" s="1"/>
  <c r="G189" i="17" s="1"/>
  <c r="Q171" i="17"/>
  <c r="Q180" i="17"/>
  <c r="F196" i="17" s="1"/>
  <c r="G196" i="17" s="1"/>
  <c r="Q178" i="17"/>
  <c r="F194" i="17" s="1"/>
  <c r="G194" i="17" s="1"/>
  <c r="Q176" i="17"/>
  <c r="Q177" i="17"/>
  <c r="F193" i="17" s="1"/>
  <c r="G193" i="17" s="1"/>
  <c r="Q175" i="17"/>
  <c r="Q179" i="17"/>
  <c r="F195" i="17" s="1"/>
  <c r="G195" i="17" s="1"/>
  <c r="Q172" i="17"/>
  <c r="F188" i="17" s="1"/>
  <c r="G188" i="17" s="1"/>
  <c r="M182" i="17"/>
  <c r="BR4" i="19"/>
  <c r="BU4" i="19" s="1"/>
  <c r="BV4" i="19" s="1"/>
  <c r="F190" i="17"/>
  <c r="G190" i="17" s="1"/>
  <c r="Q135" i="17"/>
  <c r="J182" i="17"/>
  <c r="G182" i="17"/>
  <c r="Z131" i="17"/>
  <c r="Z128" i="17"/>
  <c r="P182" i="17"/>
  <c r="Z130" i="17"/>
  <c r="Z129" i="17"/>
  <c r="BX17" i="19"/>
  <c r="BO11" i="19"/>
  <c r="BW20" i="19"/>
  <c r="BW17" i="19"/>
  <c r="BX12" i="19"/>
  <c r="BP16" i="19"/>
  <c r="BW15" i="19"/>
  <c r="CA17" i="19"/>
  <c r="CB17" i="19" s="1"/>
  <c r="BO12" i="19"/>
  <c r="BW4" i="19"/>
  <c r="BZ4" i="19" s="1"/>
  <c r="BX8" i="19"/>
  <c r="BP20" i="19"/>
  <c r="CA4" i="19"/>
  <c r="CB4" i="19" s="1"/>
  <c r="BS12" i="19"/>
  <c r="BT12" i="19" s="1"/>
  <c r="BS15" i="19"/>
  <c r="BT15" i="19" s="1"/>
  <c r="BS17" i="19"/>
  <c r="BT17" i="19" s="1"/>
  <c r="CA15" i="19"/>
  <c r="CB15" i="19" s="1"/>
  <c r="BX15" i="19"/>
  <c r="BP12" i="19"/>
  <c r="BS11" i="19"/>
  <c r="BT11" i="19" s="1"/>
  <c r="BP15" i="19"/>
  <c r="BP11" i="19"/>
  <c r="CA14" i="19"/>
  <c r="CB14" i="19" s="1"/>
  <c r="BW8" i="19"/>
  <c r="BX16" i="19"/>
  <c r="BO17" i="19"/>
  <c r="BP17" i="19"/>
  <c r="BO20" i="19"/>
  <c r="CA12" i="19"/>
  <c r="CB12" i="19" s="1"/>
  <c r="CA20" i="19"/>
  <c r="CB20" i="19" s="1"/>
  <c r="BX20" i="19"/>
  <c r="BP7" i="19"/>
  <c r="BR7" i="19" s="1"/>
  <c r="BU7" i="19" s="1"/>
  <c r="BV7" i="19" s="1"/>
  <c r="BW11" i="19"/>
  <c r="BX14" i="19"/>
  <c r="BX7" i="19"/>
  <c r="BO15" i="19"/>
  <c r="BW14" i="19"/>
  <c r="BS20" i="19"/>
  <c r="BT20" i="19" s="1"/>
  <c r="BS8" i="19"/>
  <c r="BT8" i="19" s="1"/>
  <c r="BO10" i="19"/>
  <c r="BR10" i="19" s="1"/>
  <c r="BW10" i="19"/>
  <c r="BO8" i="19"/>
  <c r="CA16" i="19"/>
  <c r="CB16" i="19" s="1"/>
  <c r="BX10" i="19"/>
  <c r="BW16" i="19"/>
  <c r="CA10" i="19"/>
  <c r="CB10" i="19" s="1"/>
  <c r="CA8" i="19"/>
  <c r="CB8" i="19" s="1"/>
  <c r="BW12" i="19"/>
  <c r="BS14" i="19"/>
  <c r="BT14" i="19" s="1"/>
  <c r="BO14" i="19"/>
  <c r="BW7" i="19"/>
  <c r="BO21" i="19"/>
  <c r="BR21" i="19" s="1"/>
  <c r="BP14" i="19"/>
  <c r="BS10" i="19"/>
  <c r="BT10" i="19" s="1"/>
  <c r="CA21" i="19"/>
  <c r="CB21" i="19" s="1"/>
  <c r="BX11" i="19"/>
  <c r="BX21" i="19"/>
  <c r="BZ21" i="19" s="1"/>
  <c r="CA11" i="19"/>
  <c r="CB11" i="19" s="1"/>
  <c r="BO16" i="19"/>
  <c r="BP8" i="19"/>
  <c r="BS21" i="19"/>
  <c r="BT21" i="19" s="1"/>
  <c r="BS16" i="19"/>
  <c r="BT16" i="19" s="1"/>
  <c r="BJ4" i="19"/>
  <c r="BM4" i="19" s="1"/>
  <c r="BN4" i="19" s="1"/>
  <c r="BJ15" i="19"/>
  <c r="BM15" i="19" s="1"/>
  <c r="BN15" i="19" s="1"/>
  <c r="BJ12" i="19"/>
  <c r="BM12" i="19" s="1"/>
  <c r="BN12" i="19" s="1"/>
  <c r="BJ7" i="19"/>
  <c r="BM7" i="19" s="1"/>
  <c r="BN7" i="19" s="1"/>
  <c r="BJ20" i="19"/>
  <c r="BM20" i="19" s="1"/>
  <c r="BN20" i="19" s="1"/>
  <c r="CM1" i="19"/>
  <c r="BJ21" i="19"/>
  <c r="BM21" i="19" s="1"/>
  <c r="BN21" i="19" s="1"/>
  <c r="BJ11" i="19"/>
  <c r="BM11" i="19" s="1"/>
  <c r="BN11" i="19" s="1"/>
  <c r="BJ16" i="19"/>
  <c r="BM16" i="19" s="1"/>
  <c r="BN16" i="19" s="1"/>
  <c r="BJ17" i="19"/>
  <c r="BM17" i="19" s="1"/>
  <c r="BN17" i="19" s="1"/>
  <c r="BJ10" i="19"/>
  <c r="BM10" i="19" s="1"/>
  <c r="BN10" i="19" s="1"/>
  <c r="BJ14" i="19"/>
  <c r="BM14" i="19" s="1"/>
  <c r="BN14" i="19" s="1"/>
  <c r="BJ8" i="19"/>
  <c r="BM8" i="19" s="1"/>
  <c r="BN8" i="19" s="1"/>
  <c r="E100" i="17"/>
  <c r="F100" i="17" s="1"/>
  <c r="G100" i="17" s="1"/>
  <c r="H100" i="17" s="1"/>
  <c r="E101" i="17"/>
  <c r="F101" i="17" s="1"/>
  <c r="G101" i="17" s="1"/>
  <c r="H101" i="17" s="1"/>
  <c r="E102" i="17"/>
  <c r="F102" i="17" s="1"/>
  <c r="G102" i="17" s="1"/>
  <c r="H102" i="17" s="1"/>
  <c r="E103" i="17"/>
  <c r="F103" i="17" s="1"/>
  <c r="G103" i="17" s="1"/>
  <c r="H103" i="17" s="1"/>
  <c r="E104" i="17"/>
  <c r="F104" i="17" s="1"/>
  <c r="E105" i="17"/>
  <c r="F105" i="17" s="1"/>
  <c r="G105" i="17" s="1"/>
  <c r="H105" i="17" s="1"/>
  <c r="E106" i="17"/>
  <c r="F106" i="17" s="1"/>
  <c r="G106" i="17" s="1"/>
  <c r="H106" i="17" s="1"/>
  <c r="E107" i="17"/>
  <c r="F107" i="17" s="1"/>
  <c r="G107" i="17" s="1"/>
  <c r="H107" i="17" s="1"/>
  <c r="E108" i="17"/>
  <c r="F108" i="17" s="1"/>
  <c r="G108" i="17" s="1"/>
  <c r="H108" i="17" s="1"/>
  <c r="E109" i="17"/>
  <c r="F109" i="17" s="1"/>
  <c r="G109" i="17" s="1"/>
  <c r="H109" i="17" s="1"/>
  <c r="E99" i="17"/>
  <c r="F99" i="17" s="1"/>
  <c r="G99" i="17" s="1"/>
  <c r="H99" i="17" s="1"/>
  <c r="H77" i="17"/>
  <c r="E78" i="17"/>
  <c r="E77" i="17"/>
  <c r="H80" i="17"/>
  <c r="G80" i="17"/>
  <c r="F80" i="17"/>
  <c r="E80" i="17"/>
  <c r="H73" i="17"/>
  <c r="G73" i="17"/>
  <c r="F73" i="17"/>
  <c r="E73" i="17"/>
  <c r="H74" i="17"/>
  <c r="G74" i="17"/>
  <c r="F74" i="17"/>
  <c r="E74" i="17"/>
  <c r="H75" i="17"/>
  <c r="G75" i="17"/>
  <c r="F75" i="17"/>
  <c r="E75" i="17"/>
  <c r="H71" i="17"/>
  <c r="G71" i="17"/>
  <c r="F71" i="17"/>
  <c r="E71" i="17"/>
  <c r="H70" i="17"/>
  <c r="G70" i="17"/>
  <c r="F70" i="17"/>
  <c r="E70" i="17"/>
  <c r="H76" i="17"/>
  <c r="G76" i="17"/>
  <c r="F76" i="17"/>
  <c r="E76" i="17"/>
  <c r="H72" i="17"/>
  <c r="G72" i="17"/>
  <c r="F72" i="17"/>
  <c r="E72" i="17"/>
  <c r="H79" i="17"/>
  <c r="G79" i="17"/>
  <c r="F79" i="17"/>
  <c r="E79" i="17"/>
  <c r="H78" i="17"/>
  <c r="G78" i="17"/>
  <c r="F78" i="17"/>
  <c r="G77" i="17"/>
  <c r="F77" i="17"/>
  <c r="F66" i="17"/>
  <c r="G66" i="17"/>
  <c r="H66" i="17"/>
  <c r="E66" i="17"/>
  <c r="CF14" i="19" a="1"/>
  <c r="CI7" i="19" a="1"/>
  <c r="CE11" i="19" a="1"/>
  <c r="CF17" i="19" a="1"/>
  <c r="CE4" i="19" a="1"/>
  <c r="CI8" i="19" a="1"/>
  <c r="CI15" i="19" a="1"/>
  <c r="CI20" i="19" a="1"/>
  <c r="CF7" i="19" a="1"/>
  <c r="CE8" i="19" a="1"/>
  <c r="CE21" i="19" a="1"/>
  <c r="CE10" i="19" a="1"/>
  <c r="CF15" i="19" a="1"/>
  <c r="CI11" i="19" a="1"/>
  <c r="CE17" i="19" a="1"/>
  <c r="CI10" i="19" a="1"/>
  <c r="CF10" i="19" a="1"/>
  <c r="CF20" i="19" a="1"/>
  <c r="CI16" i="19" a="1"/>
  <c r="CI21" i="19" a="1"/>
  <c r="CF16" i="19" a="1"/>
  <c r="CI12" i="19" a="1"/>
  <c r="CI4" i="19" a="1"/>
  <c r="CE16" i="19" a="1"/>
  <c r="CF4" i="19" a="1"/>
  <c r="CI17" i="19" a="1"/>
  <c r="CE14" i="19" a="1"/>
  <c r="CI14" i="19" a="1"/>
  <c r="CF8" i="19" a="1"/>
  <c r="CE15" i="19" a="1"/>
  <c r="CF21" i="19" a="1"/>
  <c r="CF12" i="19" a="1"/>
  <c r="CE20" i="19" a="1"/>
  <c r="CE7" i="19" a="1"/>
  <c r="CF11" i="19" a="1"/>
  <c r="CE12" i="19" a="1"/>
  <c r="I76" i="17" l="1"/>
  <c r="BU10" i="19"/>
  <c r="BV10" i="19" s="1"/>
  <c r="I72" i="17"/>
  <c r="I73" i="17"/>
  <c r="F187" i="17"/>
  <c r="G187" i="17" s="1"/>
  <c r="Q181" i="17"/>
  <c r="X129" i="17"/>
  <c r="Q129" i="17"/>
  <c r="Q131" i="17"/>
  <c r="W128" i="17"/>
  <c r="Q130" i="17"/>
  <c r="BZ20" i="19"/>
  <c r="CC20" i="19" s="1"/>
  <c r="CD20" i="19" s="1"/>
  <c r="BR15" i="19"/>
  <c r="BU15" i="19" s="1"/>
  <c r="BV15" i="19" s="1"/>
  <c r="BZ11" i="19"/>
  <c r="CC11" i="19" s="1"/>
  <c r="CD11" i="19" s="1"/>
  <c r="BR11" i="19"/>
  <c r="BU11" i="19" s="1"/>
  <c r="BV11" i="19" s="1"/>
  <c r="BR8" i="19"/>
  <c r="BU8" i="19" s="1"/>
  <c r="BV8" i="19" s="1"/>
  <c r="BU21" i="19"/>
  <c r="BV21" i="19" s="1"/>
  <c r="BZ10" i="19"/>
  <c r="CC10" i="19" s="1"/>
  <c r="CD10" i="19" s="1"/>
  <c r="BR14" i="19"/>
  <c r="BU14" i="19" s="1"/>
  <c r="BV14" i="19" s="1"/>
  <c r="BR17" i="19"/>
  <c r="BU17" i="19" s="1"/>
  <c r="BV17" i="19" s="1"/>
  <c r="CE12" i="19"/>
  <c r="CF11" i="19"/>
  <c r="CE7" i="19"/>
  <c r="CE20" i="19"/>
  <c r="CF12" i="19"/>
  <c r="CF21" i="19"/>
  <c r="CE15" i="19"/>
  <c r="CF8" i="19"/>
  <c r="CI14" i="19"/>
  <c r="CJ14" i="19" s="1"/>
  <c r="CE14" i="19"/>
  <c r="CI17" i="19"/>
  <c r="CJ17" i="19" s="1"/>
  <c r="CF4" i="19"/>
  <c r="CE16" i="19"/>
  <c r="CI4" i="19"/>
  <c r="CJ4" i="19" s="1"/>
  <c r="CI12" i="19"/>
  <c r="CJ12" i="19" s="1"/>
  <c r="CF16" i="19"/>
  <c r="CI21" i="19"/>
  <c r="CJ21" i="19" s="1"/>
  <c r="CI16" i="19"/>
  <c r="CJ16" i="19" s="1"/>
  <c r="CF20" i="19"/>
  <c r="CF10" i="19"/>
  <c r="CI10" i="19"/>
  <c r="CJ10" i="19" s="1"/>
  <c r="CE17" i="19"/>
  <c r="CI11" i="19"/>
  <c r="CJ11" i="19" s="1"/>
  <c r="CF15" i="19"/>
  <c r="CE10" i="19"/>
  <c r="CE21" i="19"/>
  <c r="CE8" i="19"/>
  <c r="CF7" i="19"/>
  <c r="CI20" i="19"/>
  <c r="CJ20" i="19" s="1"/>
  <c r="CI15" i="19"/>
  <c r="CJ15" i="19" s="1"/>
  <c r="CI8" i="19"/>
  <c r="CJ8" i="19" s="1"/>
  <c r="CE4" i="19"/>
  <c r="CF17" i="19"/>
  <c r="CE11" i="19"/>
  <c r="CI7" i="19"/>
  <c r="CJ7" i="19" s="1"/>
  <c r="CF14" i="19"/>
  <c r="BR16" i="19"/>
  <c r="BU16" i="19" s="1"/>
  <c r="BV16" i="19" s="1"/>
  <c r="BR20" i="19"/>
  <c r="BU20" i="19" s="1"/>
  <c r="BV20" i="19" s="1"/>
  <c r="BZ7" i="19"/>
  <c r="CC7" i="19" s="1"/>
  <c r="CD7" i="19" s="1"/>
  <c r="BR12" i="19"/>
  <c r="BU12" i="19" s="1"/>
  <c r="BV12" i="19" s="1"/>
  <c r="BZ8" i="19"/>
  <c r="CC8" i="19" s="1"/>
  <c r="CD8" i="19" s="1"/>
  <c r="CC4" i="19"/>
  <c r="CD4" i="19" s="1"/>
  <c r="BZ14" i="19"/>
  <c r="CC14" i="19" s="1"/>
  <c r="CD14" i="19" s="1"/>
  <c r="BZ15" i="19"/>
  <c r="CC15" i="19" s="1"/>
  <c r="CD15" i="19" s="1"/>
  <c r="BZ12" i="19"/>
  <c r="CC12" i="19" s="1"/>
  <c r="CD12" i="19" s="1"/>
  <c r="CC21" i="19"/>
  <c r="CD21" i="19" s="1"/>
  <c r="BZ16" i="19"/>
  <c r="CC16" i="19" s="1"/>
  <c r="CD16" i="19" s="1"/>
  <c r="BZ17" i="19"/>
  <c r="CC17" i="19" s="1"/>
  <c r="CD17" i="19" s="1"/>
  <c r="G104" i="17"/>
  <c r="H104" i="17" s="1"/>
  <c r="I79" i="17"/>
  <c r="I75" i="17"/>
  <c r="I77" i="17"/>
  <c r="I78" i="17"/>
  <c r="I70" i="17"/>
  <c r="I80" i="17"/>
  <c r="I71" i="17"/>
  <c r="I74" i="17"/>
  <c r="CM10" i="19" a="1"/>
  <c r="CN7" i="19" a="1"/>
  <c r="CQ7" i="19" a="1"/>
  <c r="CN20" i="19" a="1"/>
  <c r="CQ11" i="19" a="1"/>
  <c r="CQ21" i="19" a="1"/>
  <c r="CN16" i="19" a="1"/>
  <c r="CN10" i="19" a="1"/>
  <c r="CQ16" i="19" a="1"/>
  <c r="CN21" i="19" a="1"/>
  <c r="CQ10" i="19" a="1"/>
  <c r="CQ14" i="19" a="1"/>
  <c r="CN8" i="19" a="1"/>
  <c r="CM21" i="19" a="1"/>
  <c r="CM15" i="19" a="1"/>
  <c r="CM11" i="19" a="1"/>
  <c r="CQ20" i="19" a="1"/>
  <c r="CM17" i="19" a="1"/>
  <c r="CN11" i="19" a="1"/>
  <c r="CQ8" i="19" a="1"/>
  <c r="CM14" i="19" a="1"/>
  <c r="CN12" i="19" a="1"/>
  <c r="CM20" i="19" a="1"/>
  <c r="CN17" i="19" a="1"/>
  <c r="CN15" i="19" a="1"/>
  <c r="CM4" i="19" a="1"/>
  <c r="CQ4" i="19" a="1"/>
  <c r="CN14" i="19" a="1"/>
  <c r="CN4" i="19" a="1"/>
  <c r="CM8" i="19" a="1"/>
  <c r="CQ15" i="19" a="1"/>
  <c r="CQ12" i="19" a="1"/>
  <c r="CM7" i="19" a="1"/>
  <c r="CQ17" i="19" a="1"/>
  <c r="CM16" i="19" a="1"/>
  <c r="CM12" i="19" a="1"/>
  <c r="Y129" i="17" l="1"/>
  <c r="W129" i="17" s="1"/>
  <c r="X130" i="17"/>
  <c r="P129" i="17"/>
  <c r="CH20" i="19"/>
  <c r="CK20" i="19" s="1"/>
  <c r="CL20" i="19" s="1"/>
  <c r="CH14" i="19"/>
  <c r="CK14" i="19" s="1"/>
  <c r="CL14" i="19" s="1"/>
  <c r="CH15" i="19"/>
  <c r="CK15" i="19" s="1"/>
  <c r="CL15" i="19" s="1"/>
  <c r="CH12" i="19"/>
  <c r="CK12" i="19" s="1"/>
  <c r="CL12" i="19" s="1"/>
  <c r="CH7" i="19"/>
  <c r="CK7" i="19" s="1"/>
  <c r="CL7" i="19" s="1"/>
  <c r="CM12" i="19"/>
  <c r="H12" i="19" s="1"/>
  <c r="CM16" i="19"/>
  <c r="H16" i="19" s="1"/>
  <c r="CQ17" i="19"/>
  <c r="CR17" i="19" s="1"/>
  <c r="I17" i="19" s="1"/>
  <c r="CM7" i="19"/>
  <c r="H7" i="19" s="1"/>
  <c r="CQ12" i="19"/>
  <c r="CR12" i="19" s="1"/>
  <c r="I12" i="19" s="1"/>
  <c r="CQ15" i="19"/>
  <c r="CR15" i="19" s="1"/>
  <c r="I15" i="19" s="1"/>
  <c r="CM8" i="19"/>
  <c r="H8" i="19" s="1"/>
  <c r="CN4" i="19"/>
  <c r="CN14" i="19"/>
  <c r="CQ4" i="19"/>
  <c r="CR4" i="19" s="1"/>
  <c r="I4" i="19" s="1"/>
  <c r="CM4" i="19"/>
  <c r="H4" i="19" s="1"/>
  <c r="CN15" i="19"/>
  <c r="CN17" i="19"/>
  <c r="CM20" i="19"/>
  <c r="H20" i="19" s="1"/>
  <c r="CN12" i="19"/>
  <c r="CM14" i="19"/>
  <c r="H14" i="19" s="1"/>
  <c r="CQ8" i="19"/>
  <c r="CR8" i="19" s="1"/>
  <c r="I8" i="19" s="1"/>
  <c r="CN11" i="19"/>
  <c r="CM17" i="19"/>
  <c r="H17" i="19" s="1"/>
  <c r="CQ20" i="19"/>
  <c r="CR20" i="19" s="1"/>
  <c r="I20" i="19" s="1"/>
  <c r="CM11" i="19"/>
  <c r="H11" i="19" s="1"/>
  <c r="CM15" i="19"/>
  <c r="H15" i="19" s="1"/>
  <c r="CM21" i="19"/>
  <c r="H21" i="19" s="1"/>
  <c r="CN8" i="19"/>
  <c r="CQ14" i="19"/>
  <c r="CR14" i="19" s="1"/>
  <c r="I14" i="19" s="1"/>
  <c r="CQ10" i="19"/>
  <c r="CR10" i="19" s="1"/>
  <c r="I10" i="19" s="1"/>
  <c r="CN21" i="19"/>
  <c r="L21" i="19" s="1"/>
  <c r="CQ16" i="19"/>
  <c r="CR16" i="19" s="1"/>
  <c r="I16" i="19" s="1"/>
  <c r="CN10" i="19"/>
  <c r="CN16" i="19"/>
  <c r="L16" i="19" s="1"/>
  <c r="CQ21" i="19"/>
  <c r="CR21" i="19" s="1"/>
  <c r="I21" i="19" s="1"/>
  <c r="CQ11" i="19"/>
  <c r="CR11" i="19" s="1"/>
  <c r="I11" i="19" s="1"/>
  <c r="CN20" i="19"/>
  <c r="CQ7" i="19"/>
  <c r="CR7" i="19" s="1"/>
  <c r="I7" i="19" s="1"/>
  <c r="CN7" i="19"/>
  <c r="CM10" i="19"/>
  <c r="H10" i="19" s="1"/>
  <c r="CH21" i="19"/>
  <c r="CK21" i="19" s="1"/>
  <c r="CL21" i="19" s="1"/>
  <c r="CH16" i="19"/>
  <c r="CK16" i="19" s="1"/>
  <c r="CL16" i="19" s="1"/>
  <c r="CH10" i="19"/>
  <c r="CK10" i="19" s="1"/>
  <c r="CL10" i="19" s="1"/>
  <c r="CH4" i="19"/>
  <c r="CK4" i="19" s="1"/>
  <c r="CL4" i="19" s="1"/>
  <c r="CH8" i="19"/>
  <c r="CK8" i="19" s="1"/>
  <c r="CL8" i="19" s="1"/>
  <c r="CH11" i="19"/>
  <c r="CK11" i="19" s="1"/>
  <c r="CL11" i="19" s="1"/>
  <c r="CH17" i="19"/>
  <c r="CK17" i="19" s="1"/>
  <c r="CL17" i="19" s="1"/>
  <c r="Y130" i="17" l="1"/>
  <c r="W130" i="17" s="1"/>
  <c r="P130" i="17"/>
  <c r="X131" i="17"/>
  <c r="CP8" i="19"/>
  <c r="CS8" i="19" s="1"/>
  <c r="CT8" i="19" s="1"/>
  <c r="M8" i="19" s="1"/>
  <c r="CP10" i="19"/>
  <c r="CS10" i="19" s="1"/>
  <c r="CT10" i="19" s="1"/>
  <c r="M10" i="19" s="1"/>
  <c r="J17" i="19"/>
  <c r="CP17" i="19"/>
  <c r="CS17" i="19" s="1"/>
  <c r="CT17" i="19" s="1"/>
  <c r="M17" i="19" s="1"/>
  <c r="I19" i="19"/>
  <c r="CP15" i="19"/>
  <c r="CS15" i="19" s="1"/>
  <c r="CT15" i="19" s="1"/>
  <c r="M15" i="19" s="1"/>
  <c r="J14" i="19"/>
  <c r="L15" i="19"/>
  <c r="J10" i="19"/>
  <c r="CP4" i="19"/>
  <c r="CS4" i="19" s="1"/>
  <c r="CT4" i="19" s="1"/>
  <c r="M4" i="19" s="1"/>
  <c r="L8" i="19"/>
  <c r="J8" i="19"/>
  <c r="I6" i="19"/>
  <c r="CP16" i="19"/>
  <c r="CS16" i="19" s="1"/>
  <c r="CT16" i="19" s="1"/>
  <c r="M16" i="19" s="1"/>
  <c r="N16" i="19" s="1"/>
  <c r="J21" i="19"/>
  <c r="CP12" i="19"/>
  <c r="CS12" i="19" s="1"/>
  <c r="CT12" i="19" s="1"/>
  <c r="M12" i="19" s="1"/>
  <c r="L12" i="19"/>
  <c r="J15" i="19"/>
  <c r="J20" i="19"/>
  <c r="H19" i="19"/>
  <c r="L17" i="19"/>
  <c r="J7" i="19"/>
  <c r="H6" i="19"/>
  <c r="CP7" i="19"/>
  <c r="CS7" i="19" s="1"/>
  <c r="CT7" i="19" s="1"/>
  <c r="M7" i="19" s="1"/>
  <c r="L7" i="19"/>
  <c r="CP21" i="19"/>
  <c r="CS21" i="19" s="1"/>
  <c r="CT21" i="19" s="1"/>
  <c r="M21" i="19" s="1"/>
  <c r="J4" i="19"/>
  <c r="J11" i="19"/>
  <c r="L4" i="19"/>
  <c r="L10" i="19"/>
  <c r="CP11" i="19"/>
  <c r="CS11" i="19" s="1"/>
  <c r="CT11" i="19" s="1"/>
  <c r="M11" i="19" s="1"/>
  <c r="L11" i="19"/>
  <c r="J16" i="19"/>
  <c r="CP20" i="19"/>
  <c r="CS20" i="19" s="1"/>
  <c r="CT20" i="19" s="1"/>
  <c r="M20" i="19" s="1"/>
  <c r="L20" i="19"/>
  <c r="L19" i="19" s="1"/>
  <c r="CP14" i="19"/>
  <c r="CS14" i="19" s="1"/>
  <c r="CT14" i="19" s="1"/>
  <c r="M14" i="19" s="1"/>
  <c r="L14" i="19"/>
  <c r="J12" i="19"/>
  <c r="N12" i="19" l="1"/>
  <c r="P12" i="19" s="1"/>
  <c r="N15" i="19"/>
  <c r="P15" i="19" s="1"/>
  <c r="Y131" i="17"/>
  <c r="W131" i="17" s="1"/>
  <c r="P131" i="17"/>
  <c r="L6" i="19"/>
  <c r="N17" i="19"/>
  <c r="O17" i="19" s="1"/>
  <c r="J6" i="19"/>
  <c r="M6" i="19"/>
  <c r="N10" i="19"/>
  <c r="P10" i="19" s="1"/>
  <c r="O16" i="19"/>
  <c r="P16" i="19"/>
  <c r="M19" i="19"/>
  <c r="N19" i="19" s="1"/>
  <c r="N4" i="19"/>
  <c r="N14" i="19"/>
  <c r="N11" i="19"/>
  <c r="J19" i="19"/>
  <c r="N6" i="19" l="1"/>
  <c r="O6" i="19" s="1"/>
  <c r="P17" i="19"/>
  <c r="O12" i="19"/>
  <c r="O15" i="19"/>
  <c r="O10" i="19"/>
  <c r="O19" i="19"/>
  <c r="P19" i="19"/>
  <c r="P4" i="19"/>
  <c r="O4" i="19"/>
  <c r="P14" i="19"/>
  <c r="O14" i="19"/>
  <c r="P11" i="19"/>
  <c r="O11" i="19"/>
  <c r="N23" i="19" l="1"/>
  <c r="N24" i="19" s="1"/>
  <c r="P6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<sst xmlns="http://schemas.openxmlformats.org/spreadsheetml/2006/main" count="1782" uniqueCount="199">
  <si>
    <t>Value</t>
  </si>
  <si>
    <t>2025/11/17</t>
  </si>
  <si>
    <t>2025/11/30</t>
  </si>
  <si>
    <t>2025/12/31</t>
  </si>
  <si>
    <t>2026/01/31</t>
  </si>
  <si>
    <t>2026/02/28</t>
  </si>
  <si>
    <t>2026/03/31</t>
  </si>
  <si>
    <t>2026/04/30</t>
  </si>
  <si>
    <t>2026/05/31</t>
  </si>
  <si>
    <t>2026/06/30</t>
  </si>
  <si>
    <t>2026/07/31</t>
  </si>
  <si>
    <t>2026/08/31</t>
  </si>
  <si>
    <t>2026/09/30</t>
  </si>
  <si>
    <t>2026/10/31</t>
  </si>
  <si>
    <t>2026/11/30</t>
  </si>
  <si>
    <t>2026/12/31</t>
  </si>
  <si>
    <t>2027/01/31</t>
  </si>
  <si>
    <t>2027/02/28</t>
  </si>
  <si>
    <t>2027/03/31</t>
  </si>
  <si>
    <t>2027/04/30</t>
  </si>
  <si>
    <t>2027/05/31</t>
  </si>
  <si>
    <t>2027/06/30</t>
  </si>
  <si>
    <t>2027/07/31</t>
  </si>
  <si>
    <t>2027/08/31</t>
  </si>
  <si>
    <t>2027/09/30</t>
  </si>
  <si>
    <t>2027/10/31</t>
  </si>
  <si>
    <t>2027/11/30</t>
  </si>
  <si>
    <t>2027/12/31</t>
  </si>
  <si>
    <t>2028/01/31</t>
  </si>
  <si>
    <t>2028/02/29</t>
  </si>
  <si>
    <t>2028/03/31</t>
  </si>
  <si>
    <t>2028/04/30</t>
  </si>
  <si>
    <t>2028/05/31</t>
  </si>
  <si>
    <t>2028/06/30</t>
  </si>
  <si>
    <t>2028/07/31</t>
  </si>
  <si>
    <t>2028/08/31</t>
  </si>
  <si>
    <t>2028/09/30</t>
  </si>
  <si>
    <t>2028/10/31</t>
  </si>
  <si>
    <t>2028/11/30</t>
  </si>
  <si>
    <t>2028/12/31</t>
  </si>
  <si>
    <t>2029/01/31</t>
  </si>
  <si>
    <t>2029/02/28</t>
  </si>
  <si>
    <t>2029/03/31</t>
  </si>
  <si>
    <t>2029/04/30</t>
  </si>
  <si>
    <t>2029/05/31</t>
  </si>
  <si>
    <t>2029/06/30</t>
  </si>
  <si>
    <t>2029/07/31</t>
  </si>
  <si>
    <t>2029/08/31</t>
  </si>
  <si>
    <t>2029/09/30</t>
  </si>
  <si>
    <t>2029/10/31</t>
  </si>
  <si>
    <t>2029/11/30</t>
  </si>
  <si>
    <t>2029/12/31</t>
  </si>
  <si>
    <t>2030/01/31</t>
  </si>
  <si>
    <t>2030/02/28</t>
  </si>
  <si>
    <t>2030/03/31</t>
  </si>
  <si>
    <t>2030/04/30</t>
  </si>
  <si>
    <t>2030/05/31</t>
  </si>
  <si>
    <t>2030/06/30</t>
  </si>
  <si>
    <t>2030/07/31</t>
  </si>
  <si>
    <t>2030/08/31</t>
  </si>
  <si>
    <t>2030/09/30</t>
  </si>
  <si>
    <t>2030/10/31</t>
  </si>
  <si>
    <t>2030/11/30</t>
  </si>
  <si>
    <t>2030/12/31</t>
  </si>
  <si>
    <t>fml_count</t>
  </si>
  <si>
    <t>olmm_count</t>
  </si>
  <si>
    <t>pl_count</t>
  </si>
  <si>
    <t>revenue_p_m</t>
  </si>
  <si>
    <t>depreciation_p_m</t>
  </si>
  <si>
    <t>interest_p_m</t>
  </si>
  <si>
    <t>admin_p_m</t>
  </si>
  <si>
    <t>maint_prov_p_m</t>
  </si>
  <si>
    <t>maintenance_fund</t>
  </si>
  <si>
    <t>other_fee_p_m</t>
  </si>
  <si>
    <t>total_cost</t>
  </si>
  <si>
    <t>nbv</t>
  </si>
  <si>
    <t>maint_fund_drop</t>
  </si>
  <si>
    <t>fml_fleet_drop</t>
  </si>
  <si>
    <t>olmm_fleet_drop</t>
  </si>
  <si>
    <t>F2026-Q1</t>
  </si>
  <si>
    <t>F2026-Q2</t>
  </si>
  <si>
    <t>F2026-Q3</t>
  </si>
  <si>
    <t>F2026-Q4</t>
  </si>
  <si>
    <t>F2027-Q1</t>
  </si>
  <si>
    <t>F2027-Q2</t>
  </si>
  <si>
    <t>F2027-Q3</t>
  </si>
  <si>
    <t>F2027-Q4</t>
  </si>
  <si>
    <t>F2028-Q1</t>
  </si>
  <si>
    <t>F2028-Q2</t>
  </si>
  <si>
    <t>F2028-Q3</t>
  </si>
  <si>
    <t>F2028-Q4</t>
  </si>
  <si>
    <t>F2029-Q1</t>
  </si>
  <si>
    <t>F2029-Q2</t>
  </si>
  <si>
    <t>F2029-Q3</t>
  </si>
  <si>
    <t>F2029-Q4</t>
  </si>
  <si>
    <t>F2030-Q1</t>
  </si>
  <si>
    <t>F2030-Q2</t>
  </si>
  <si>
    <t>F2030-Q3</t>
  </si>
  <si>
    <t>F2030-Q4</t>
  </si>
  <si>
    <t>F2031-Q1</t>
  </si>
  <si>
    <t>BOT</t>
  </si>
  <si>
    <t>Revenue</t>
  </si>
  <si>
    <t>Fleet Count FML</t>
  </si>
  <si>
    <t>Fleet Count OLMM</t>
  </si>
  <si>
    <t>Fleet Count PL</t>
  </si>
  <si>
    <t>GHA</t>
  </si>
  <si>
    <t>GHC</t>
  </si>
  <si>
    <t>LES</t>
  </si>
  <si>
    <t>MOZ</t>
  </si>
  <si>
    <t>NAM</t>
  </si>
  <si>
    <t>Inland</t>
  </si>
  <si>
    <t>Central &amp; Commercial</t>
  </si>
  <si>
    <t>Coastal</t>
  </si>
  <si>
    <t xml:space="preserve">Public Sector
</t>
  </si>
  <si>
    <t>Legal</t>
  </si>
  <si>
    <t>Company Cars</t>
  </si>
  <si>
    <t>iLease</t>
  </si>
  <si>
    <t>ZAM</t>
  </si>
  <si>
    <t>ZMK</t>
  </si>
  <si>
    <t>Total</t>
  </si>
  <si>
    <t>Q1</t>
  </si>
  <si>
    <t>Q2</t>
  </si>
  <si>
    <t>Q3</t>
  </si>
  <si>
    <t>Q4</t>
  </si>
  <si>
    <t>F26</t>
  </si>
  <si>
    <t>Botswana</t>
  </si>
  <si>
    <t>Ghana</t>
  </si>
  <si>
    <t>Lesotho</t>
  </si>
  <si>
    <t>Namibia</t>
  </si>
  <si>
    <t>Mozambique</t>
  </si>
  <si>
    <t>Zambia</t>
  </si>
  <si>
    <t>Plan</t>
  </si>
  <si>
    <t>In Contract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</si>
  <si>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</si>
  <si>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</si>
  <si>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</si>
  <si>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</si>
  <si>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</si>
  <si>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</si>
  <si>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</si>
  <si>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</si>
  <si>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</si>
  <si>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</si>
  <si>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</si>
  <si>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</si>
  <si>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New</t>
  </si>
  <si>
    <t>Replacements</t>
  </si>
  <si>
    <t>Contract End</t>
  </si>
  <si>
    <t>Replacement</t>
  </si>
  <si>
    <t>Growth</t>
  </si>
  <si>
    <t>Column</t>
  </si>
  <si>
    <t>Period 1</t>
  </si>
  <si>
    <t>Period 2</t>
  </si>
  <si>
    <t>Period 3</t>
  </si>
  <si>
    <t>Period 4</t>
  </si>
  <si>
    <t>Region</t>
  </si>
  <si>
    <t>Company Code</t>
  </si>
  <si>
    <t>Budget Split</t>
  </si>
  <si>
    <t>fleet ratio</t>
  </si>
  <si>
    <t>rental ratio</t>
  </si>
  <si>
    <t>Revenue Budget</t>
  </si>
  <si>
    <t>Fleet Budget</t>
  </si>
  <si>
    <t>Fleet Contracted</t>
  </si>
  <si>
    <t>Fleet New</t>
  </si>
  <si>
    <t>Fleet Forecast</t>
  </si>
  <si>
    <t>Revenue YTD</t>
  </si>
  <si>
    <t>Revenue Contracted</t>
  </si>
  <si>
    <t>Revenue New</t>
  </si>
  <si>
    <t>Revenue Forecast</t>
  </si>
  <si>
    <t>Revenue Gap</t>
  </si>
  <si>
    <t>Revenue Risk</t>
  </si>
  <si>
    <t>Budget Contribution</t>
  </si>
  <si>
    <t>Fleet</t>
  </si>
  <si>
    <t>FX</t>
  </si>
  <si>
    <t>Revenue (month)</t>
  </si>
  <si>
    <t>Avg Revenue</t>
  </si>
  <si>
    <t>Dropped Fleet</t>
  </si>
  <si>
    <t>Replacement Fleet</t>
  </si>
  <si>
    <t>Replacement Revenue</t>
  </si>
  <si>
    <t>Replacement Revenue Full Year</t>
  </si>
  <si>
    <t>Full Year Estimate Current</t>
  </si>
  <si>
    <t>X 6</t>
  </si>
  <si>
    <t>H1 Estimate</t>
  </si>
  <si>
    <t>RSA</t>
  </si>
  <si>
    <t>Public Sector</t>
  </si>
  <si>
    <t>RTLeasing.AvisFleetAFSBotswana</t>
  </si>
  <si>
    <t>RTLeasing.AvisFleetAFSNamibia</t>
  </si>
  <si>
    <t>RTLeasing.AvisFleetPhakisaworld</t>
  </si>
  <si>
    <t>RTLeasing.AvisFleetZedaCarLeasing</t>
  </si>
  <si>
    <t>RTLeasing.AvisFleetAFSLesotho</t>
  </si>
  <si>
    <t>RTLeasing.AFSMozMetAcq</t>
  </si>
  <si>
    <t>RTLeasing.FleetServicesConAdj</t>
  </si>
  <si>
    <t>RTLeasing.AvisFleetAFSGhana</t>
  </si>
  <si>
    <t>RTLeasing.AvisFleetAFSZambia</t>
  </si>
  <si>
    <t>RTLeasing.AvisFleetAFSGhanaCedi</t>
  </si>
  <si>
    <t>RTLeasing.AvisFleetAFSAutoFleetServices</t>
  </si>
  <si>
    <t>RTLeasing.ZedaMobilityZimbabwe</t>
  </si>
  <si>
    <t>RTLeasing.ZedaMobilitySA</t>
  </si>
  <si>
    <t>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</si>
</sst>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&quot;#,##0;[Red]\-&quot;R&quot;#,##0"/>
    <numFmt numFmtId="164" formatCode="_-* #,##0\ _$_-;\-* #,##0\ _$_-;_-* &quot;-&quot;\ _$_-;_-@_-"/>
    <numFmt numFmtId="165" formatCode="#,###"/>
    <numFmt numFmtId="166" formatCode="&quot;R&quot;#,##0"/>
    <numFmt numFmtId="167" formatCode="&quot;R&quot;#,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64" fontId="1" fillId="0" borderId="0" xfId="1"/>
    <xf numFmtId="164" fontId="2" fillId="0" borderId="0" xfId="1" applyFon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6" fontId="0" fillId="0" borderId="0" xfId="0" applyNumberFormat="1"/>
    <xf numFmtId="9" fontId="0" fillId="0" borderId="0" xfId="0" applyNumberFormat="1"/>
    <xf numFmtId="9" fontId="0" fillId="0" borderId="0" xfId="2" applyFont="1"/>
    <xf numFmtId="3" fontId="0" fillId="0" borderId="0" xfId="0" applyNumberFormat="1"/>
    <xf numFmtId="3" fontId="0" fillId="0" borderId="1" xfId="0" applyNumberFormat="1" applyBorder="1"/>
    <xf numFmtId="0" fontId="0" fillId="3" borderId="1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0" applyNumberFormat="1" applyFill="1"/>
    <xf numFmtId="166" fontId="0" fillId="3" borderId="0" xfId="0" applyNumberFormat="1" applyFill="1"/>
    <xf numFmtId="9" fontId="0" fillId="3" borderId="0" xfId="2" applyFont="1" applyFill="1"/>
    <xf numFmtId="167" fontId="0" fillId="0" borderId="0" xfId="0" applyNumberFormat="1"/>
    <xf numFmtId="10" fontId="0" fillId="3" borderId="0" xfId="0" applyNumberFormat="1" applyFill="1" applyAlignment="1">
      <alignment horizontal="center"/>
    </xf>
    <xf numFmtId="10" fontId="0" fillId="0" borderId="0" xfId="0" applyNumberFormat="1" applyAlignment="1">
      <alignment horizontal="center"/>
    </xf>
    <xf numFmtId="166" fontId="0" fillId="4" borderId="0" xfId="0" applyNumberFormat="1" applyFill="1"/>
    <xf numFmtId="166" fontId="0" fillId="5" borderId="0" xfId="0" applyNumberFormat="1" applyFill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'Summary ZAR'!$E$186</c:f>
              <c:strCache>
                <c:ptCount val="1"/>
                <c:pt idx="0">
                  <c:v>In Contract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ZAR'!$D$187:$D$196</c:f>
              <c:strCache>
                <c:ptCount val="10"/>
                <c:pt idx="0">
                  <c:v>Inland</c:v>
                </c:pt>
                <c:pt idx="1">
                  <c:v>Coastal</c:v>
                </c:pt>
                <c:pt idx="2">
                  <c:v>Namibia</c:v>
                </c:pt>
                <c:pt idx="3">
                  <c:v>Zambia</c:v>
                </c:pt>
                <c:pt idx="4">
                  <c:v>Central &amp; Commercial</c:v>
                </c:pt>
                <c:pt idx="5">
                  <c:v>Mozambique</c:v>
                </c:pt>
                <c:pt idx="6">
                  <c:v>Botswana</c:v>
                </c:pt>
                <c:pt idx="7">
                  <c:v>Ghana</c:v>
                </c:pt>
                <c:pt idx="8">
                  <c:v>Public Sector
</c:v>
                </c:pt>
                <c:pt idx="9">
                  <c:v>Lesotho</c:v>
                </c:pt>
              </c:strCache>
            </c:strRef>
          </c:cat>
          <c:val>
            <c:numRef>
              <c:f>'Summary ZAR'!$E$187:$E$196</c:f>
              <c:numCache>
                <c:formatCode>"R"#\ ##0</c:formatCode>
                <c:ptCount val="10"/>
                <c:pt idx="0">
                  <c:v>930640355.4000001</c:v>
                </c:pt>
                <c:pt idx="1">
                  <c:v>314289320.60999942</c:v>
                </c:pt>
                <c:pt idx="2">
                  <c:v>163088397.31000006</c:v>
                </c:pt>
                <c:pt idx="3">
                  <c:v>162762900.63704297</c:v>
                </c:pt>
                <c:pt idx="4">
                  <c:v>29559385.427064087</c:v>
                </c:pt>
                <c:pt idx="5">
                  <c:v>16185473.25440784</c:v>
                </c:pt>
                <c:pt idx="6">
                  <c:v>62287474.78514123</c:v>
                </c:pt>
                <c:pt idx="7">
                  <c:v>55343293.285630181</c:v>
                </c:pt>
                <c:pt idx="8">
                  <c:v>32504165.312505916</c:v>
                </c:pt>
                <c:pt idx="9">
                  <c:v>29690408.680000015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8-4046-8E5D-F53531D5F26E}"/>
            </c:ext>
          </c:extLst>
        </c:ser>
        <c:ser>
          <c:idx val="1"/>
          <c:order val="1"/>
          <c:tx>
            <c:strRef>
              <c:f>'Summary ZAR'!$F$186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ZAR'!$D$187:$D$196</c:f>
              <c:strCache>
                <c:ptCount val="10"/>
                <c:pt idx="0">
                  <c:v>Inland</c:v>
                </c:pt>
                <c:pt idx="1">
                  <c:v>Coastal</c:v>
                </c:pt>
                <c:pt idx="2">
                  <c:v>Namibia</c:v>
                </c:pt>
                <c:pt idx="3">
                  <c:v>Zambia</c:v>
                </c:pt>
                <c:pt idx="4">
                  <c:v>Central &amp; Commercial</c:v>
                </c:pt>
                <c:pt idx="5">
                  <c:v>Mozambique</c:v>
                </c:pt>
                <c:pt idx="6">
                  <c:v>Botswana</c:v>
                </c:pt>
                <c:pt idx="7">
                  <c:v>Ghana</c:v>
                </c:pt>
                <c:pt idx="8">
                  <c:v>Public Sector
</c:v>
                </c:pt>
                <c:pt idx="9">
                  <c:v>Lesotho</c:v>
                </c:pt>
              </c:strCache>
            </c:strRef>
          </c:cat>
          <c:val>
            <c:numRef>
              <c:f>'Summary ZAR'!$F$187:$F$196</c:f>
              <c:numCache>
                <c:formatCode>"R"#\ ##0</c:formatCode>
                <c:ptCount val="10"/>
                <c:pt idx="0">
                  <c:v>6774155.019999966</c:v>
                </c:pt>
                <c:pt idx="1">
                  <c:v>2841264.5000000075</c:v>
                </c:pt>
                <c:pt idx="2">
                  <c:v>425375.70999999903</c:v>
                </c:pt>
                <c:pt idx="3">
                  <c:v>575564.74769451097</c:v>
                </c:pt>
                <c:pt idx="4">
                  <c:v>656875.23171253526</c:v>
                </c:pt>
                <c:pt idx="5">
                  <c:v>1474676.45206827</c:v>
                </c:pt>
                <c:pt idx="6">
                  <c:v>135324.46017102711</c:v>
                </c:pt>
                <c:pt idx="7">
                  <c:v>100506.90083675273</c:v>
                </c:pt>
                <c:pt idx="8">
                  <c:v>1128395.7799999928</c:v>
                </c:pt>
                <c:pt idx="9">
                  <c:v>132771.64999999851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8-4046-8E5D-F53531D5F26E}"/>
            </c:ext>
          </c:extLst>
        </c:ser>
        <c:ser>
          <c:idx val="2"/>
          <c:order val="2"/>
          <c:tx>
            <c:strRef>
              <c:f>'Summary ZAR'!$G$186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ZAR'!$D$187:$D$196</c:f>
              <c:strCache>
                <c:ptCount val="10"/>
                <c:pt idx="0">
                  <c:v>Inland</c:v>
                </c:pt>
                <c:pt idx="1">
                  <c:v>Coastal</c:v>
                </c:pt>
                <c:pt idx="2">
                  <c:v>Namibia</c:v>
                </c:pt>
                <c:pt idx="3">
                  <c:v>Zambia</c:v>
                </c:pt>
                <c:pt idx="4">
                  <c:v>Central &amp; Commercial</c:v>
                </c:pt>
                <c:pt idx="5">
                  <c:v>Mozambique</c:v>
                </c:pt>
                <c:pt idx="6">
                  <c:v>Botswana</c:v>
                </c:pt>
                <c:pt idx="7">
                  <c:v>Ghana</c:v>
                </c:pt>
                <c:pt idx="8">
                  <c:v>Public Sector
</c:v>
                </c:pt>
                <c:pt idx="9">
                  <c:v>Lesotho</c:v>
                </c:pt>
              </c:strCache>
            </c:strRef>
          </c:cat>
          <c:val>
            <c:numRef>
              <c:f>'Summary ZAR'!$G$187:$G$196</c:f>
              <c:numCache>
                <c:formatCode>"R"#\ ##0</c:formatCode>
                <c:ptCount val="10"/>
                <c:pt idx="0">
                  <c:v>-581685177.38186991</c:v>
                </c:pt>
                <c:pt idx="1">
                  <c:v>-163845625.83312181</c:v>
                </c:pt>
                <c:pt idx="2">
                  <c:v>-106663850.53691229</c:v>
                </c:pt>
                <c:pt idx="3">
                  <c:v>-112778701.11948074</c:v>
                </c:pt>
                <c:pt idx="4">
                  <c:v>2627500.9268501401</c:v>
                </c:pt>
                <c:pt idx="5">
                  <c:v>323709.46508815628</c:v>
                </c:pt>
                <c:pt idx="6">
                  <c:v>-39159047.758167841</c:v>
                </c:pt>
                <c:pt idx="7">
                  <c:v>-34737598.646859303</c:v>
                </c:pt>
                <c:pt idx="8">
                  <c:v>-11826475.919393852</c:v>
                </c:pt>
                <c:pt idx="9">
                  <c:v>-8005041.9339728095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8-4046-8E5D-F53531D5F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4933008"/>
        <c:axId val="744937688"/>
      </c:barChart>
      <c:catAx>
        <c:axId val="74493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37688"/>
        <c:crosses val="autoZero"/>
        <c:auto val="1"/>
        <c:lblAlgn val="ctr"/>
        <c:lblOffset val="100"/>
        <c:noMultiLvlLbl val="0"/>
      </c:catAx>
      <c:valAx>
        <c:axId val="7449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3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ZAR'!$E$149</c:f>
              <c:strCache>
                <c:ptCount val="1"/>
                <c:pt idx="0">
                  <c:v>Inland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ZAR'!$E$150:$E$151</c:f>
              <c:numCache>
                <c:formatCode>"R"#\ ##0</c:formatCode>
                <c:ptCount val="2"/>
                <c:pt idx="0">
                  <c:v>189782178.72</c:v>
                </c:pt>
                <c:pt idx="1">
                  <c:v>355729333.03813016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7-431B-AC59-5021B7F293DC}"/>
            </c:ext>
          </c:extLst>
        </c:ser>
        <c:ser>
          <c:idx val="1"/>
          <c:order val="1"/>
          <c:tx>
            <c:strRef>
              <c:f>'Summary ZAR'!$F$149</c:f>
              <c:strCache>
                <c:ptCount val="1"/>
                <c:pt idx="0">
                  <c:v>Coastal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ZAR'!$F$150:$F$151</c:f>
              <c:numCache>
                <c:formatCode>"R"#\ ##0</c:formatCode>
                <c:ptCount val="2"/>
                <c:pt idx="0">
                  <c:v>65225362.229999907</c:v>
                </c:pt>
                <c:pt idx="1">
                  <c:v>153284959.27687761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7-431B-AC59-5021B7F293DC}"/>
            </c:ext>
          </c:extLst>
        </c:ser>
        <c:ser>
          <c:idx val="2"/>
          <c:order val="2"/>
          <c:tx>
            <c:strRef>
              <c:f>'Summary ZAR'!$G$149</c:f>
              <c:strCache>
                <c:ptCount val="1"/>
                <c:pt idx="0">
                  <c:v>Namibia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ZAR'!$G$150:$G$151</c:f>
              <c:numCache>
                <c:formatCode>"R"#\ ##0</c:formatCode>
                <c:ptCount val="2"/>
                <c:pt idx="0">
                  <c:v>32097606.640000019</c:v>
                </c:pt>
                <c:pt idx="1">
                  <c:v>56849922.483087763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7-431B-AC59-5021B7F293DC}"/>
            </c:ext>
          </c:extLst>
        </c:ser>
        <c:ser>
          <c:idx val="3"/>
          <c:order val="3"/>
          <c:tx>
            <c:strRef>
              <c:f>'Summary ZAR'!$H$149</c:f>
              <c:strCache>
                <c:ptCount val="1"/>
                <c:pt idx="0">
                  <c:v>Zambia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ZAR'!$H$150:$H$151</c:f>
              <c:numCache>
                <c:formatCode>"R"#\ ##0</c:formatCode>
                <c:ptCount val="2"/>
                <c:pt idx="0">
                  <c:v>31812632.780918028</c:v>
                </c:pt>
                <c:pt idx="1">
                  <c:v>50559764.265256733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7-431B-AC59-5021B7F293DC}"/>
            </c:ext>
          </c:extLst>
        </c:ser>
        <c:ser>
          <c:idx val="4"/>
          <c:order val="4"/>
          <c:tx>
            <c:strRef>
              <c:f>'Summary ZAR'!$I$149</c:f>
              <c:strCache>
                <c:ptCount val="1"/>
                <c:pt idx="0">
                  <c:v>Central &amp; Commercial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ZAR'!$I$150:$I$151</c:f>
              <c:numCache>
                <c:formatCode>"R"#\ ##0</c:formatCode>
                <c:ptCount val="2"/>
                <c:pt idx="0">
                  <c:v>29590873.27</c:v>
                </c:pt>
                <c:pt idx="1">
                  <c:v>32843761.585626762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7-431B-AC59-5021B7F293DC}"/>
            </c:ext>
          </c:extLst>
        </c:ser>
        <c:ser>
          <c:idx val="5"/>
          <c:order val="5"/>
          <c:tx>
            <c:strRef>
              <c:f>'Summary ZAR'!$J$149</c:f>
              <c:strCache>
                <c:ptCount val="1"/>
                <c:pt idx="0">
                  <c:v>Public Sector
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ZAR'!$J$150:$J$151</c:f>
              <c:numCache>
                <c:formatCode>"R"#\ ##0</c:formatCode>
                <c:ptCount val="2"/>
                <c:pt idx="0">
                  <c:v>12971536.24000003</c:v>
                </c:pt>
                <c:pt idx="1">
                  <c:v>17983859.171564266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7-431B-AC59-5021B7F293DC}"/>
            </c:ext>
          </c:extLst>
        </c:ser>
        <c:ser>
          <c:idx val="6"/>
          <c:order val="6"/>
          <c:tx>
            <c:strRef>
              <c:f>'Summary ZAR'!$K$149</c:f>
              <c:strCache>
                <c:ptCount val="1"/>
                <c:pt idx="0">
                  <c:v>Mozambique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ZAR'!$K$150:$K$151</c:f>
              <c:numCache>
                <c:formatCode>"R"#\ ##0</c:formatCode>
                <c:ptCount val="2"/>
                <c:pt idx="0">
                  <c:v>12181665.819149438</c:v>
                </c:pt>
                <c:pt idx="1">
                  <c:v>23263751.487144418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E7-431B-AC59-5021B7F293DC}"/>
            </c:ext>
          </c:extLst>
        </c:ser>
        <c:ser>
          <c:idx val="7"/>
          <c:order val="7"/>
          <c:tx>
            <c:strRef>
              <c:f>'Summary ZAR'!$L$149</c:f>
              <c:strCache>
                <c:ptCount val="1"/>
                <c:pt idx="0">
                  <c:v>Botswana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ZAR'!$L$150:$L$151</c:f>
              <c:numCache>
                <c:formatCode>"R"#\ ##0</c:formatCode>
                <c:ptCount val="2"/>
                <c:pt idx="0">
                  <c:v>11323059.495952094</c:v>
                </c:pt>
                <c:pt idx="1">
                  <c:v>20706201.539607633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E7-431B-AC59-5021B7F293DC}"/>
            </c:ext>
          </c:extLst>
        </c:ser>
        <c:ser>
          <c:idx val="8"/>
          <c:order val="8"/>
          <c:tx>
            <c:strRef>
              <c:f>'Summary ZAR'!$M$149</c:f>
              <c:strCache>
                <c:ptCount val="1"/>
                <c:pt idx="0">
                  <c:v>Ghana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ZAR'!$M$150:$M$151</c:f>
              <c:numCache>
                <c:formatCode>"R"#\ ##0</c:formatCode>
                <c:ptCount val="2"/>
                <c:pt idx="0">
                  <c:v>6530054.7859019088</c:v>
                </c:pt>
                <c:pt idx="1">
                  <c:v>21806085.173112057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E7-431B-AC59-5021B7F293DC}"/>
            </c:ext>
          </c:extLst>
        </c:ser>
        <c:ser>
          <c:idx val="9"/>
          <c:order val="9"/>
          <c:tx>
            <c:strRef>
              <c:f>'Summary ZAR'!$N$149</c:f>
              <c:strCache>
                <c:ptCount val="1"/>
                <c:pt idx="0">
                  <c:v>Lesotho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ZAR'!$N$150:$N$151</c:f>
              <c:numCache>
                <c:formatCode>"R"#\ ##0</c:formatCode>
                <c:ptCount val="2"/>
                <c:pt idx="0">
                  <c:v>5672922.4200000037</c:v>
                </c:pt>
                <c:pt idx="1">
                  <c:v>21818138.396027204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E7-431B-AC59-5021B7F293DC}"/>
            </c:ext>
          </c:extLst>
        </c:ser>
        <c:ser>
          <c:idx val="10"/>
          <c:order val="10"/>
          <c:tx>
            <c:strRef>
              <c:f>'Summary ZAR'!$O$149</c:f>
              <c:strCache>
                <c:ptCount val="1"/>
                <c:pt idx="0">
                  <c:v>iLease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ZAR'!$O$150:$O$151</c:f>
              <c:numCache>
                <c:formatCode>"R"#\ ##0</c:formatCode>
                <c:ptCount val="2"/>
                <c:pt idx="0">
                  <c:v>437762.92</c:v>
                </c:pt>
                <c:pt idx="1">
                  <c:v>591018.84601384914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E7-431B-AC59-5021B7F29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7459952"/>
        <c:axId val="1207461032"/>
      </c:barChart>
      <c:lineChart>
        <c:grouping val="standard"/>
        <c:varyColors val="0"/>
        <c:ser>
          <c:idx val="11"/>
          <c:order val="11"/>
          <c:tx>
            <c:strRef>
              <c:f>'Summary ZAR'!$P$149</c:f>
              <c:strCache>
                <c:ptCount val="1"/>
                <c:pt idx="0">
                  <c:v>Contract End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ZAR'!$P$150:$P$151</c:f>
              <c:numCache>
                <c:formatCode>General</c:formatCode>
                <c:ptCount val="2"/>
                <c:pt idx="0" formatCode="&quot;R&quot;#\ ##0">
                  <c:v>89465456.801283523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E7-431B-AC59-5021B7F293DC}"/>
            </c:ext>
          </c:extLst>
        </c:ser>
        <c:ser>
          <c:idx val="12"/>
          <c:order val="12"/>
          <c:tx>
            <c:strRef>
              <c:f>'Summary ZAR'!$Q$149</c:f>
              <c:strCache>
                <c:ptCount val="1"/>
                <c:pt idx="0">
                  <c:v>New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ZAR'!$Q$150:$Q$151</c:f>
              <c:numCache>
                <c:formatCode>"R"#\ ##0</c:formatCode>
                <c:ptCount val="2"/>
                <c:pt idx="0">
                  <c:v>487078440.30705315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E7-431B-AC59-5021B7F293DC}"/>
            </c:ext>
          </c:extLst>
        </c:ser>
        <c:ser>
          <c:idx val="13"/>
          <c:order val="13"/>
          <c:tx>
            <c:strRef>
              <c:f>'Summary ZAR'!$R$149</c:f>
              <c:strCache>
                <c:ptCount val="1"/>
                <c:pt idx="0">
                  <c:v>In Contract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858227145336435E-2"/>
                  <c:y val="-7.23553273271448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E7-431B-AC59-5021B7F293DC}"/>
                </c:ext>
              </c:extLst>
            </c:dLbl>
            <c:dLbl>
              <c:idx val="1"/>
              <c:layout>
                <c:manualLayout>
                  <c:x val="-1.7174321328478626E-2"/>
                  <c:y val="-5.42664954953586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E7-431B-AC59-5021B7F293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ZAR'!$D$150:$D$151</c:f>
              <c:strCache>
                <c:ptCount val="2"/>
                <c:pt idx="0">
                  <c:v>Q1</c:v>
                </c:pt>
                <c:pt idx="1">
                  <c:v>Plan</c:v>
                </c:pt>
              </c:strCache>
            </c:strRef>
          </c:cat>
          <c:val>
            <c:numRef>
              <c:f>'Summary ZAR'!$R$150:$R$151</c:f>
              <c:numCache>
                <c:formatCode>"R"#\ ##0</c:formatCode>
                <c:ptCount val="2"/>
                <c:pt idx="0">
                  <c:v>397625655.32192135</c:v>
                </c:pt>
                <c:pt idx="1">
                  <c:v>755436795.26244855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E7-431B-AC59-5021B7F29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405456"/>
        <c:axId val="1196409056"/>
      </c:lineChart>
      <c:catAx>
        <c:axId val="120745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61032"/>
        <c:crosses val="autoZero"/>
        <c:auto val="1"/>
        <c:lblAlgn val="ctr"/>
        <c:lblOffset val="100"/>
        <c:noMultiLvlLbl val="0"/>
      </c:catAx>
      <c:valAx>
        <c:axId val="12074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59952"/>
        <c:crosses val="autoZero"/>
        <c:crossBetween val="between"/>
      </c:valAx>
      <c:valAx>
        <c:axId val="1196409056"/>
        <c:scaling>
          <c:orientation val="minMax"/>
        </c:scaling>
        <c:delete val="0"/>
        <c:axPos val="r"/>
        <c:numFmt formatCode="&quot;R&quot;#\ 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405456"/>
        <c:crosses val="max"/>
        <c:crossBetween val="between"/>
      </c:valAx>
      <c:catAx>
        <c:axId val="1196405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64090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1.1695381745021997E-2"/>
          <c:y val="6.3804652137912837E-2"/>
          <c:w val="0.18468731166850474"/>
          <c:h val="0.87272696221212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650875</xdr:colOff>
      <xdr:row>182</xdr:row>
      <xdr:rowOff>120650</xdr:rowOff>
    </xdr:from>
    <xdr:to>
      <xdr:col>12</xdr:col>
      <xdr:colOff>663575</xdr:colOff>
      <xdr:row>197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A99A8-D46A-52BB-C1AF-81ECCEA74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1050584</xdr:colOff>
      <xdr:row>135</xdr:row>
      <xdr:rowOff>56697</xdr:rowOff>
    </xdr:from>
    <xdr:to>
      <xdr:col>13</xdr:col>
      <xdr:colOff>776741</xdr:colOff>
      <xdr:row>158</xdr:row>
      <xdr:rowOff>96384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CA3120-F175-C11E-BF81-A3469723D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bgza.sharepoint.com/sites/RevenueForecast/Shared%20Documents/General/Feb%2025/Tsogo%20Analysis%20Febr.xlsx" TargetMode="External"/><Relationship Id="rId1" Type="http://schemas.openxmlformats.org/officeDocument/2006/relationships/externalLinkPath" Target="https://abgza.sharepoint.com/sites/RevenueForecast/Shared%20Documents/General/May%2025/Tsogo%20Analysis%20Feb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Detail1"/>
      <sheetName val="Detail2"/>
      <sheetName val="Breakdown"/>
      <sheetName val="Sheet3"/>
      <sheetName val="Data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">
          <cell r="N14">
            <v>-46620145.52579318</v>
          </cell>
          <cell r="R14">
            <v>-295896.74971668795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6"/>
  <sheetViews>
    <sheetView workbookViewId="0">
      <selection sqref="A1:XFD1048576"/>
    </sheetView>
  </sheetViews>
  <sheetFormatPr defaultColWidth="13.1796875" defaultRowHeight="14.5" x14ac:dyDescent="0.35"/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455</v>
      </c>
      <c r="C2" s="2">
        <v>367</v>
      </c>
      <c r="D2" s="2">
        <v>361</v>
      </c>
      <c r="E2" s="3">
        <v>360</v>
      </c>
      <c r="F2" s="2">
        <v>357</v>
      </c>
      <c r="G2" s="2">
        <v>336</v>
      </c>
      <c r="H2" s="3">
        <v>323</v>
      </c>
      <c r="I2" s="2">
        <v>293</v>
      </c>
      <c r="J2" s="2">
        <v>277</v>
      </c>
      <c r="K2" s="3">
        <v>268</v>
      </c>
      <c r="L2" s="2">
        <v>258</v>
      </c>
      <c r="M2" s="2">
        <v>240</v>
      </c>
      <c r="N2" s="3">
        <v>234</v>
      </c>
      <c r="O2" s="2">
        <v>223</v>
      </c>
      <c r="P2" s="2">
        <v>215</v>
      </c>
      <c r="Q2" s="3">
        <v>208</v>
      </c>
      <c r="R2" s="2">
        <v>203</v>
      </c>
      <c r="S2" s="2">
        <v>194</v>
      </c>
      <c r="T2" s="3">
        <v>190</v>
      </c>
      <c r="U2" s="2">
        <v>184</v>
      </c>
      <c r="V2" s="2">
        <v>182</v>
      </c>
      <c r="W2" s="3">
        <v>177</v>
      </c>
      <c r="X2" s="2">
        <v>166</v>
      </c>
      <c r="Y2" s="2">
        <v>162</v>
      </c>
      <c r="Z2" s="3">
        <v>150</v>
      </c>
      <c r="AA2" s="2">
        <v>148</v>
      </c>
      <c r="AB2" s="2">
        <v>147</v>
      </c>
      <c r="AC2" s="3">
        <v>146</v>
      </c>
      <c r="AD2" s="2">
        <v>142</v>
      </c>
      <c r="AE2" s="2">
        <v>135</v>
      </c>
      <c r="AF2" s="3">
        <v>108</v>
      </c>
      <c r="AG2" s="2">
        <v>89</v>
      </c>
      <c r="AH2" s="2">
        <v>86</v>
      </c>
      <c r="AI2" s="3">
        <v>80</v>
      </c>
      <c r="AJ2" s="2">
        <v>76</v>
      </c>
      <c r="AK2" s="2">
        <v>68</v>
      </c>
      <c r="AL2" s="3">
        <v>61</v>
      </c>
      <c r="AM2" s="2">
        <v>53</v>
      </c>
      <c r="AN2" s="2">
        <v>53</v>
      </c>
      <c r="AO2" s="3">
        <v>50</v>
      </c>
      <c r="AP2" s="2">
        <v>46</v>
      </c>
      <c r="AQ2" s="2">
        <v>43</v>
      </c>
      <c r="AR2" s="3">
        <v>42</v>
      </c>
      <c r="AS2" s="2">
        <v>39</v>
      </c>
      <c r="AT2" s="2">
        <v>37</v>
      </c>
      <c r="AU2" s="3">
        <v>29</v>
      </c>
      <c r="AV2" s="2">
        <v>28</v>
      </c>
      <c r="AW2" s="2">
        <v>23</v>
      </c>
      <c r="AX2" s="3">
        <v>21</v>
      </c>
      <c r="AY2" s="2">
        <v>16</v>
      </c>
      <c r="AZ2" s="2">
        <v>14</v>
      </c>
      <c r="BA2" s="3">
        <v>13</v>
      </c>
      <c r="BB2" s="2">
        <v>11</v>
      </c>
      <c r="BC2" s="2">
        <v>11</v>
      </c>
      <c r="BD2" s="3">
        <v>7</v>
      </c>
      <c r="BE2" s="2">
        <v>3</v>
      </c>
      <c r="BF2" s="2">
        <v>2</v>
      </c>
      <c r="BG2" s="3">
        <v>2</v>
      </c>
      <c r="BH2" s="2">
        <v>0</v>
      </c>
      <c r="BI2" s="2">
        <v>0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25</v>
      </c>
      <c r="C3" s="2">
        <v>21</v>
      </c>
      <c r="D3" s="2">
        <v>20</v>
      </c>
      <c r="E3" s="3">
        <v>20</v>
      </c>
      <c r="F3" s="2">
        <v>20</v>
      </c>
      <c r="G3" s="2">
        <v>19</v>
      </c>
      <c r="H3" s="3">
        <v>18</v>
      </c>
      <c r="I3" s="2">
        <v>18</v>
      </c>
      <c r="J3" s="2">
        <v>18</v>
      </c>
      <c r="K3" s="3">
        <v>18</v>
      </c>
      <c r="L3" s="2">
        <v>18</v>
      </c>
      <c r="M3" s="2">
        <v>17</v>
      </c>
      <c r="N3" s="3">
        <v>17</v>
      </c>
      <c r="O3" s="2">
        <v>17</v>
      </c>
      <c r="P3" s="2">
        <v>17</v>
      </c>
      <c r="Q3" s="3">
        <v>17</v>
      </c>
      <c r="R3" s="2">
        <v>16</v>
      </c>
      <c r="S3" s="2">
        <v>15</v>
      </c>
      <c r="T3" s="3">
        <v>14</v>
      </c>
      <c r="U3" s="2">
        <v>13</v>
      </c>
      <c r="V3" s="2">
        <v>12</v>
      </c>
      <c r="W3" s="3">
        <v>12</v>
      </c>
      <c r="X3" s="2">
        <v>10</v>
      </c>
      <c r="Y3" s="2">
        <v>10</v>
      </c>
      <c r="Z3" s="3">
        <v>10</v>
      </c>
      <c r="AA3" s="2">
        <v>10</v>
      </c>
      <c r="AB3" s="2">
        <v>9</v>
      </c>
      <c r="AC3" s="3">
        <v>9</v>
      </c>
      <c r="AD3" s="2">
        <v>9</v>
      </c>
      <c r="AE3" s="2">
        <v>8</v>
      </c>
      <c r="AF3" s="3">
        <v>8</v>
      </c>
      <c r="AG3" s="2">
        <v>8</v>
      </c>
      <c r="AH3" s="2">
        <v>8</v>
      </c>
      <c r="AI3" s="3">
        <v>7</v>
      </c>
      <c r="AJ3" s="2">
        <v>6</v>
      </c>
      <c r="AK3" s="2">
        <v>6</v>
      </c>
      <c r="AL3" s="3">
        <v>6</v>
      </c>
      <c r="AM3" s="2">
        <v>6</v>
      </c>
      <c r="AN3" s="2">
        <v>6</v>
      </c>
      <c r="AO3" s="3">
        <v>6</v>
      </c>
      <c r="AP3" s="2">
        <v>6</v>
      </c>
      <c r="AQ3" s="2">
        <v>6</v>
      </c>
      <c r="AR3" s="3">
        <v>6</v>
      </c>
      <c r="AS3" s="2">
        <v>6</v>
      </c>
      <c r="AT3" s="2">
        <v>6</v>
      </c>
      <c r="AU3" s="3">
        <v>6</v>
      </c>
      <c r="AV3" s="2">
        <v>6</v>
      </c>
      <c r="AW3" s="2">
        <v>5</v>
      </c>
      <c r="AX3" s="3">
        <v>5</v>
      </c>
      <c r="AY3" s="2">
        <v>5</v>
      </c>
      <c r="AZ3" s="2">
        <v>5</v>
      </c>
      <c r="BA3" s="3">
        <v>5</v>
      </c>
      <c r="BB3" s="2">
        <v>5</v>
      </c>
      <c r="BC3" s="2">
        <v>5</v>
      </c>
      <c r="BD3" s="3">
        <v>5</v>
      </c>
      <c r="BE3" s="2">
        <v>5</v>
      </c>
      <c r="BF3" s="2">
        <v>5</v>
      </c>
      <c r="BG3" s="3">
        <v>4</v>
      </c>
      <c r="BH3" s="2">
        <v>4</v>
      </c>
      <c r="BI3" s="2">
        <v>1</v>
      </c>
      <c r="BJ3" s="3">
        <v>1</v>
      </c>
      <c r="BK3" s="2">
        <v>1</v>
      </c>
      <c r="BL3">
        <v>1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5081053.4099999964</v>
      </c>
      <c r="C5" s="2">
        <v>4259103.0599999968</v>
      </c>
      <c r="D5" s="2">
        <v>4215213.8999999976</v>
      </c>
      <c r="E5" s="3">
        <v>4201713.7299999977</v>
      </c>
      <c r="F5" s="2">
        <v>4163585.9699999979</v>
      </c>
      <c r="G5" s="2">
        <v>4012113.6999999979</v>
      </c>
      <c r="H5" s="3">
        <v>3884762.819999998</v>
      </c>
      <c r="I5" s="2">
        <v>3615460.7699999982</v>
      </c>
      <c r="J5" s="2">
        <v>3440604.9999999981</v>
      </c>
      <c r="K5" s="3">
        <v>3347418.7199999969</v>
      </c>
      <c r="L5" s="2">
        <v>3250530.3299999982</v>
      </c>
      <c r="M5" s="2">
        <v>3029093.2199999988</v>
      </c>
      <c r="N5" s="3">
        <v>2921123.2999999989</v>
      </c>
      <c r="O5" s="2">
        <v>2783749.33</v>
      </c>
      <c r="P5" s="2">
        <v>2679016.5899999989</v>
      </c>
      <c r="Q5" s="3">
        <v>2589491.77</v>
      </c>
      <c r="R5" s="2">
        <v>2502689.12</v>
      </c>
      <c r="S5" s="2">
        <v>2402952.8199999989</v>
      </c>
      <c r="T5" s="3">
        <v>2343937.8399999989</v>
      </c>
      <c r="U5" s="2">
        <v>2251476</v>
      </c>
      <c r="V5" s="2">
        <v>2217258.33</v>
      </c>
      <c r="W5" s="3">
        <v>2099640.7599999998</v>
      </c>
      <c r="X5" s="2">
        <v>1999478.67</v>
      </c>
      <c r="Y5" s="2">
        <v>1906524.6700000011</v>
      </c>
      <c r="Z5" s="3">
        <v>1744996.82</v>
      </c>
      <c r="AA5" s="2">
        <v>1726709.99</v>
      </c>
      <c r="AB5" s="2">
        <v>1705233.38</v>
      </c>
      <c r="AC5" s="3">
        <v>1672656.47</v>
      </c>
      <c r="AD5" s="2">
        <v>1621986.300000001</v>
      </c>
      <c r="AE5" s="2">
        <v>1533685.4</v>
      </c>
      <c r="AF5" s="3">
        <v>1359397.79</v>
      </c>
      <c r="AG5" s="2">
        <v>1144108.3700000001</v>
      </c>
      <c r="AH5" s="2">
        <v>1121500.8400000001</v>
      </c>
      <c r="AI5" s="3">
        <v>1047594</v>
      </c>
      <c r="AJ5" s="2">
        <v>963186.89999999991</v>
      </c>
      <c r="AK5" s="2">
        <v>876411.5299999998</v>
      </c>
      <c r="AL5" s="3">
        <v>770158.15999999992</v>
      </c>
      <c r="AM5" s="2">
        <v>686904.21</v>
      </c>
      <c r="AN5" s="2">
        <v>686904.21</v>
      </c>
      <c r="AO5" s="3">
        <v>625687.0199999999</v>
      </c>
      <c r="AP5" s="2">
        <v>586084.54</v>
      </c>
      <c r="AQ5" s="2">
        <v>535785.79</v>
      </c>
      <c r="AR5" s="3">
        <v>523697.24</v>
      </c>
      <c r="AS5" s="2">
        <v>498067.55</v>
      </c>
      <c r="AT5" s="2">
        <v>478026.26</v>
      </c>
      <c r="AU5" s="3">
        <v>382320.6</v>
      </c>
      <c r="AV5" s="2">
        <v>369861.19000000012</v>
      </c>
      <c r="AW5" s="2">
        <v>284181.19</v>
      </c>
      <c r="AX5" s="3">
        <v>261172.77999999991</v>
      </c>
      <c r="AY5" s="2">
        <v>201693.16</v>
      </c>
      <c r="AZ5" s="2">
        <v>182956.89</v>
      </c>
      <c r="BA5" s="3">
        <v>176550.81</v>
      </c>
      <c r="BB5" s="2">
        <v>156874.07999999999</v>
      </c>
      <c r="BC5" s="2">
        <v>156874.07999999999</v>
      </c>
      <c r="BD5" s="3">
        <v>100112.61</v>
      </c>
      <c r="BE5" s="2">
        <v>49390.649999999987</v>
      </c>
      <c r="BF5" s="2">
        <v>43907.040000000008</v>
      </c>
      <c r="BG5" s="3">
        <v>31287.919999999998</v>
      </c>
      <c r="BH5" s="2">
        <v>19619.79</v>
      </c>
      <c r="BI5" s="2">
        <v>10503.15</v>
      </c>
      <c r="BJ5" s="3">
        <v>10503.15</v>
      </c>
      <c r="BK5" s="2">
        <v>10503.15</v>
      </c>
      <c r="BL5">
        <v>10503.15</v>
      </c>
    </row>
    <row r="6" spans="1:64" ht="15.5" x14ac:dyDescent="0.35">
      <c r="A6" t="s">
        <v>68</v>
      </c>
      <c r="B6" s="2">
        <v>2704957.9299999978</v>
      </c>
      <c r="C6" s="2">
        <v>2263032.19</v>
      </c>
      <c r="D6" s="2">
        <v>2241103.27</v>
      </c>
      <c r="E6" s="3">
        <v>2236227.11</v>
      </c>
      <c r="F6" s="2">
        <v>2221835.19</v>
      </c>
      <c r="G6" s="2">
        <v>2136646.67</v>
      </c>
      <c r="H6" s="3">
        <v>2062584.09</v>
      </c>
      <c r="I6" s="2">
        <v>1916210.86</v>
      </c>
      <c r="J6" s="2">
        <v>1832675.67</v>
      </c>
      <c r="K6" s="3">
        <v>1783498.21</v>
      </c>
      <c r="L6" s="2">
        <v>1733536.59</v>
      </c>
      <c r="M6" s="2">
        <v>1615629.0199999991</v>
      </c>
      <c r="N6" s="3">
        <v>1547047.9999999991</v>
      </c>
      <c r="O6" s="2">
        <v>1470202.2799999991</v>
      </c>
      <c r="P6" s="2">
        <v>1412206.22</v>
      </c>
      <c r="Q6" s="3">
        <v>1362511.88</v>
      </c>
      <c r="R6" s="2">
        <v>1314407.99</v>
      </c>
      <c r="S6" s="2">
        <v>1268642.7299999991</v>
      </c>
      <c r="T6" s="3">
        <v>1244772.8199999989</v>
      </c>
      <c r="U6" s="2">
        <v>1192984.899999999</v>
      </c>
      <c r="V6" s="2">
        <v>1172053.409999999</v>
      </c>
      <c r="W6" s="3">
        <v>1096276.639999999</v>
      </c>
      <c r="X6" s="2">
        <v>1045111.079999999</v>
      </c>
      <c r="Y6" s="2">
        <v>989256.21999999951</v>
      </c>
      <c r="Z6" s="3">
        <v>901352.71999999986</v>
      </c>
      <c r="AA6" s="2">
        <v>890433.0299999998</v>
      </c>
      <c r="AB6" s="2">
        <v>878216.26999999979</v>
      </c>
      <c r="AC6" s="3">
        <v>857611.08999999985</v>
      </c>
      <c r="AD6" s="2">
        <v>828357.0199999999</v>
      </c>
      <c r="AE6" s="2">
        <v>778039.67999999982</v>
      </c>
      <c r="AF6" s="3">
        <v>690893.47000000009</v>
      </c>
      <c r="AG6" s="2">
        <v>578882.87000000023</v>
      </c>
      <c r="AH6" s="2">
        <v>568221.35000000033</v>
      </c>
      <c r="AI6" s="3">
        <v>527652.40000000026</v>
      </c>
      <c r="AJ6" s="2">
        <v>496873.66000000038</v>
      </c>
      <c r="AK6" s="2">
        <v>451456.19000000041</v>
      </c>
      <c r="AL6" s="3">
        <v>402067.54000000033</v>
      </c>
      <c r="AM6" s="2">
        <v>362324.80000000022</v>
      </c>
      <c r="AN6" s="2">
        <v>362324.80000000022</v>
      </c>
      <c r="AO6" s="3">
        <v>328738.14000000007</v>
      </c>
      <c r="AP6" s="2">
        <v>307304.06</v>
      </c>
      <c r="AQ6" s="2">
        <v>289051.67999999988</v>
      </c>
      <c r="AR6" s="3">
        <v>282317.77</v>
      </c>
      <c r="AS6" s="2">
        <v>270157.78000000003</v>
      </c>
      <c r="AT6" s="2">
        <v>258923.05</v>
      </c>
      <c r="AU6" s="3">
        <v>205998.01</v>
      </c>
      <c r="AV6" s="2">
        <v>199712.05</v>
      </c>
      <c r="AW6" s="2">
        <v>155344.06</v>
      </c>
      <c r="AX6" s="3">
        <v>143126.42000000001</v>
      </c>
      <c r="AY6" s="2">
        <v>110991.3</v>
      </c>
      <c r="AZ6" s="2">
        <v>100519.45</v>
      </c>
      <c r="BA6" s="3">
        <v>96992.550000000017</v>
      </c>
      <c r="BB6" s="2">
        <v>85497.510000000009</v>
      </c>
      <c r="BC6" s="2">
        <v>85497.510000000009</v>
      </c>
      <c r="BD6" s="3">
        <v>51528.760000000009</v>
      </c>
      <c r="BE6" s="2">
        <v>26495.25</v>
      </c>
      <c r="BF6" s="2">
        <v>23840.28</v>
      </c>
      <c r="BG6" s="3">
        <v>16079.75</v>
      </c>
      <c r="BH6" s="2">
        <v>11836.53</v>
      </c>
      <c r="BI6" s="2">
        <v>5534.64</v>
      </c>
      <c r="BJ6" s="3">
        <v>5534.64</v>
      </c>
      <c r="BK6" s="2">
        <v>5534.64</v>
      </c>
      <c r="BL6">
        <v>5534.64</v>
      </c>
    </row>
    <row r="7" spans="1:64" ht="15.5" x14ac:dyDescent="0.35">
      <c r="A7" t="s">
        <v>69</v>
      </c>
      <c r="B7" s="2">
        <v>802604.78000000038</v>
      </c>
      <c r="C7" s="2">
        <v>696309.83</v>
      </c>
      <c r="D7" s="2">
        <v>689179.69</v>
      </c>
      <c r="E7" s="3">
        <v>688931.9</v>
      </c>
      <c r="F7" s="2">
        <v>685952.70000000007</v>
      </c>
      <c r="G7" s="2">
        <v>671246.26000000013</v>
      </c>
      <c r="H7" s="3">
        <v>649724.25000000035</v>
      </c>
      <c r="I7" s="2">
        <v>598057.12000000023</v>
      </c>
      <c r="J7" s="2">
        <v>565759.6800000004</v>
      </c>
      <c r="K7" s="3">
        <v>552064.44000000029</v>
      </c>
      <c r="L7" s="2">
        <v>533286.16000000027</v>
      </c>
      <c r="M7" s="2">
        <v>492336.41000000032</v>
      </c>
      <c r="N7" s="3">
        <v>480321.86000000028</v>
      </c>
      <c r="O7" s="2">
        <v>459917.68000000028</v>
      </c>
      <c r="P7" s="2">
        <v>444407.19000000041</v>
      </c>
      <c r="Q7" s="3">
        <v>429647.67000000039</v>
      </c>
      <c r="R7" s="2">
        <v>418621.18000000028</v>
      </c>
      <c r="S7" s="2">
        <v>405561.6200000004</v>
      </c>
      <c r="T7" s="3">
        <v>400294.7900000005</v>
      </c>
      <c r="U7" s="2">
        <v>384194.73000000039</v>
      </c>
      <c r="V7" s="2">
        <v>379116.85000000038</v>
      </c>
      <c r="W7" s="3">
        <v>362999.90000000031</v>
      </c>
      <c r="X7" s="2">
        <v>344304.4000000002</v>
      </c>
      <c r="Y7" s="2">
        <v>332893.74000000022</v>
      </c>
      <c r="Z7" s="3">
        <v>304752.59999999998</v>
      </c>
      <c r="AA7" s="2">
        <v>301432.86</v>
      </c>
      <c r="AB7" s="2">
        <v>296778.96999999997</v>
      </c>
      <c r="AC7" s="3">
        <v>291326.40999999997</v>
      </c>
      <c r="AD7" s="2">
        <v>281558.89999999991</v>
      </c>
      <c r="AE7" s="2">
        <v>263621.08999999991</v>
      </c>
      <c r="AF7" s="3">
        <v>233339.1999999999</v>
      </c>
      <c r="AG7" s="2">
        <v>194645.42999999991</v>
      </c>
      <c r="AH7" s="2">
        <v>190255.6399999999</v>
      </c>
      <c r="AI7" s="3">
        <v>177490.36999999991</v>
      </c>
      <c r="AJ7" s="2">
        <v>167030.65999999989</v>
      </c>
      <c r="AK7" s="2">
        <v>153788.87</v>
      </c>
      <c r="AL7" s="3">
        <v>137889.56</v>
      </c>
      <c r="AM7" s="2">
        <v>122518.46</v>
      </c>
      <c r="AN7" s="2">
        <v>122518.46</v>
      </c>
      <c r="AO7" s="3">
        <v>113494.62</v>
      </c>
      <c r="AP7" s="2">
        <v>105947.28</v>
      </c>
      <c r="AQ7" s="2">
        <v>98680.530000000028</v>
      </c>
      <c r="AR7" s="3">
        <v>95850.580000000031</v>
      </c>
      <c r="AS7" s="2">
        <v>91819.710000000036</v>
      </c>
      <c r="AT7" s="2">
        <v>87563.370000000024</v>
      </c>
      <c r="AU7" s="3">
        <v>73390.060000000012</v>
      </c>
      <c r="AV7" s="2">
        <v>70842.460000000006</v>
      </c>
      <c r="AW7" s="2">
        <v>55630.700000000012</v>
      </c>
      <c r="AX7" s="3">
        <v>49816.350000000013</v>
      </c>
      <c r="AY7" s="2">
        <v>39772.009999999987</v>
      </c>
      <c r="AZ7" s="2">
        <v>36315.24</v>
      </c>
      <c r="BA7" s="3">
        <v>35152.429999999993</v>
      </c>
      <c r="BB7" s="2">
        <v>31438.69999999999</v>
      </c>
      <c r="BC7" s="2">
        <v>31438.69999999999</v>
      </c>
      <c r="BD7" s="3">
        <v>20415.04</v>
      </c>
      <c r="BE7" s="2">
        <v>11131.83</v>
      </c>
      <c r="BF7" s="2">
        <v>10209.01</v>
      </c>
      <c r="BG7" s="3">
        <v>7401.02</v>
      </c>
      <c r="BH7" s="2">
        <v>4344.87</v>
      </c>
      <c r="BI7" s="2">
        <v>2841.42</v>
      </c>
      <c r="BJ7" s="3">
        <v>2841.42</v>
      </c>
      <c r="BK7" s="2">
        <v>2841.42</v>
      </c>
      <c r="BL7">
        <v>2841.42</v>
      </c>
    </row>
    <row r="8" spans="1:64" ht="15.5" x14ac:dyDescent="0.35">
      <c r="A8" t="s">
        <v>70</v>
      </c>
      <c r="B8" s="2">
        <v>489997.3600000001</v>
      </c>
      <c r="C8" s="2">
        <v>431525.42</v>
      </c>
      <c r="D8" s="2">
        <v>426758.96999999991</v>
      </c>
      <c r="E8" s="3">
        <v>425687.85999999993</v>
      </c>
      <c r="F8" s="2">
        <v>423369.58999999991</v>
      </c>
      <c r="G8" s="2">
        <v>415521.47999999981</v>
      </c>
      <c r="H8" s="3">
        <v>405527.26999999979</v>
      </c>
      <c r="I8" s="2">
        <v>375865.37999999977</v>
      </c>
      <c r="J8" s="2">
        <v>355192.07999999978</v>
      </c>
      <c r="K8" s="3">
        <v>348406.47999999981</v>
      </c>
      <c r="L8" s="2">
        <v>338345.74999999983</v>
      </c>
      <c r="M8" s="2">
        <v>313490.71999999991</v>
      </c>
      <c r="N8" s="3">
        <v>304532.15999999992</v>
      </c>
      <c r="O8" s="2">
        <v>293559.66999999993</v>
      </c>
      <c r="P8" s="2">
        <v>287025.78000000003</v>
      </c>
      <c r="Q8" s="3">
        <v>278053.10999999993</v>
      </c>
      <c r="R8" s="2">
        <v>271281.25000000012</v>
      </c>
      <c r="S8" s="2">
        <v>259393.74</v>
      </c>
      <c r="T8" s="3">
        <v>251844.55</v>
      </c>
      <c r="U8" s="2">
        <v>241961.76</v>
      </c>
      <c r="V8" s="2">
        <v>238799.2</v>
      </c>
      <c r="W8" s="3">
        <v>230312.85000000009</v>
      </c>
      <c r="X8" s="2">
        <v>220828.39</v>
      </c>
      <c r="Y8" s="2">
        <v>214591.51</v>
      </c>
      <c r="Z8" s="3">
        <v>200231.91</v>
      </c>
      <c r="AA8" s="2">
        <v>198421.07</v>
      </c>
      <c r="AB8" s="2">
        <v>195645.68</v>
      </c>
      <c r="AC8" s="3">
        <v>190122.04</v>
      </c>
      <c r="AD8" s="2">
        <v>184816.77</v>
      </c>
      <c r="AE8" s="2">
        <v>174495.21000000011</v>
      </c>
      <c r="AF8" s="3">
        <v>156077.26999999999</v>
      </c>
      <c r="AG8" s="2">
        <v>132348.94000000009</v>
      </c>
      <c r="AH8" s="2">
        <v>129886.8100000001</v>
      </c>
      <c r="AI8" s="3">
        <v>122281.9400000001</v>
      </c>
      <c r="AJ8" s="2">
        <v>115397.14</v>
      </c>
      <c r="AK8" s="2">
        <v>106549.94</v>
      </c>
      <c r="AL8" s="3">
        <v>94529.180000000037</v>
      </c>
      <c r="AM8" s="2">
        <v>85341.200000000026</v>
      </c>
      <c r="AN8" s="2">
        <v>85341.200000000026</v>
      </c>
      <c r="AO8" s="3">
        <v>79559.890000000014</v>
      </c>
      <c r="AP8" s="2">
        <v>75501.400000000009</v>
      </c>
      <c r="AQ8" s="2">
        <v>70851.959999999977</v>
      </c>
      <c r="AR8" s="3">
        <v>69408.979999999981</v>
      </c>
      <c r="AS8" s="2">
        <v>66956.939999999973</v>
      </c>
      <c r="AT8" s="2">
        <v>64468.159999999989</v>
      </c>
      <c r="AU8" s="3">
        <v>50919.389999999992</v>
      </c>
      <c r="AV8" s="2">
        <v>49606.169999999991</v>
      </c>
      <c r="AW8" s="2">
        <v>36166.25</v>
      </c>
      <c r="AX8" s="3">
        <v>33251.410000000003</v>
      </c>
      <c r="AY8" s="2">
        <v>26615.18</v>
      </c>
      <c r="AZ8" s="2">
        <v>24698.47</v>
      </c>
      <c r="BA8" s="3">
        <v>24052.97</v>
      </c>
      <c r="BB8" s="2">
        <v>21976.77</v>
      </c>
      <c r="BC8" s="2">
        <v>21976.77</v>
      </c>
      <c r="BD8" s="3">
        <v>15854.01</v>
      </c>
      <c r="BE8" s="2">
        <v>9102.1400000000012</v>
      </c>
      <c r="BF8" s="2">
        <v>8040.1600000000008</v>
      </c>
      <c r="BG8" s="3">
        <v>6049.5599999999986</v>
      </c>
      <c r="BH8" s="2">
        <v>3198.39</v>
      </c>
      <c r="BI8" s="2">
        <v>2067.09</v>
      </c>
      <c r="BJ8" s="3">
        <v>2067.09</v>
      </c>
      <c r="BK8" s="2">
        <v>2067.09</v>
      </c>
      <c r="BL8">
        <v>2067.09</v>
      </c>
    </row>
    <row r="9" spans="1:64" ht="15.5" x14ac:dyDescent="0.35">
      <c r="A9" t="s">
        <v>71</v>
      </c>
      <c r="B9" s="2">
        <v>23793608.349999979</v>
      </c>
      <c r="C9" s="2">
        <v>13694590.449999999</v>
      </c>
      <c r="D9" s="2">
        <v>13411200.710000001</v>
      </c>
      <c r="E9" s="3">
        <v>13307409.33</v>
      </c>
      <c r="F9" s="2">
        <v>13022968.68</v>
      </c>
      <c r="G9" s="2">
        <v>12093982.869999999</v>
      </c>
      <c r="H9" s="3">
        <v>11396088.99</v>
      </c>
      <c r="I9" s="2">
        <v>10506372.5</v>
      </c>
      <c r="J9" s="2">
        <v>9657186.2699999996</v>
      </c>
      <c r="K9" s="3">
        <v>9108787.7599999979</v>
      </c>
      <c r="L9" s="2">
        <v>8748463.2400000021</v>
      </c>
      <c r="M9" s="2">
        <v>8103466.9700000007</v>
      </c>
      <c r="N9" s="3">
        <v>7768700.6500000013</v>
      </c>
      <c r="O9" s="2">
        <v>7252087.7100000028</v>
      </c>
      <c r="P9" s="2">
        <v>6910355.1000000034</v>
      </c>
      <c r="Q9" s="3">
        <v>6601900.8700000048</v>
      </c>
      <c r="R9" s="2">
        <v>6334706.2000000048</v>
      </c>
      <c r="S9" s="2">
        <v>5731543.7800000077</v>
      </c>
      <c r="T9" s="3">
        <v>5359900.7400000077</v>
      </c>
      <c r="U9" s="2">
        <v>5061280.0200000079</v>
      </c>
      <c r="V9" s="2">
        <v>4891609.640000008</v>
      </c>
      <c r="W9" s="3">
        <v>4718584.0400000066</v>
      </c>
      <c r="X9" s="2">
        <v>4245833.8500000052</v>
      </c>
      <c r="Y9" s="2">
        <v>4090488.490000003</v>
      </c>
      <c r="Z9" s="3">
        <v>3732560.6900000041</v>
      </c>
      <c r="AA9" s="2">
        <v>3689503.820000004</v>
      </c>
      <c r="AB9" s="2">
        <v>3648450.1400000039</v>
      </c>
      <c r="AC9" s="3">
        <v>3643772.4900000039</v>
      </c>
      <c r="AD9" s="2">
        <v>3490718.030000004</v>
      </c>
      <c r="AE9" s="2">
        <v>3374598.0000000042</v>
      </c>
      <c r="AF9" s="3">
        <v>3099699.9000000018</v>
      </c>
      <c r="AG9" s="2">
        <v>2469819.1100000008</v>
      </c>
      <c r="AH9" s="2">
        <v>2355964.8600000008</v>
      </c>
      <c r="AI9" s="3">
        <v>2157147.2599999998</v>
      </c>
      <c r="AJ9" s="2">
        <v>1816139.82</v>
      </c>
      <c r="AK9" s="2">
        <v>1603586.389999999</v>
      </c>
      <c r="AL9" s="3">
        <v>1339627.1200000001</v>
      </c>
      <c r="AM9" s="2">
        <v>1048719.6200000001</v>
      </c>
      <c r="AN9" s="2">
        <v>1048719.6200000001</v>
      </c>
      <c r="AO9" s="3">
        <v>873919.51</v>
      </c>
      <c r="AP9" s="2">
        <v>719562.65000000014</v>
      </c>
      <c r="AQ9" s="2">
        <v>567511.54</v>
      </c>
      <c r="AR9" s="3">
        <v>547077.34</v>
      </c>
      <c r="AS9" s="2">
        <v>479044.31</v>
      </c>
      <c r="AT9" s="2">
        <v>450442.69</v>
      </c>
      <c r="AU9" s="3">
        <v>357859.9599999999</v>
      </c>
      <c r="AV9" s="2">
        <v>321817.88</v>
      </c>
      <c r="AW9" s="2">
        <v>271512.09000000003</v>
      </c>
      <c r="AX9" s="3">
        <v>246500.15</v>
      </c>
      <c r="AY9" s="2">
        <v>147772.19</v>
      </c>
      <c r="AZ9" s="2">
        <v>118390.91</v>
      </c>
      <c r="BA9" s="3">
        <v>111507.21</v>
      </c>
      <c r="BB9" s="2">
        <v>96052.99</v>
      </c>
      <c r="BC9" s="2">
        <v>96052.99</v>
      </c>
      <c r="BD9" s="3">
        <v>61425.669999999991</v>
      </c>
      <c r="BE9" s="2">
        <v>8111.9699999999993</v>
      </c>
      <c r="BF9" s="2">
        <v>4192.7700000000004</v>
      </c>
      <c r="BG9" s="3">
        <v>4192.7700000000004</v>
      </c>
      <c r="BH9" s="2">
        <v>0</v>
      </c>
      <c r="BI9" s="2">
        <v>0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12792295.99</v>
      </c>
      <c r="C10" s="2">
        <v>8527201.5199999996</v>
      </c>
      <c r="D10" s="2">
        <v>8339842.5799999991</v>
      </c>
      <c r="E10" s="3">
        <v>8287906.209999999</v>
      </c>
      <c r="F10" s="2">
        <v>8290527.0999999996</v>
      </c>
      <c r="G10" s="2">
        <v>8071824.830000001</v>
      </c>
      <c r="H10" s="3">
        <v>7916841.330000001</v>
      </c>
      <c r="I10" s="2">
        <v>7560305.3300000019</v>
      </c>
      <c r="J10" s="2">
        <v>6977642.160000002</v>
      </c>
      <c r="K10" s="3">
        <v>6791444.9700000035</v>
      </c>
      <c r="L10" s="2">
        <v>6638330.6700000037</v>
      </c>
      <c r="M10" s="2">
        <v>6206276.9500000039</v>
      </c>
      <c r="N10" s="3">
        <v>5917667.4000000022</v>
      </c>
      <c r="O10" s="2">
        <v>5559477.5200000033</v>
      </c>
      <c r="P10" s="2">
        <v>5294400.0500000035</v>
      </c>
      <c r="Q10" s="3">
        <v>5072172.4400000041</v>
      </c>
      <c r="R10" s="2">
        <v>4919233.5100000054</v>
      </c>
      <c r="S10" s="2">
        <v>4543706.3100000042</v>
      </c>
      <c r="T10" s="3">
        <v>4265200.9800000042</v>
      </c>
      <c r="U10" s="2">
        <v>4049833.9200000032</v>
      </c>
      <c r="V10" s="2">
        <v>3903249.970000003</v>
      </c>
      <c r="W10" s="3">
        <v>3737477.700000002</v>
      </c>
      <c r="X10" s="2">
        <v>3342452.25</v>
      </c>
      <c r="Y10" s="2">
        <v>3210868.370000001</v>
      </c>
      <c r="Z10" s="3">
        <v>3035698.1100000008</v>
      </c>
      <c r="AA10" s="2">
        <v>2992641.24</v>
      </c>
      <c r="AB10" s="2">
        <v>2961078.32</v>
      </c>
      <c r="AC10" s="3">
        <v>2956400.67</v>
      </c>
      <c r="AD10" s="2">
        <v>2834266.35</v>
      </c>
      <c r="AE10" s="2">
        <v>2730930.39</v>
      </c>
      <c r="AF10" s="3">
        <v>2466745.7500000009</v>
      </c>
      <c r="AG10" s="2">
        <v>2073474.4</v>
      </c>
      <c r="AH10" s="2">
        <v>1967344.47</v>
      </c>
      <c r="AI10" s="3">
        <v>1784375.88</v>
      </c>
      <c r="AJ10" s="2">
        <v>1516336.16</v>
      </c>
      <c r="AK10" s="2">
        <v>1322066.6000000001</v>
      </c>
      <c r="AL10" s="3">
        <v>1083338.71</v>
      </c>
      <c r="AM10" s="2">
        <v>819419.21000000008</v>
      </c>
      <c r="AN10" s="2">
        <v>819419.21000000008</v>
      </c>
      <c r="AO10" s="3">
        <v>731835.08000000019</v>
      </c>
      <c r="AP10" s="2">
        <v>620691.29999999993</v>
      </c>
      <c r="AQ10" s="2">
        <v>546082.89999999991</v>
      </c>
      <c r="AR10" s="3">
        <v>525648.70000000007</v>
      </c>
      <c r="AS10" s="2">
        <v>460979.83</v>
      </c>
      <c r="AT10" s="2">
        <v>432378.2099999999</v>
      </c>
      <c r="AU10" s="3">
        <v>343786.7</v>
      </c>
      <c r="AV10" s="2">
        <v>317721.96999999997</v>
      </c>
      <c r="AW10" s="2">
        <v>267416.18</v>
      </c>
      <c r="AX10" s="3">
        <v>243884.92</v>
      </c>
      <c r="AY10" s="2">
        <v>147772.19</v>
      </c>
      <c r="AZ10" s="2">
        <v>118390.91</v>
      </c>
      <c r="BA10" s="3">
        <v>111507.21</v>
      </c>
      <c r="BB10" s="2">
        <v>96052.99</v>
      </c>
      <c r="BC10" s="2">
        <v>96052.99</v>
      </c>
      <c r="BD10" s="3">
        <v>61425.669999999991</v>
      </c>
      <c r="BE10" s="2">
        <v>8111.9699999999993</v>
      </c>
      <c r="BF10" s="2">
        <v>4192.7700000000004</v>
      </c>
      <c r="BG10" s="3">
        <v>4192.7700000000004</v>
      </c>
      <c r="BH10" s="2">
        <v>0</v>
      </c>
      <c r="BI10" s="2">
        <v>0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186516.38</v>
      </c>
      <c r="C11" s="2">
        <v>176401.72</v>
      </c>
      <c r="D11" s="2">
        <v>175196</v>
      </c>
      <c r="E11" s="3">
        <v>175136</v>
      </c>
      <c r="F11" s="2">
        <v>172664.36</v>
      </c>
      <c r="G11" s="2">
        <v>169821.88</v>
      </c>
      <c r="H11" s="3">
        <v>169041.88</v>
      </c>
      <c r="I11" s="2">
        <v>157782.24</v>
      </c>
      <c r="J11" s="2">
        <v>148221.6</v>
      </c>
      <c r="K11" s="3">
        <v>147375.1</v>
      </c>
      <c r="L11" s="2">
        <v>142717.98000000001</v>
      </c>
      <c r="M11" s="2">
        <v>134267.59</v>
      </c>
      <c r="N11" s="3">
        <v>128629.94</v>
      </c>
      <c r="O11" s="2">
        <v>121352.95</v>
      </c>
      <c r="P11" s="2">
        <v>108985.7</v>
      </c>
      <c r="Q11" s="3">
        <v>104511.03999999999</v>
      </c>
      <c r="R11" s="2">
        <v>97598.51999999999</v>
      </c>
      <c r="S11" s="2">
        <v>96692.01999999999</v>
      </c>
      <c r="T11" s="3">
        <v>93287.09</v>
      </c>
      <c r="U11" s="2">
        <v>88994.180000000008</v>
      </c>
      <c r="V11" s="2">
        <v>88794.180000000008</v>
      </c>
      <c r="W11" s="3">
        <v>87406.660000000018</v>
      </c>
      <c r="X11" s="2">
        <v>84856.360000000015</v>
      </c>
      <c r="Y11" s="2">
        <v>81721.929999999993</v>
      </c>
      <c r="Z11" s="3">
        <v>75460.560000000027</v>
      </c>
      <c r="AA11" s="2">
        <v>74122.170000000013</v>
      </c>
      <c r="AB11" s="2">
        <v>74002.170000000013</v>
      </c>
      <c r="AC11" s="3">
        <v>73942.170000000013</v>
      </c>
      <c r="AD11" s="2">
        <v>73319.670000000013</v>
      </c>
      <c r="AE11" s="2">
        <v>71207.170000000013</v>
      </c>
      <c r="AF11" s="3">
        <v>60644.990000000013</v>
      </c>
      <c r="AG11" s="2">
        <v>53122.81</v>
      </c>
      <c r="AH11" s="2">
        <v>52620.31</v>
      </c>
      <c r="AI11" s="3">
        <v>51232.81</v>
      </c>
      <c r="AJ11" s="2">
        <v>40216.25</v>
      </c>
      <c r="AK11" s="2">
        <v>38446.25</v>
      </c>
      <c r="AL11" s="3">
        <v>33543.11</v>
      </c>
      <c r="AM11" s="2">
        <v>28161.51</v>
      </c>
      <c r="AN11" s="2">
        <v>28161.51</v>
      </c>
      <c r="AO11" s="3">
        <v>22042.63</v>
      </c>
      <c r="AP11" s="2">
        <v>21802.63</v>
      </c>
      <c r="AQ11" s="2">
        <v>13449.75</v>
      </c>
      <c r="AR11" s="3">
        <v>13389.75</v>
      </c>
      <c r="AS11" s="2">
        <v>12137.18</v>
      </c>
      <c r="AT11" s="2">
        <v>12017.18</v>
      </c>
      <c r="AU11" s="3">
        <v>9924.68</v>
      </c>
      <c r="AV11" s="2">
        <v>9864.68</v>
      </c>
      <c r="AW11" s="2">
        <v>7101.62</v>
      </c>
      <c r="AX11" s="3">
        <v>6921.62</v>
      </c>
      <c r="AY11" s="2">
        <v>4485.0200000000004</v>
      </c>
      <c r="AZ11" s="2">
        <v>4042.52</v>
      </c>
      <c r="BA11" s="3">
        <v>3660.02</v>
      </c>
      <c r="BB11" s="2">
        <v>2895.02</v>
      </c>
      <c r="BC11" s="2">
        <v>2895.02</v>
      </c>
      <c r="BD11" s="3">
        <v>2010.02</v>
      </c>
      <c r="BE11" s="2">
        <v>480</v>
      </c>
      <c r="BF11" s="2">
        <v>420</v>
      </c>
      <c r="BG11" s="3">
        <v>360</v>
      </c>
      <c r="BH11" s="2">
        <v>240</v>
      </c>
      <c r="BI11" s="2">
        <v>60</v>
      </c>
      <c r="BJ11" s="3">
        <v>60</v>
      </c>
      <c r="BK11" s="2">
        <v>60</v>
      </c>
      <c r="BL11">
        <v>60</v>
      </c>
    </row>
    <row r="12" spans="1:64" ht="15.5" x14ac:dyDescent="0.35">
      <c r="A12" t="s">
        <v>74</v>
      </c>
      <c r="B12" s="2">
        <v>178658665.05000001</v>
      </c>
      <c r="C12" s="2">
        <v>152182924.81</v>
      </c>
      <c r="D12" s="2">
        <v>150339892.15000001</v>
      </c>
      <c r="E12" s="3">
        <v>149911447.15000001</v>
      </c>
      <c r="F12" s="2">
        <v>149003841.93000001</v>
      </c>
      <c r="G12" s="2">
        <v>144859342.07999989</v>
      </c>
      <c r="H12" s="3">
        <v>140262120.81999981</v>
      </c>
      <c r="I12" s="2">
        <v>130187917.98999991</v>
      </c>
      <c r="J12" s="2">
        <v>123094994.5299999</v>
      </c>
      <c r="K12" s="3">
        <v>119819095.06</v>
      </c>
      <c r="L12" s="2">
        <v>116040426.88</v>
      </c>
      <c r="M12" s="2">
        <v>107813928.12999991</v>
      </c>
      <c r="N12" s="3">
        <v>105070047.9299999</v>
      </c>
      <c r="O12" s="2">
        <v>100149087.3599999</v>
      </c>
      <c r="P12" s="2">
        <v>96943121.139999941</v>
      </c>
      <c r="Q12" s="3">
        <v>93993419.159999952</v>
      </c>
      <c r="R12" s="2">
        <v>91605057.059999928</v>
      </c>
      <c r="S12" s="2">
        <v>87809119.739999905</v>
      </c>
      <c r="T12" s="3">
        <v>85838949.199999914</v>
      </c>
      <c r="U12" s="2">
        <v>82368471.759999946</v>
      </c>
      <c r="V12" s="2">
        <v>81063396.479999945</v>
      </c>
      <c r="W12" s="3">
        <v>77624906.759999931</v>
      </c>
      <c r="X12" s="2">
        <v>73494245.49999997</v>
      </c>
      <c r="Y12" s="2">
        <v>71081450.010000005</v>
      </c>
      <c r="Z12" s="3">
        <v>65613812.089999981</v>
      </c>
      <c r="AA12" s="2">
        <v>64834472.599999987</v>
      </c>
      <c r="AB12" s="2">
        <v>63881584.069999993</v>
      </c>
      <c r="AC12" s="3">
        <v>62845899.929999992</v>
      </c>
      <c r="AD12" s="2">
        <v>60802146.590000011</v>
      </c>
      <c r="AE12" s="2">
        <v>57164564.900000013</v>
      </c>
      <c r="AF12" s="3">
        <v>51179076.860000029</v>
      </c>
      <c r="AG12" s="2">
        <v>43551122.050000012</v>
      </c>
      <c r="AH12" s="2">
        <v>42606578.140000023</v>
      </c>
      <c r="AI12" s="3">
        <v>39427460.07</v>
      </c>
      <c r="AJ12" s="2">
        <v>36807026.289999999</v>
      </c>
      <c r="AK12" s="2">
        <v>33809974.510000013</v>
      </c>
      <c r="AL12" s="3">
        <v>30216175.620000001</v>
      </c>
      <c r="AM12" s="2">
        <v>26953292.379999999</v>
      </c>
      <c r="AN12" s="2">
        <v>26953292.379999999</v>
      </c>
      <c r="AO12" s="3">
        <v>24646125.250000011</v>
      </c>
      <c r="AP12" s="2">
        <v>22943558.480000012</v>
      </c>
      <c r="AQ12" s="2">
        <v>21237419.140000012</v>
      </c>
      <c r="AR12" s="3">
        <v>20660226.160000011</v>
      </c>
      <c r="AS12" s="2">
        <v>19778280.719999999</v>
      </c>
      <c r="AT12" s="2">
        <v>18846749.059999999</v>
      </c>
      <c r="AU12" s="3">
        <v>15573876.710000001</v>
      </c>
      <c r="AV12" s="2">
        <v>15048587.24</v>
      </c>
      <c r="AW12" s="2">
        <v>11744474.59</v>
      </c>
      <c r="AX12" s="3">
        <v>10578536.699999999</v>
      </c>
      <c r="AY12" s="2">
        <v>8488059.1199999973</v>
      </c>
      <c r="AZ12" s="2">
        <v>7706603.3399999971</v>
      </c>
      <c r="BA12" s="3">
        <v>7439497.5699999984</v>
      </c>
      <c r="BB12" s="2">
        <v>6578543.8699999982</v>
      </c>
      <c r="BC12" s="2">
        <v>6578543.8699999982</v>
      </c>
      <c r="BD12" s="3">
        <v>4099184.71</v>
      </c>
      <c r="BE12" s="2">
        <v>2325924.9</v>
      </c>
      <c r="BF12" s="2">
        <v>2126802.09</v>
      </c>
      <c r="BG12" s="3">
        <v>1529619.19</v>
      </c>
      <c r="BH12" s="2">
        <v>995023.58000000019</v>
      </c>
      <c r="BI12" s="2">
        <v>659528.18000000005</v>
      </c>
      <c r="BJ12" s="3">
        <v>659528.18000000005</v>
      </c>
      <c r="BK12" s="2">
        <v>659528.18000000005</v>
      </c>
      <c r="BL12">
        <v>659528.18000000005</v>
      </c>
    </row>
    <row r="13" spans="1:64" ht="15.5" x14ac:dyDescent="0.35">
      <c r="A13" t="s">
        <v>75</v>
      </c>
      <c r="B13" s="2">
        <v>108792583.16</v>
      </c>
      <c r="C13" s="2">
        <v>102003515.20999999</v>
      </c>
      <c r="D13" s="2">
        <v>99053581.290000051</v>
      </c>
      <c r="E13" s="3">
        <v>96757912.420000046</v>
      </c>
      <c r="F13" s="2">
        <v>94175152.890000045</v>
      </c>
      <c r="G13" s="2">
        <v>90761327.330000013</v>
      </c>
      <c r="H13" s="3">
        <v>86929354.160000026</v>
      </c>
      <c r="I13" s="2">
        <v>79930875.250000015</v>
      </c>
      <c r="J13" s="2">
        <v>74789415.190000042</v>
      </c>
      <c r="K13" s="3">
        <v>71813397.910000056</v>
      </c>
      <c r="L13" s="2">
        <v>68252489.830000043</v>
      </c>
      <c r="M13" s="2">
        <v>62681567.530000024</v>
      </c>
      <c r="N13" s="3">
        <v>60522456.650000013</v>
      </c>
      <c r="O13" s="2">
        <v>57065719.450000033</v>
      </c>
      <c r="P13" s="2">
        <v>54361808.940000027</v>
      </c>
      <c r="Q13" s="3">
        <v>51816372.670000009</v>
      </c>
      <c r="R13" s="2">
        <v>49665416.520000011</v>
      </c>
      <c r="S13" s="2">
        <v>47303198.340000004</v>
      </c>
      <c r="T13" s="3">
        <v>45711285.37000002</v>
      </c>
      <c r="U13" s="2">
        <v>43469730.550000012</v>
      </c>
      <c r="V13" s="2">
        <v>42114024.500000007</v>
      </c>
      <c r="W13" s="3">
        <v>39862797.19000002</v>
      </c>
      <c r="X13" s="2">
        <v>37214802.000000007</v>
      </c>
      <c r="Y13" s="2">
        <v>35624883.850000016</v>
      </c>
      <c r="Z13" s="3">
        <v>32309959.110000011</v>
      </c>
      <c r="AA13" s="2">
        <v>31208412.020000011</v>
      </c>
      <c r="AB13" s="2">
        <v>30027751.70000001</v>
      </c>
      <c r="AC13" s="3">
        <v>28732006.690000009</v>
      </c>
      <c r="AD13" s="2">
        <v>27307111.590000011</v>
      </c>
      <c r="AE13" s="2">
        <v>25008270.930000011</v>
      </c>
      <c r="AF13" s="3">
        <v>21441279.829999998</v>
      </c>
      <c r="AG13" s="2">
        <v>18065835.23999998</v>
      </c>
      <c r="AH13" s="2">
        <v>17060560.71999998</v>
      </c>
      <c r="AI13" s="3">
        <v>15618985.059999989</v>
      </c>
      <c r="AJ13" s="2">
        <v>14558392.479999989</v>
      </c>
      <c r="AK13" s="2">
        <v>13218890.409999991</v>
      </c>
      <c r="AL13" s="3">
        <v>11801218.649999989</v>
      </c>
      <c r="AM13" s="2">
        <v>10363090.52999999</v>
      </c>
      <c r="AN13" s="2">
        <v>10000765.729999989</v>
      </c>
      <c r="AO13" s="3">
        <v>9333707.7999999952</v>
      </c>
      <c r="AP13" s="2">
        <v>8589391.8099999987</v>
      </c>
      <c r="AQ13" s="2">
        <v>7767678.6100000013</v>
      </c>
      <c r="AR13" s="3">
        <v>7305468.5499999989</v>
      </c>
      <c r="AS13" s="2">
        <v>6790879.3500000006</v>
      </c>
      <c r="AT13" s="2">
        <v>6178672.4100000001</v>
      </c>
      <c r="AU13" s="3">
        <v>5246444.9199999981</v>
      </c>
      <c r="AV13" s="2">
        <v>4892315.0399999972</v>
      </c>
      <c r="AW13" s="2">
        <v>3786105.389999995</v>
      </c>
      <c r="AX13" s="3">
        <v>3191897.1999999969</v>
      </c>
      <c r="AY13" s="2">
        <v>2639548.310000001</v>
      </c>
      <c r="AZ13" s="2">
        <v>2375412.23</v>
      </c>
      <c r="BA13" s="3">
        <v>2215874.1099999989</v>
      </c>
      <c r="BB13" s="2">
        <v>1943714.8</v>
      </c>
      <c r="BC13" s="2">
        <v>1858217.29</v>
      </c>
      <c r="BD13" s="3">
        <v>1312769.8799999999</v>
      </c>
      <c r="BE13" s="2">
        <v>786790.62000000011</v>
      </c>
      <c r="BF13" s="2">
        <v>717815.79</v>
      </c>
      <c r="BG13" s="3">
        <v>562424.4099999998</v>
      </c>
      <c r="BH13" s="2">
        <v>262099.02999999991</v>
      </c>
      <c r="BI13" s="2">
        <v>292880.5</v>
      </c>
      <c r="BJ13" s="3">
        <v>287345.86</v>
      </c>
      <c r="BK13" s="2">
        <v>281811.21999999997</v>
      </c>
      <c r="BL13">
        <v>276276.58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88</v>
      </c>
      <c r="D15" s="2">
        <v>6</v>
      </c>
      <c r="E15" s="3">
        <v>1</v>
      </c>
      <c r="F15" s="2">
        <v>3</v>
      </c>
      <c r="G15" s="2">
        <v>21</v>
      </c>
      <c r="H15" s="3">
        <v>13</v>
      </c>
      <c r="I15" s="2">
        <v>30</v>
      </c>
      <c r="J15" s="2">
        <v>16</v>
      </c>
      <c r="K15" s="3">
        <v>9</v>
      </c>
      <c r="L15" s="2">
        <v>10</v>
      </c>
      <c r="M15" s="2">
        <v>18</v>
      </c>
      <c r="N15" s="3">
        <v>6</v>
      </c>
      <c r="O15" s="2">
        <v>11</v>
      </c>
      <c r="P15" s="2">
        <v>8</v>
      </c>
      <c r="Q15" s="3">
        <v>7</v>
      </c>
      <c r="R15" s="2">
        <v>5</v>
      </c>
      <c r="S15" s="2">
        <v>9</v>
      </c>
      <c r="T15" s="3">
        <v>4</v>
      </c>
      <c r="U15" s="2">
        <v>6</v>
      </c>
      <c r="V15" s="2">
        <v>2</v>
      </c>
      <c r="W15" s="3">
        <v>5</v>
      </c>
      <c r="X15" s="2">
        <v>11</v>
      </c>
      <c r="Y15" s="2">
        <v>4</v>
      </c>
      <c r="Z15" s="3">
        <v>12</v>
      </c>
      <c r="AA15" s="2">
        <v>2</v>
      </c>
      <c r="AB15" s="2">
        <v>1</v>
      </c>
      <c r="AC15" s="3">
        <v>1</v>
      </c>
      <c r="AD15" s="2">
        <v>4</v>
      </c>
      <c r="AE15" s="2">
        <v>7</v>
      </c>
      <c r="AF15" s="3">
        <v>27</v>
      </c>
      <c r="AG15" s="2">
        <v>19</v>
      </c>
      <c r="AH15" s="2">
        <v>3</v>
      </c>
      <c r="AI15" s="3">
        <v>6</v>
      </c>
      <c r="AJ15" s="2">
        <v>4</v>
      </c>
      <c r="AK15" s="2">
        <v>8</v>
      </c>
      <c r="AL15" s="3">
        <v>7</v>
      </c>
      <c r="AM15" s="2">
        <v>8</v>
      </c>
      <c r="AN15" s="2">
        <v>0</v>
      </c>
      <c r="AO15" s="3">
        <v>3</v>
      </c>
      <c r="AP15" s="2">
        <v>4</v>
      </c>
      <c r="AQ15" s="2">
        <v>3</v>
      </c>
      <c r="AR15" s="3">
        <v>1</v>
      </c>
      <c r="AS15" s="2">
        <v>3</v>
      </c>
      <c r="AT15" s="2">
        <v>2</v>
      </c>
      <c r="AU15" s="3">
        <v>8</v>
      </c>
      <c r="AV15" s="2">
        <v>1</v>
      </c>
      <c r="AW15" s="2">
        <v>5</v>
      </c>
      <c r="AX15" s="3">
        <v>2</v>
      </c>
      <c r="AY15" s="2">
        <v>5</v>
      </c>
      <c r="AZ15" s="2">
        <v>2</v>
      </c>
      <c r="BA15" s="3">
        <v>1</v>
      </c>
      <c r="BB15" s="2">
        <v>2</v>
      </c>
      <c r="BC15" s="2">
        <v>0</v>
      </c>
      <c r="BD15" s="3">
        <v>4</v>
      </c>
      <c r="BE15" s="2">
        <v>4</v>
      </c>
      <c r="BF15" s="2">
        <v>1</v>
      </c>
      <c r="BG15" s="3">
        <v>0</v>
      </c>
      <c r="BH15" s="2">
        <v>2</v>
      </c>
      <c r="BI15" s="2">
        <v>0</v>
      </c>
      <c r="BJ15" s="3">
        <v>0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4</v>
      </c>
      <c r="D16" s="2">
        <v>1</v>
      </c>
      <c r="E16" s="3">
        <v>0</v>
      </c>
      <c r="F16" s="2">
        <v>0</v>
      </c>
      <c r="G16" s="2">
        <v>1</v>
      </c>
      <c r="H16" s="3">
        <v>1</v>
      </c>
      <c r="I16" s="2">
        <v>0</v>
      </c>
      <c r="J16" s="2">
        <v>0</v>
      </c>
      <c r="K16" s="3">
        <v>0</v>
      </c>
      <c r="L16" s="2">
        <v>0</v>
      </c>
      <c r="M16" s="2">
        <v>1</v>
      </c>
      <c r="N16" s="3">
        <v>0</v>
      </c>
      <c r="O16" s="2">
        <v>0</v>
      </c>
      <c r="P16" s="2">
        <v>0</v>
      </c>
      <c r="Q16" s="3">
        <v>0</v>
      </c>
      <c r="R16" s="2">
        <v>1</v>
      </c>
      <c r="S16" s="2">
        <v>1</v>
      </c>
      <c r="T16" s="3">
        <v>1</v>
      </c>
      <c r="U16" s="2">
        <v>1</v>
      </c>
      <c r="V16" s="2">
        <v>1</v>
      </c>
      <c r="W16" s="3">
        <v>0</v>
      </c>
      <c r="X16" s="2">
        <v>2</v>
      </c>
      <c r="Y16" s="2">
        <v>0</v>
      </c>
      <c r="Z16" s="3">
        <v>0</v>
      </c>
      <c r="AA16" s="2">
        <v>0</v>
      </c>
      <c r="AB16" s="2">
        <v>1</v>
      </c>
      <c r="AC16" s="3">
        <v>0</v>
      </c>
      <c r="AD16" s="2">
        <v>0</v>
      </c>
      <c r="AE16" s="2">
        <v>1</v>
      </c>
      <c r="AF16" s="3">
        <v>0</v>
      </c>
      <c r="AG16" s="2">
        <v>0</v>
      </c>
      <c r="AH16" s="2">
        <v>0</v>
      </c>
      <c r="AI16" s="3">
        <v>1</v>
      </c>
      <c r="AJ16" s="2">
        <v>1</v>
      </c>
      <c r="AK16" s="2">
        <v>0</v>
      </c>
      <c r="AL16" s="3">
        <v>0</v>
      </c>
      <c r="AM16" s="2">
        <v>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0</v>
      </c>
      <c r="AV16" s="2">
        <v>0</v>
      </c>
      <c r="AW16" s="2">
        <v>1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1</v>
      </c>
      <c r="BH16" s="2">
        <v>0</v>
      </c>
      <c r="BI16" s="2">
        <v>3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6.6328125" bestFit="1" customWidth="1"/>
    <col min="2" max="64" width="10.4531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5</v>
      </c>
      <c r="C2" s="2">
        <v>4</v>
      </c>
      <c r="D2" s="2">
        <v>0</v>
      </c>
      <c r="E2" s="3">
        <v>0</v>
      </c>
      <c r="F2" s="2">
        <v>0</v>
      </c>
      <c r="G2" s="2">
        <v>0</v>
      </c>
      <c r="H2" s="3">
        <v>0</v>
      </c>
      <c r="I2" s="2">
        <v>0</v>
      </c>
      <c r="J2" s="2">
        <v>0</v>
      </c>
      <c r="K2" s="3">
        <v>0</v>
      </c>
      <c r="L2" s="2">
        <v>0</v>
      </c>
      <c r="M2" s="2">
        <v>0</v>
      </c>
      <c r="N2" s="3">
        <v>0</v>
      </c>
      <c r="O2" s="2">
        <v>0</v>
      </c>
      <c r="P2" s="2">
        <v>0</v>
      </c>
      <c r="Q2" s="3">
        <v>0</v>
      </c>
      <c r="R2" s="2">
        <v>0</v>
      </c>
      <c r="S2" s="2">
        <v>0</v>
      </c>
      <c r="T2" s="3">
        <v>0</v>
      </c>
      <c r="U2" s="2">
        <v>0</v>
      </c>
      <c r="V2" s="2">
        <v>0</v>
      </c>
      <c r="W2" s="3">
        <v>0</v>
      </c>
      <c r="X2" s="2">
        <v>0</v>
      </c>
      <c r="Y2" s="2">
        <v>0</v>
      </c>
      <c r="Z2" s="3">
        <v>0</v>
      </c>
      <c r="AA2" s="2">
        <v>0</v>
      </c>
      <c r="AB2" s="2">
        <v>0</v>
      </c>
      <c r="AC2" s="3">
        <v>0</v>
      </c>
      <c r="AD2" s="2">
        <v>0</v>
      </c>
      <c r="AE2" s="2">
        <v>0</v>
      </c>
      <c r="AF2" s="3">
        <v>0</v>
      </c>
      <c r="AG2" s="2">
        <v>0</v>
      </c>
      <c r="AH2" s="2">
        <v>0</v>
      </c>
      <c r="AI2" s="3">
        <v>0</v>
      </c>
      <c r="AJ2" s="2">
        <v>0</v>
      </c>
      <c r="AK2" s="2">
        <v>0</v>
      </c>
      <c r="AL2" s="3">
        <v>0</v>
      </c>
      <c r="AM2" s="2">
        <v>0</v>
      </c>
      <c r="AN2" s="2">
        <v>0</v>
      </c>
      <c r="AO2" s="3">
        <v>0</v>
      </c>
      <c r="AP2" s="2">
        <v>0</v>
      </c>
      <c r="AQ2" s="2">
        <v>0</v>
      </c>
      <c r="AR2" s="3">
        <v>0</v>
      </c>
      <c r="AS2" s="2">
        <v>0</v>
      </c>
      <c r="AT2" s="2">
        <v>0</v>
      </c>
      <c r="AU2" s="3">
        <v>0</v>
      </c>
      <c r="AV2" s="2">
        <v>0</v>
      </c>
      <c r="AW2" s="2">
        <v>0</v>
      </c>
      <c r="AX2" s="3">
        <v>0</v>
      </c>
      <c r="AY2" s="2">
        <v>0</v>
      </c>
      <c r="AZ2" s="2">
        <v>0</v>
      </c>
      <c r="BA2" s="3">
        <v>0</v>
      </c>
      <c r="BB2" s="2">
        <v>0</v>
      </c>
      <c r="BC2" s="2">
        <v>0</v>
      </c>
      <c r="BD2" s="3">
        <v>0</v>
      </c>
      <c r="BE2" s="2">
        <v>0</v>
      </c>
      <c r="BF2" s="2">
        <v>0</v>
      </c>
      <c r="BG2" s="3">
        <v>0</v>
      </c>
      <c r="BH2" s="2">
        <v>0</v>
      </c>
      <c r="BI2" s="2">
        <v>0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0</v>
      </c>
      <c r="C3" s="2">
        <v>0</v>
      </c>
      <c r="D3" s="2">
        <v>0</v>
      </c>
      <c r="E3" s="3">
        <v>0</v>
      </c>
      <c r="F3" s="2">
        <v>0</v>
      </c>
      <c r="G3" s="2">
        <v>0</v>
      </c>
      <c r="H3" s="3">
        <v>0</v>
      </c>
      <c r="I3" s="2">
        <v>0</v>
      </c>
      <c r="J3" s="2">
        <v>0</v>
      </c>
      <c r="K3" s="3">
        <v>0</v>
      </c>
      <c r="L3" s="2">
        <v>0</v>
      </c>
      <c r="M3" s="2">
        <v>0</v>
      </c>
      <c r="N3" s="3">
        <v>0</v>
      </c>
      <c r="O3" s="2">
        <v>0</v>
      </c>
      <c r="P3" s="2">
        <v>0</v>
      </c>
      <c r="Q3" s="3">
        <v>0</v>
      </c>
      <c r="R3" s="2">
        <v>0</v>
      </c>
      <c r="S3" s="2">
        <v>0</v>
      </c>
      <c r="T3" s="3">
        <v>0</v>
      </c>
      <c r="U3" s="2">
        <v>0</v>
      </c>
      <c r="V3" s="2">
        <v>0</v>
      </c>
      <c r="W3" s="3">
        <v>0</v>
      </c>
      <c r="X3" s="2">
        <v>0</v>
      </c>
      <c r="Y3" s="2">
        <v>0</v>
      </c>
      <c r="Z3" s="3">
        <v>0</v>
      </c>
      <c r="AA3" s="2">
        <v>0</v>
      </c>
      <c r="AB3" s="2">
        <v>0</v>
      </c>
      <c r="AC3" s="3">
        <v>0</v>
      </c>
      <c r="AD3" s="2">
        <v>0</v>
      </c>
      <c r="AE3" s="2">
        <v>0</v>
      </c>
      <c r="AF3" s="3">
        <v>0</v>
      </c>
      <c r="AG3" s="2">
        <v>0</v>
      </c>
      <c r="AH3" s="2">
        <v>0</v>
      </c>
      <c r="AI3" s="3">
        <v>0</v>
      </c>
      <c r="AJ3" s="2">
        <v>0</v>
      </c>
      <c r="AK3" s="2">
        <v>0</v>
      </c>
      <c r="AL3" s="3">
        <v>0</v>
      </c>
      <c r="AM3" s="2">
        <v>0</v>
      </c>
      <c r="AN3" s="2">
        <v>0</v>
      </c>
      <c r="AO3" s="3">
        <v>0</v>
      </c>
      <c r="AP3" s="2">
        <v>0</v>
      </c>
      <c r="AQ3" s="2">
        <v>0</v>
      </c>
      <c r="AR3" s="3">
        <v>0</v>
      </c>
      <c r="AS3" s="2">
        <v>0</v>
      </c>
      <c r="AT3" s="2">
        <v>0</v>
      </c>
      <c r="AU3" s="3">
        <v>0</v>
      </c>
      <c r="AV3" s="2">
        <v>0</v>
      </c>
      <c r="AW3" s="2">
        <v>0</v>
      </c>
      <c r="AX3" s="3">
        <v>0</v>
      </c>
      <c r="AY3" s="2">
        <v>0</v>
      </c>
      <c r="AZ3" s="2">
        <v>0</v>
      </c>
      <c r="BA3" s="3">
        <v>0</v>
      </c>
      <c r="BB3" s="2">
        <v>0</v>
      </c>
      <c r="BC3" s="2">
        <v>0</v>
      </c>
      <c r="BD3" s="3">
        <v>0</v>
      </c>
      <c r="BE3" s="2">
        <v>0</v>
      </c>
      <c r="BF3" s="2">
        <v>0</v>
      </c>
      <c r="BG3" s="3">
        <v>0</v>
      </c>
      <c r="BH3" s="2">
        <v>0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2199.37</v>
      </c>
      <c r="C5" s="2">
        <v>1804.33</v>
      </c>
      <c r="D5" s="2">
        <v>0</v>
      </c>
      <c r="E5" s="3">
        <v>0</v>
      </c>
      <c r="F5" s="2">
        <v>0</v>
      </c>
      <c r="G5" s="2">
        <v>0</v>
      </c>
      <c r="H5" s="3">
        <v>0</v>
      </c>
      <c r="I5" s="2">
        <v>0</v>
      </c>
      <c r="J5" s="2">
        <v>0</v>
      </c>
      <c r="K5" s="3">
        <v>0</v>
      </c>
      <c r="L5" s="2">
        <v>0</v>
      </c>
      <c r="M5" s="2">
        <v>0</v>
      </c>
      <c r="N5" s="3">
        <v>0</v>
      </c>
      <c r="O5" s="2">
        <v>0</v>
      </c>
      <c r="P5" s="2">
        <v>0</v>
      </c>
      <c r="Q5" s="3">
        <v>0</v>
      </c>
      <c r="R5" s="2">
        <v>0</v>
      </c>
      <c r="S5" s="2">
        <v>0</v>
      </c>
      <c r="T5" s="3">
        <v>0</v>
      </c>
      <c r="U5" s="2">
        <v>0</v>
      </c>
      <c r="V5" s="2">
        <v>0</v>
      </c>
      <c r="W5" s="3">
        <v>0</v>
      </c>
      <c r="X5" s="2">
        <v>0</v>
      </c>
      <c r="Y5" s="2">
        <v>0</v>
      </c>
      <c r="Z5" s="3">
        <v>0</v>
      </c>
      <c r="AA5" s="2">
        <v>0</v>
      </c>
      <c r="AB5" s="2">
        <v>0</v>
      </c>
      <c r="AC5" s="3">
        <v>0</v>
      </c>
      <c r="AD5" s="2">
        <v>0</v>
      </c>
      <c r="AE5" s="2">
        <v>0</v>
      </c>
      <c r="AF5" s="3">
        <v>0</v>
      </c>
      <c r="AG5" s="2">
        <v>0</v>
      </c>
      <c r="AH5" s="2">
        <v>0</v>
      </c>
      <c r="AI5" s="3">
        <v>0</v>
      </c>
      <c r="AJ5" s="2">
        <v>0</v>
      </c>
      <c r="AK5" s="2">
        <v>0</v>
      </c>
      <c r="AL5" s="3">
        <v>0</v>
      </c>
      <c r="AM5" s="2">
        <v>0</v>
      </c>
      <c r="AN5" s="2">
        <v>0</v>
      </c>
      <c r="AO5" s="3">
        <v>0</v>
      </c>
      <c r="AP5" s="2">
        <v>0</v>
      </c>
      <c r="AQ5" s="2">
        <v>0</v>
      </c>
      <c r="AR5" s="3">
        <v>0</v>
      </c>
      <c r="AS5" s="2">
        <v>0</v>
      </c>
      <c r="AT5" s="2">
        <v>0</v>
      </c>
      <c r="AU5" s="3">
        <v>0</v>
      </c>
      <c r="AV5" s="2">
        <v>0</v>
      </c>
      <c r="AW5" s="2">
        <v>0</v>
      </c>
      <c r="AX5" s="3">
        <v>0</v>
      </c>
      <c r="AY5" s="2">
        <v>0</v>
      </c>
      <c r="AZ5" s="2">
        <v>0</v>
      </c>
      <c r="BA5" s="3">
        <v>0</v>
      </c>
      <c r="BB5" s="2">
        <v>0</v>
      </c>
      <c r="BC5" s="2">
        <v>0</v>
      </c>
      <c r="BD5" s="3">
        <v>0</v>
      </c>
      <c r="BE5" s="2">
        <v>0</v>
      </c>
      <c r="BF5" s="2">
        <v>0</v>
      </c>
      <c r="BG5" s="3">
        <v>0</v>
      </c>
      <c r="BH5" s="2">
        <v>0</v>
      </c>
      <c r="BI5" s="2">
        <v>0</v>
      </c>
      <c r="BJ5" s="3">
        <v>0</v>
      </c>
      <c r="BK5" s="2">
        <v>0</v>
      </c>
      <c r="BL5">
        <v>0</v>
      </c>
    </row>
    <row r="6" spans="1:64" ht="15.5" x14ac:dyDescent="0.35">
      <c r="A6" t="s">
        <v>68</v>
      </c>
      <c r="B6" s="2">
        <v>425.01</v>
      </c>
      <c r="C6" s="2">
        <v>358.15</v>
      </c>
      <c r="D6" s="2">
        <v>0</v>
      </c>
      <c r="E6" s="3">
        <v>0</v>
      </c>
      <c r="F6" s="2">
        <v>0</v>
      </c>
      <c r="G6" s="2">
        <v>0</v>
      </c>
      <c r="H6" s="3">
        <v>0</v>
      </c>
      <c r="I6" s="2">
        <v>0</v>
      </c>
      <c r="J6" s="2">
        <v>0</v>
      </c>
      <c r="K6" s="3">
        <v>0</v>
      </c>
      <c r="L6" s="2">
        <v>0</v>
      </c>
      <c r="M6" s="2">
        <v>0</v>
      </c>
      <c r="N6" s="3">
        <v>0</v>
      </c>
      <c r="O6" s="2">
        <v>0</v>
      </c>
      <c r="P6" s="2">
        <v>0</v>
      </c>
      <c r="Q6" s="3">
        <v>0</v>
      </c>
      <c r="R6" s="2">
        <v>0</v>
      </c>
      <c r="S6" s="2">
        <v>0</v>
      </c>
      <c r="T6" s="3">
        <v>0</v>
      </c>
      <c r="U6" s="2">
        <v>0</v>
      </c>
      <c r="V6" s="2">
        <v>0</v>
      </c>
      <c r="W6" s="3">
        <v>0</v>
      </c>
      <c r="X6" s="2">
        <v>0</v>
      </c>
      <c r="Y6" s="2">
        <v>0</v>
      </c>
      <c r="Z6" s="3">
        <v>0</v>
      </c>
      <c r="AA6" s="2">
        <v>0</v>
      </c>
      <c r="AB6" s="2">
        <v>0</v>
      </c>
      <c r="AC6" s="3">
        <v>0</v>
      </c>
      <c r="AD6" s="2">
        <v>0</v>
      </c>
      <c r="AE6" s="2">
        <v>0</v>
      </c>
      <c r="AF6" s="3">
        <v>0</v>
      </c>
      <c r="AG6" s="2">
        <v>0</v>
      </c>
      <c r="AH6" s="2">
        <v>0</v>
      </c>
      <c r="AI6" s="3">
        <v>0</v>
      </c>
      <c r="AJ6" s="2">
        <v>0</v>
      </c>
      <c r="AK6" s="2">
        <v>0</v>
      </c>
      <c r="AL6" s="3">
        <v>0</v>
      </c>
      <c r="AM6" s="2">
        <v>0</v>
      </c>
      <c r="AN6" s="2">
        <v>0</v>
      </c>
      <c r="AO6" s="3">
        <v>0</v>
      </c>
      <c r="AP6" s="2">
        <v>0</v>
      </c>
      <c r="AQ6" s="2">
        <v>0</v>
      </c>
      <c r="AR6" s="3">
        <v>0</v>
      </c>
      <c r="AS6" s="2">
        <v>0</v>
      </c>
      <c r="AT6" s="2">
        <v>0</v>
      </c>
      <c r="AU6" s="3">
        <v>0</v>
      </c>
      <c r="AV6" s="2">
        <v>0</v>
      </c>
      <c r="AW6" s="2">
        <v>0</v>
      </c>
      <c r="AX6" s="3">
        <v>0</v>
      </c>
      <c r="AY6" s="2">
        <v>0</v>
      </c>
      <c r="AZ6" s="2">
        <v>0</v>
      </c>
      <c r="BA6" s="3">
        <v>0</v>
      </c>
      <c r="BB6" s="2">
        <v>0</v>
      </c>
      <c r="BC6" s="2">
        <v>0</v>
      </c>
      <c r="BD6" s="3">
        <v>0</v>
      </c>
      <c r="BE6" s="2">
        <v>0</v>
      </c>
      <c r="BF6" s="2">
        <v>0</v>
      </c>
      <c r="BG6" s="3">
        <v>0</v>
      </c>
      <c r="BH6" s="2">
        <v>0</v>
      </c>
      <c r="BI6" s="2">
        <v>0</v>
      </c>
      <c r="BJ6" s="3">
        <v>0</v>
      </c>
      <c r="BK6" s="2">
        <v>0</v>
      </c>
      <c r="BL6">
        <v>0</v>
      </c>
    </row>
    <row r="7" spans="1:64" ht="15.5" x14ac:dyDescent="0.35">
      <c r="A7" t="s">
        <v>69</v>
      </c>
      <c r="B7" s="2">
        <v>341.63</v>
      </c>
      <c r="C7" s="2">
        <v>316.52</v>
      </c>
      <c r="D7" s="2">
        <v>0</v>
      </c>
      <c r="E7" s="3">
        <v>0</v>
      </c>
      <c r="F7" s="2">
        <v>0</v>
      </c>
      <c r="G7" s="2">
        <v>0</v>
      </c>
      <c r="H7" s="3">
        <v>0</v>
      </c>
      <c r="I7" s="2">
        <v>0</v>
      </c>
      <c r="J7" s="2">
        <v>0</v>
      </c>
      <c r="K7" s="3">
        <v>0</v>
      </c>
      <c r="L7" s="2">
        <v>0</v>
      </c>
      <c r="M7" s="2">
        <v>0</v>
      </c>
      <c r="N7" s="3">
        <v>0</v>
      </c>
      <c r="O7" s="2">
        <v>0</v>
      </c>
      <c r="P7" s="2">
        <v>0</v>
      </c>
      <c r="Q7" s="3">
        <v>0</v>
      </c>
      <c r="R7" s="2">
        <v>0</v>
      </c>
      <c r="S7" s="2">
        <v>0</v>
      </c>
      <c r="T7" s="3">
        <v>0</v>
      </c>
      <c r="U7" s="2">
        <v>0</v>
      </c>
      <c r="V7" s="2">
        <v>0</v>
      </c>
      <c r="W7" s="3">
        <v>0</v>
      </c>
      <c r="X7" s="2">
        <v>0</v>
      </c>
      <c r="Y7" s="2">
        <v>0</v>
      </c>
      <c r="Z7" s="3">
        <v>0</v>
      </c>
      <c r="AA7" s="2">
        <v>0</v>
      </c>
      <c r="AB7" s="2">
        <v>0</v>
      </c>
      <c r="AC7" s="3">
        <v>0</v>
      </c>
      <c r="AD7" s="2">
        <v>0</v>
      </c>
      <c r="AE7" s="2">
        <v>0</v>
      </c>
      <c r="AF7" s="3">
        <v>0</v>
      </c>
      <c r="AG7" s="2">
        <v>0</v>
      </c>
      <c r="AH7" s="2">
        <v>0</v>
      </c>
      <c r="AI7" s="3">
        <v>0</v>
      </c>
      <c r="AJ7" s="2">
        <v>0</v>
      </c>
      <c r="AK7" s="2">
        <v>0</v>
      </c>
      <c r="AL7" s="3">
        <v>0</v>
      </c>
      <c r="AM7" s="2">
        <v>0</v>
      </c>
      <c r="AN7" s="2">
        <v>0</v>
      </c>
      <c r="AO7" s="3">
        <v>0</v>
      </c>
      <c r="AP7" s="2">
        <v>0</v>
      </c>
      <c r="AQ7" s="2">
        <v>0</v>
      </c>
      <c r="AR7" s="3">
        <v>0</v>
      </c>
      <c r="AS7" s="2">
        <v>0</v>
      </c>
      <c r="AT7" s="2">
        <v>0</v>
      </c>
      <c r="AU7" s="3">
        <v>0</v>
      </c>
      <c r="AV7" s="2">
        <v>0</v>
      </c>
      <c r="AW7" s="2">
        <v>0</v>
      </c>
      <c r="AX7" s="3">
        <v>0</v>
      </c>
      <c r="AY7" s="2">
        <v>0</v>
      </c>
      <c r="AZ7" s="2">
        <v>0</v>
      </c>
      <c r="BA7" s="3">
        <v>0</v>
      </c>
      <c r="BB7" s="2">
        <v>0</v>
      </c>
      <c r="BC7" s="2">
        <v>0</v>
      </c>
      <c r="BD7" s="3">
        <v>0</v>
      </c>
      <c r="BE7" s="2">
        <v>0</v>
      </c>
      <c r="BF7" s="2">
        <v>0</v>
      </c>
      <c r="BG7" s="3">
        <v>0</v>
      </c>
      <c r="BH7" s="2">
        <v>0</v>
      </c>
      <c r="BI7" s="2">
        <v>0</v>
      </c>
      <c r="BJ7" s="3">
        <v>0</v>
      </c>
      <c r="BK7" s="2">
        <v>0</v>
      </c>
      <c r="BL7">
        <v>0</v>
      </c>
    </row>
    <row r="8" spans="1:64" ht="15.5" x14ac:dyDescent="0.35">
      <c r="A8" t="s">
        <v>70</v>
      </c>
      <c r="B8" s="2">
        <v>400</v>
      </c>
      <c r="C8" s="2">
        <v>320</v>
      </c>
      <c r="D8" s="2">
        <v>0</v>
      </c>
      <c r="E8" s="3">
        <v>0</v>
      </c>
      <c r="F8" s="2">
        <v>0</v>
      </c>
      <c r="G8" s="2">
        <v>0</v>
      </c>
      <c r="H8" s="3">
        <v>0</v>
      </c>
      <c r="I8" s="2">
        <v>0</v>
      </c>
      <c r="J8" s="2">
        <v>0</v>
      </c>
      <c r="K8" s="3">
        <v>0</v>
      </c>
      <c r="L8" s="2">
        <v>0</v>
      </c>
      <c r="M8" s="2">
        <v>0</v>
      </c>
      <c r="N8" s="3">
        <v>0</v>
      </c>
      <c r="O8" s="2">
        <v>0</v>
      </c>
      <c r="P8" s="2">
        <v>0</v>
      </c>
      <c r="Q8" s="3">
        <v>0</v>
      </c>
      <c r="R8" s="2">
        <v>0</v>
      </c>
      <c r="S8" s="2">
        <v>0</v>
      </c>
      <c r="T8" s="3">
        <v>0</v>
      </c>
      <c r="U8" s="2">
        <v>0</v>
      </c>
      <c r="V8" s="2">
        <v>0</v>
      </c>
      <c r="W8" s="3">
        <v>0</v>
      </c>
      <c r="X8" s="2">
        <v>0</v>
      </c>
      <c r="Y8" s="2">
        <v>0</v>
      </c>
      <c r="Z8" s="3">
        <v>0</v>
      </c>
      <c r="AA8" s="2">
        <v>0</v>
      </c>
      <c r="AB8" s="2">
        <v>0</v>
      </c>
      <c r="AC8" s="3">
        <v>0</v>
      </c>
      <c r="AD8" s="2">
        <v>0</v>
      </c>
      <c r="AE8" s="2">
        <v>0</v>
      </c>
      <c r="AF8" s="3">
        <v>0</v>
      </c>
      <c r="AG8" s="2">
        <v>0</v>
      </c>
      <c r="AH8" s="2">
        <v>0</v>
      </c>
      <c r="AI8" s="3">
        <v>0</v>
      </c>
      <c r="AJ8" s="2">
        <v>0</v>
      </c>
      <c r="AK8" s="2">
        <v>0</v>
      </c>
      <c r="AL8" s="3">
        <v>0</v>
      </c>
      <c r="AM8" s="2">
        <v>0</v>
      </c>
      <c r="AN8" s="2">
        <v>0</v>
      </c>
      <c r="AO8" s="3">
        <v>0</v>
      </c>
      <c r="AP8" s="2">
        <v>0</v>
      </c>
      <c r="AQ8" s="2">
        <v>0</v>
      </c>
      <c r="AR8" s="3">
        <v>0</v>
      </c>
      <c r="AS8" s="2">
        <v>0</v>
      </c>
      <c r="AT8" s="2">
        <v>0</v>
      </c>
      <c r="AU8" s="3">
        <v>0</v>
      </c>
      <c r="AV8" s="2">
        <v>0</v>
      </c>
      <c r="AW8" s="2">
        <v>0</v>
      </c>
      <c r="AX8" s="3">
        <v>0</v>
      </c>
      <c r="AY8" s="2">
        <v>0</v>
      </c>
      <c r="AZ8" s="2">
        <v>0</v>
      </c>
      <c r="BA8" s="3">
        <v>0</v>
      </c>
      <c r="BB8" s="2">
        <v>0</v>
      </c>
      <c r="BC8" s="2">
        <v>0</v>
      </c>
      <c r="BD8" s="3">
        <v>0</v>
      </c>
      <c r="BE8" s="2">
        <v>0</v>
      </c>
      <c r="BF8" s="2">
        <v>0</v>
      </c>
      <c r="BG8" s="3">
        <v>0</v>
      </c>
      <c r="BH8" s="2">
        <v>0</v>
      </c>
      <c r="BI8" s="2">
        <v>0</v>
      </c>
      <c r="BJ8" s="3">
        <v>0</v>
      </c>
      <c r="BK8" s="2">
        <v>0</v>
      </c>
      <c r="BL8">
        <v>0</v>
      </c>
    </row>
    <row r="9" spans="1:64" ht="15.5" x14ac:dyDescent="0.35">
      <c r="A9" t="s">
        <v>71</v>
      </c>
      <c r="B9" s="2">
        <v>29541.930000000029</v>
      </c>
      <c r="C9" s="2">
        <v>23286.77000000003</v>
      </c>
      <c r="D9" s="2">
        <v>0</v>
      </c>
      <c r="E9" s="3">
        <v>0</v>
      </c>
      <c r="F9" s="2">
        <v>0</v>
      </c>
      <c r="G9" s="2">
        <v>0</v>
      </c>
      <c r="H9" s="3">
        <v>0</v>
      </c>
      <c r="I9" s="2">
        <v>0</v>
      </c>
      <c r="J9" s="2">
        <v>0</v>
      </c>
      <c r="K9" s="3">
        <v>0</v>
      </c>
      <c r="L9" s="2">
        <v>0</v>
      </c>
      <c r="M9" s="2">
        <v>0</v>
      </c>
      <c r="N9" s="3">
        <v>0</v>
      </c>
      <c r="O9" s="2">
        <v>0</v>
      </c>
      <c r="P9" s="2">
        <v>0</v>
      </c>
      <c r="Q9" s="3">
        <v>0</v>
      </c>
      <c r="R9" s="2">
        <v>0</v>
      </c>
      <c r="S9" s="2">
        <v>0</v>
      </c>
      <c r="T9" s="3">
        <v>0</v>
      </c>
      <c r="U9" s="2">
        <v>0</v>
      </c>
      <c r="V9" s="2">
        <v>0</v>
      </c>
      <c r="W9" s="3">
        <v>0</v>
      </c>
      <c r="X9" s="2">
        <v>0</v>
      </c>
      <c r="Y9" s="2">
        <v>0</v>
      </c>
      <c r="Z9" s="3">
        <v>0</v>
      </c>
      <c r="AA9" s="2">
        <v>0</v>
      </c>
      <c r="AB9" s="2">
        <v>0</v>
      </c>
      <c r="AC9" s="3">
        <v>0</v>
      </c>
      <c r="AD9" s="2">
        <v>0</v>
      </c>
      <c r="AE9" s="2">
        <v>0</v>
      </c>
      <c r="AF9" s="3">
        <v>0</v>
      </c>
      <c r="AG9" s="2">
        <v>0</v>
      </c>
      <c r="AH9" s="2">
        <v>0</v>
      </c>
      <c r="AI9" s="3">
        <v>0</v>
      </c>
      <c r="AJ9" s="2">
        <v>0</v>
      </c>
      <c r="AK9" s="2">
        <v>0</v>
      </c>
      <c r="AL9" s="3">
        <v>0</v>
      </c>
      <c r="AM9" s="2">
        <v>0</v>
      </c>
      <c r="AN9" s="2">
        <v>0</v>
      </c>
      <c r="AO9" s="3">
        <v>0</v>
      </c>
      <c r="AP9" s="2">
        <v>0</v>
      </c>
      <c r="AQ9" s="2">
        <v>0</v>
      </c>
      <c r="AR9" s="3">
        <v>0</v>
      </c>
      <c r="AS9" s="2">
        <v>0</v>
      </c>
      <c r="AT9" s="2">
        <v>0</v>
      </c>
      <c r="AU9" s="3">
        <v>0</v>
      </c>
      <c r="AV9" s="2">
        <v>0</v>
      </c>
      <c r="AW9" s="2">
        <v>0</v>
      </c>
      <c r="AX9" s="3">
        <v>0</v>
      </c>
      <c r="AY9" s="2">
        <v>0</v>
      </c>
      <c r="AZ9" s="2">
        <v>0</v>
      </c>
      <c r="BA9" s="3">
        <v>0</v>
      </c>
      <c r="BB9" s="2">
        <v>0</v>
      </c>
      <c r="BC9" s="2">
        <v>0</v>
      </c>
      <c r="BD9" s="3">
        <v>0</v>
      </c>
      <c r="BE9" s="2">
        <v>0</v>
      </c>
      <c r="BF9" s="2">
        <v>0</v>
      </c>
      <c r="BG9" s="3">
        <v>0</v>
      </c>
      <c r="BH9" s="2">
        <v>0</v>
      </c>
      <c r="BI9" s="2">
        <v>0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7649.6000000000258</v>
      </c>
      <c r="C10" s="2">
        <v>4685.0700000000261</v>
      </c>
      <c r="D10" s="2">
        <v>0</v>
      </c>
      <c r="E10" s="3">
        <v>0</v>
      </c>
      <c r="F10" s="2">
        <v>0</v>
      </c>
      <c r="G10" s="2">
        <v>0</v>
      </c>
      <c r="H10" s="3">
        <v>0</v>
      </c>
      <c r="I10" s="2">
        <v>0</v>
      </c>
      <c r="J10" s="2">
        <v>0</v>
      </c>
      <c r="K10" s="3">
        <v>0</v>
      </c>
      <c r="L10" s="2">
        <v>0</v>
      </c>
      <c r="M10" s="2">
        <v>0</v>
      </c>
      <c r="N10" s="3">
        <v>0</v>
      </c>
      <c r="O10" s="2">
        <v>0</v>
      </c>
      <c r="P10" s="2">
        <v>0</v>
      </c>
      <c r="Q10" s="3">
        <v>0</v>
      </c>
      <c r="R10" s="2">
        <v>0</v>
      </c>
      <c r="S10" s="2">
        <v>0</v>
      </c>
      <c r="T10" s="3">
        <v>0</v>
      </c>
      <c r="U10" s="2">
        <v>0</v>
      </c>
      <c r="V10" s="2">
        <v>0</v>
      </c>
      <c r="W10" s="3">
        <v>0</v>
      </c>
      <c r="X10" s="2">
        <v>0</v>
      </c>
      <c r="Y10" s="2">
        <v>0</v>
      </c>
      <c r="Z10" s="3">
        <v>0</v>
      </c>
      <c r="AA10" s="2">
        <v>0</v>
      </c>
      <c r="AB10" s="2">
        <v>0</v>
      </c>
      <c r="AC10" s="3">
        <v>0</v>
      </c>
      <c r="AD10" s="2">
        <v>0</v>
      </c>
      <c r="AE10" s="2">
        <v>0</v>
      </c>
      <c r="AF10" s="3">
        <v>0</v>
      </c>
      <c r="AG10" s="2">
        <v>0</v>
      </c>
      <c r="AH10" s="2">
        <v>0</v>
      </c>
      <c r="AI10" s="3">
        <v>0</v>
      </c>
      <c r="AJ10" s="2">
        <v>0</v>
      </c>
      <c r="AK10" s="2">
        <v>0</v>
      </c>
      <c r="AL10" s="3">
        <v>0</v>
      </c>
      <c r="AM10" s="2">
        <v>0</v>
      </c>
      <c r="AN10" s="2">
        <v>0</v>
      </c>
      <c r="AO10" s="3">
        <v>0</v>
      </c>
      <c r="AP10" s="2">
        <v>0</v>
      </c>
      <c r="AQ10" s="2">
        <v>0</v>
      </c>
      <c r="AR10" s="3">
        <v>0</v>
      </c>
      <c r="AS10" s="2">
        <v>0</v>
      </c>
      <c r="AT10" s="2">
        <v>0</v>
      </c>
      <c r="AU10" s="3">
        <v>0</v>
      </c>
      <c r="AV10" s="2">
        <v>0</v>
      </c>
      <c r="AW10" s="2">
        <v>0</v>
      </c>
      <c r="AX10" s="3">
        <v>0</v>
      </c>
      <c r="AY10" s="2">
        <v>0</v>
      </c>
      <c r="AZ10" s="2">
        <v>0</v>
      </c>
      <c r="BA10" s="3">
        <v>0</v>
      </c>
      <c r="BB10" s="2">
        <v>0</v>
      </c>
      <c r="BC10" s="2">
        <v>0</v>
      </c>
      <c r="BD10" s="3">
        <v>0</v>
      </c>
      <c r="BE10" s="2">
        <v>0</v>
      </c>
      <c r="BF10" s="2">
        <v>0</v>
      </c>
      <c r="BG10" s="3">
        <v>0</v>
      </c>
      <c r="BH10" s="2">
        <v>0</v>
      </c>
      <c r="BI10" s="2">
        <v>0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543.56999999999994</v>
      </c>
      <c r="C11" s="2">
        <v>434.84</v>
      </c>
      <c r="D11" s="2">
        <v>0</v>
      </c>
      <c r="E11" s="3">
        <v>0</v>
      </c>
      <c r="F11" s="2">
        <v>0</v>
      </c>
      <c r="G11" s="2">
        <v>0</v>
      </c>
      <c r="H11" s="3">
        <v>0</v>
      </c>
      <c r="I11" s="2">
        <v>0</v>
      </c>
      <c r="J11" s="2">
        <v>0</v>
      </c>
      <c r="K11" s="3">
        <v>0</v>
      </c>
      <c r="L11" s="2">
        <v>0</v>
      </c>
      <c r="M11" s="2">
        <v>0</v>
      </c>
      <c r="N11" s="3">
        <v>0</v>
      </c>
      <c r="O11" s="2">
        <v>0</v>
      </c>
      <c r="P11" s="2">
        <v>0</v>
      </c>
      <c r="Q11" s="3">
        <v>0</v>
      </c>
      <c r="R11" s="2">
        <v>0</v>
      </c>
      <c r="S11" s="2">
        <v>0</v>
      </c>
      <c r="T11" s="3">
        <v>0</v>
      </c>
      <c r="U11" s="2">
        <v>0</v>
      </c>
      <c r="V11" s="2">
        <v>0</v>
      </c>
      <c r="W11" s="3">
        <v>0</v>
      </c>
      <c r="X11" s="2">
        <v>0</v>
      </c>
      <c r="Y11" s="2">
        <v>0</v>
      </c>
      <c r="Z11" s="3">
        <v>0</v>
      </c>
      <c r="AA11" s="2">
        <v>0</v>
      </c>
      <c r="AB11" s="2">
        <v>0</v>
      </c>
      <c r="AC11" s="3">
        <v>0</v>
      </c>
      <c r="AD11" s="2">
        <v>0</v>
      </c>
      <c r="AE11" s="2">
        <v>0</v>
      </c>
      <c r="AF11" s="3">
        <v>0</v>
      </c>
      <c r="AG11" s="2">
        <v>0</v>
      </c>
      <c r="AH11" s="2">
        <v>0</v>
      </c>
      <c r="AI11" s="3">
        <v>0</v>
      </c>
      <c r="AJ11" s="2">
        <v>0</v>
      </c>
      <c r="AK11" s="2">
        <v>0</v>
      </c>
      <c r="AL11" s="3">
        <v>0</v>
      </c>
      <c r="AM11" s="2">
        <v>0</v>
      </c>
      <c r="AN11" s="2">
        <v>0</v>
      </c>
      <c r="AO11" s="3">
        <v>0</v>
      </c>
      <c r="AP11" s="2">
        <v>0</v>
      </c>
      <c r="AQ11" s="2">
        <v>0</v>
      </c>
      <c r="AR11" s="3">
        <v>0</v>
      </c>
      <c r="AS11" s="2">
        <v>0</v>
      </c>
      <c r="AT11" s="2">
        <v>0</v>
      </c>
      <c r="AU11" s="3">
        <v>0</v>
      </c>
      <c r="AV11" s="2">
        <v>0</v>
      </c>
      <c r="AW11" s="2">
        <v>0</v>
      </c>
      <c r="AX11" s="3">
        <v>0</v>
      </c>
      <c r="AY11" s="2">
        <v>0</v>
      </c>
      <c r="AZ11" s="2">
        <v>0</v>
      </c>
      <c r="BA11" s="3">
        <v>0</v>
      </c>
      <c r="BB11" s="2">
        <v>0</v>
      </c>
      <c r="BC11" s="2">
        <v>0</v>
      </c>
      <c r="BD11" s="3">
        <v>0</v>
      </c>
      <c r="BE11" s="2">
        <v>0</v>
      </c>
      <c r="BF11" s="2">
        <v>0</v>
      </c>
      <c r="BG11" s="3">
        <v>0</v>
      </c>
      <c r="BH11" s="2">
        <v>0</v>
      </c>
      <c r="BI11" s="2">
        <v>0</v>
      </c>
      <c r="BJ11" s="3">
        <v>0</v>
      </c>
      <c r="BK11" s="2">
        <v>0</v>
      </c>
      <c r="BL11">
        <v>0</v>
      </c>
    </row>
    <row r="12" spans="1:64" ht="15.5" x14ac:dyDescent="0.35">
      <c r="A12" t="s">
        <v>74</v>
      </c>
      <c r="B12" s="2">
        <v>66498.7</v>
      </c>
      <c r="C12" s="2">
        <v>53197</v>
      </c>
      <c r="D12" s="2">
        <v>0</v>
      </c>
      <c r="E12" s="3">
        <v>0</v>
      </c>
      <c r="F12" s="2">
        <v>0</v>
      </c>
      <c r="G12" s="2">
        <v>0</v>
      </c>
      <c r="H12" s="3">
        <v>0</v>
      </c>
      <c r="I12" s="2">
        <v>0</v>
      </c>
      <c r="J12" s="2">
        <v>0</v>
      </c>
      <c r="K12" s="3">
        <v>0</v>
      </c>
      <c r="L12" s="2">
        <v>0</v>
      </c>
      <c r="M12" s="2">
        <v>0</v>
      </c>
      <c r="N12" s="3">
        <v>0</v>
      </c>
      <c r="O12" s="2">
        <v>0</v>
      </c>
      <c r="P12" s="2">
        <v>0</v>
      </c>
      <c r="Q12" s="3">
        <v>0</v>
      </c>
      <c r="R12" s="2">
        <v>0</v>
      </c>
      <c r="S12" s="2">
        <v>0</v>
      </c>
      <c r="T12" s="3">
        <v>0</v>
      </c>
      <c r="U12" s="2">
        <v>0</v>
      </c>
      <c r="V12" s="2">
        <v>0</v>
      </c>
      <c r="W12" s="3">
        <v>0</v>
      </c>
      <c r="X12" s="2">
        <v>0</v>
      </c>
      <c r="Y12" s="2">
        <v>0</v>
      </c>
      <c r="Z12" s="3">
        <v>0</v>
      </c>
      <c r="AA12" s="2">
        <v>0</v>
      </c>
      <c r="AB12" s="2">
        <v>0</v>
      </c>
      <c r="AC12" s="3">
        <v>0</v>
      </c>
      <c r="AD12" s="2">
        <v>0</v>
      </c>
      <c r="AE12" s="2">
        <v>0</v>
      </c>
      <c r="AF12" s="3">
        <v>0</v>
      </c>
      <c r="AG12" s="2">
        <v>0</v>
      </c>
      <c r="AH12" s="2">
        <v>0</v>
      </c>
      <c r="AI12" s="3">
        <v>0</v>
      </c>
      <c r="AJ12" s="2">
        <v>0</v>
      </c>
      <c r="AK12" s="2">
        <v>0</v>
      </c>
      <c r="AL12" s="3">
        <v>0</v>
      </c>
      <c r="AM12" s="2">
        <v>0</v>
      </c>
      <c r="AN12" s="2">
        <v>0</v>
      </c>
      <c r="AO12" s="3">
        <v>0</v>
      </c>
      <c r="AP12" s="2">
        <v>0</v>
      </c>
      <c r="AQ12" s="2">
        <v>0</v>
      </c>
      <c r="AR12" s="3">
        <v>0</v>
      </c>
      <c r="AS12" s="2">
        <v>0</v>
      </c>
      <c r="AT12" s="2">
        <v>0</v>
      </c>
      <c r="AU12" s="3">
        <v>0</v>
      </c>
      <c r="AV12" s="2">
        <v>0</v>
      </c>
      <c r="AW12" s="2">
        <v>0</v>
      </c>
      <c r="AX12" s="3">
        <v>0</v>
      </c>
      <c r="AY12" s="2">
        <v>0</v>
      </c>
      <c r="AZ12" s="2">
        <v>0</v>
      </c>
      <c r="BA12" s="3">
        <v>0</v>
      </c>
      <c r="BB12" s="2">
        <v>0</v>
      </c>
      <c r="BC12" s="2">
        <v>0</v>
      </c>
      <c r="BD12" s="3">
        <v>0</v>
      </c>
      <c r="BE12" s="2">
        <v>0</v>
      </c>
      <c r="BF12" s="2">
        <v>0</v>
      </c>
      <c r="BG12" s="3">
        <v>0</v>
      </c>
      <c r="BH12" s="2">
        <v>0</v>
      </c>
      <c r="BI12" s="2">
        <v>0</v>
      </c>
      <c r="BJ12" s="3">
        <v>0</v>
      </c>
      <c r="BK12" s="2">
        <v>0</v>
      </c>
      <c r="BL12">
        <v>0</v>
      </c>
    </row>
    <row r="13" spans="1:64" ht="15.5" x14ac:dyDescent="0.35">
      <c r="A13" t="s">
        <v>75</v>
      </c>
      <c r="B13" s="2">
        <v>16610.2</v>
      </c>
      <c r="C13" s="2">
        <v>14926.72</v>
      </c>
      <c r="D13" s="2">
        <v>0</v>
      </c>
      <c r="E13" s="3">
        <v>0</v>
      </c>
      <c r="F13" s="2">
        <v>0</v>
      </c>
      <c r="G13" s="2">
        <v>0</v>
      </c>
      <c r="H13" s="3">
        <v>0</v>
      </c>
      <c r="I13" s="2">
        <v>0</v>
      </c>
      <c r="J13" s="2">
        <v>0</v>
      </c>
      <c r="K13" s="3">
        <v>0</v>
      </c>
      <c r="L13" s="2">
        <v>0</v>
      </c>
      <c r="M13" s="2">
        <v>0</v>
      </c>
      <c r="N13" s="3">
        <v>0</v>
      </c>
      <c r="O13" s="2">
        <v>0</v>
      </c>
      <c r="P13" s="2">
        <v>0</v>
      </c>
      <c r="Q13" s="3">
        <v>0</v>
      </c>
      <c r="R13" s="2">
        <v>0</v>
      </c>
      <c r="S13" s="2">
        <v>0</v>
      </c>
      <c r="T13" s="3">
        <v>0</v>
      </c>
      <c r="U13" s="2">
        <v>0</v>
      </c>
      <c r="V13" s="2">
        <v>0</v>
      </c>
      <c r="W13" s="3">
        <v>0</v>
      </c>
      <c r="X13" s="2">
        <v>0</v>
      </c>
      <c r="Y13" s="2">
        <v>0</v>
      </c>
      <c r="Z13" s="3">
        <v>0</v>
      </c>
      <c r="AA13" s="2">
        <v>0</v>
      </c>
      <c r="AB13" s="2">
        <v>0</v>
      </c>
      <c r="AC13" s="3">
        <v>0</v>
      </c>
      <c r="AD13" s="2">
        <v>0</v>
      </c>
      <c r="AE13" s="2">
        <v>0</v>
      </c>
      <c r="AF13" s="3">
        <v>0</v>
      </c>
      <c r="AG13" s="2">
        <v>0</v>
      </c>
      <c r="AH13" s="2">
        <v>0</v>
      </c>
      <c r="AI13" s="3">
        <v>0</v>
      </c>
      <c r="AJ13" s="2">
        <v>0</v>
      </c>
      <c r="AK13" s="2">
        <v>0</v>
      </c>
      <c r="AL13" s="3">
        <v>0</v>
      </c>
      <c r="AM13" s="2">
        <v>0</v>
      </c>
      <c r="AN13" s="2">
        <v>0</v>
      </c>
      <c r="AO13" s="3">
        <v>0</v>
      </c>
      <c r="AP13" s="2">
        <v>0</v>
      </c>
      <c r="AQ13" s="2">
        <v>0</v>
      </c>
      <c r="AR13" s="3">
        <v>0</v>
      </c>
      <c r="AS13" s="2">
        <v>0</v>
      </c>
      <c r="AT13" s="2">
        <v>0</v>
      </c>
      <c r="AU13" s="3">
        <v>0</v>
      </c>
      <c r="AV13" s="2">
        <v>0</v>
      </c>
      <c r="AW13" s="2">
        <v>0</v>
      </c>
      <c r="AX13" s="3">
        <v>0</v>
      </c>
      <c r="AY13" s="2">
        <v>0</v>
      </c>
      <c r="AZ13" s="2">
        <v>0</v>
      </c>
      <c r="BA13" s="3">
        <v>0</v>
      </c>
      <c r="BB13" s="2">
        <v>0</v>
      </c>
      <c r="BC13" s="2">
        <v>0</v>
      </c>
      <c r="BD13" s="3">
        <v>0</v>
      </c>
      <c r="BE13" s="2">
        <v>0</v>
      </c>
      <c r="BF13" s="2">
        <v>0</v>
      </c>
      <c r="BG13" s="3">
        <v>0</v>
      </c>
      <c r="BH13" s="2">
        <v>0</v>
      </c>
      <c r="BI13" s="2">
        <v>0</v>
      </c>
      <c r="BJ13" s="3">
        <v>0</v>
      </c>
      <c r="BK13" s="2">
        <v>0</v>
      </c>
      <c r="BL13">
        <v>0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1</v>
      </c>
      <c r="D15" s="2">
        <v>4</v>
      </c>
      <c r="E15" s="3">
        <v>0</v>
      </c>
      <c r="F15" s="2">
        <v>0</v>
      </c>
      <c r="G15" s="2">
        <v>0</v>
      </c>
      <c r="H15" s="3">
        <v>0</v>
      </c>
      <c r="I15" s="2">
        <v>0</v>
      </c>
      <c r="J15" s="2">
        <v>0</v>
      </c>
      <c r="K15" s="3">
        <v>0</v>
      </c>
      <c r="L15" s="2">
        <v>0</v>
      </c>
      <c r="M15" s="2">
        <v>0</v>
      </c>
      <c r="N15" s="3">
        <v>0</v>
      </c>
      <c r="O15" s="2">
        <v>0</v>
      </c>
      <c r="P15" s="2">
        <v>0</v>
      </c>
      <c r="Q15" s="3">
        <v>0</v>
      </c>
      <c r="R15" s="2">
        <v>0</v>
      </c>
      <c r="S15" s="2">
        <v>0</v>
      </c>
      <c r="T15" s="3">
        <v>0</v>
      </c>
      <c r="U15" s="2">
        <v>0</v>
      </c>
      <c r="V15" s="2">
        <v>0</v>
      </c>
      <c r="W15" s="3">
        <v>0</v>
      </c>
      <c r="X15" s="2">
        <v>0</v>
      </c>
      <c r="Y15" s="2">
        <v>0</v>
      </c>
      <c r="Z15" s="3">
        <v>0</v>
      </c>
      <c r="AA15" s="2">
        <v>0</v>
      </c>
      <c r="AB15" s="2">
        <v>0</v>
      </c>
      <c r="AC15" s="3">
        <v>0</v>
      </c>
      <c r="AD15" s="2">
        <v>0</v>
      </c>
      <c r="AE15" s="2">
        <v>0</v>
      </c>
      <c r="AF15" s="3">
        <v>0</v>
      </c>
      <c r="AG15" s="2">
        <v>0</v>
      </c>
      <c r="AH15" s="2">
        <v>0</v>
      </c>
      <c r="AI15" s="3">
        <v>0</v>
      </c>
      <c r="AJ15" s="2">
        <v>0</v>
      </c>
      <c r="AK15" s="2">
        <v>0</v>
      </c>
      <c r="AL15" s="3">
        <v>0</v>
      </c>
      <c r="AM15" s="2">
        <v>0</v>
      </c>
      <c r="AN15" s="2">
        <v>0</v>
      </c>
      <c r="AO15" s="3">
        <v>0</v>
      </c>
      <c r="AP15" s="2">
        <v>0</v>
      </c>
      <c r="AQ15" s="2">
        <v>0</v>
      </c>
      <c r="AR15" s="3">
        <v>0</v>
      </c>
      <c r="AS15" s="2">
        <v>0</v>
      </c>
      <c r="AT15" s="2">
        <v>0</v>
      </c>
      <c r="AU15" s="3">
        <v>0</v>
      </c>
      <c r="AV15" s="2">
        <v>0</v>
      </c>
      <c r="AW15" s="2">
        <v>0</v>
      </c>
      <c r="AX15" s="3">
        <v>0</v>
      </c>
      <c r="AY15" s="2">
        <v>0</v>
      </c>
      <c r="AZ15" s="2">
        <v>0</v>
      </c>
      <c r="BA15" s="3">
        <v>0</v>
      </c>
      <c r="BB15" s="2">
        <v>0</v>
      </c>
      <c r="BC15" s="2">
        <v>0</v>
      </c>
      <c r="BD15" s="3">
        <v>0</v>
      </c>
      <c r="BE15" s="2">
        <v>0</v>
      </c>
      <c r="BF15" s="2">
        <v>0</v>
      </c>
      <c r="BG15" s="3">
        <v>0</v>
      </c>
      <c r="BH15" s="2">
        <v>0</v>
      </c>
      <c r="BI15" s="2">
        <v>0</v>
      </c>
      <c r="BJ15" s="3">
        <v>0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0</v>
      </c>
      <c r="E16" s="3">
        <v>0</v>
      </c>
      <c r="F16" s="2">
        <v>0</v>
      </c>
      <c r="G16" s="2">
        <v>0</v>
      </c>
      <c r="H16" s="3">
        <v>0</v>
      </c>
      <c r="I16" s="2">
        <v>0</v>
      </c>
      <c r="J16" s="2">
        <v>0</v>
      </c>
      <c r="K16" s="3">
        <v>0</v>
      </c>
      <c r="L16" s="2">
        <v>0</v>
      </c>
      <c r="M16" s="2">
        <v>0</v>
      </c>
      <c r="N16" s="3">
        <v>0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0</v>
      </c>
      <c r="X16" s="2">
        <v>0</v>
      </c>
      <c r="Y16" s="2">
        <v>0</v>
      </c>
      <c r="Z16" s="3">
        <v>0</v>
      </c>
      <c r="AA16" s="2">
        <v>0</v>
      </c>
      <c r="AB16" s="2">
        <v>0</v>
      </c>
      <c r="AC16" s="3">
        <v>0</v>
      </c>
      <c r="AD16" s="2">
        <v>0</v>
      </c>
      <c r="AE16" s="2">
        <v>0</v>
      </c>
      <c r="AF16" s="3">
        <v>0</v>
      </c>
      <c r="AG16" s="2">
        <v>0</v>
      </c>
      <c r="AH16" s="2">
        <v>0</v>
      </c>
      <c r="AI16" s="3">
        <v>0</v>
      </c>
      <c r="AJ16" s="2">
        <v>0</v>
      </c>
      <c r="AK16" s="2">
        <v>0</v>
      </c>
      <c r="AL16" s="3">
        <v>0</v>
      </c>
      <c r="AM16" s="2">
        <v>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0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0</v>
      </c>
      <c r="BH16" s="2">
        <v>0</v>
      </c>
      <c r="BI16" s="2">
        <v>0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6.6328125" bestFit="1" customWidth="1"/>
    <col min="2" max="4" width="13.36328125" bestFit="1" customWidth="1"/>
    <col min="5" max="5" width="12.453125" bestFit="1" customWidth="1"/>
    <col min="6" max="7" width="13.36328125" bestFit="1" customWidth="1"/>
    <col min="8" max="8" width="12.453125" bestFit="1" customWidth="1"/>
    <col min="9" max="10" width="13.36328125" bestFit="1" customWidth="1"/>
    <col min="11" max="11" width="12.453125" bestFit="1" customWidth="1"/>
    <col min="12" max="13" width="13.36328125" bestFit="1" customWidth="1"/>
    <col min="14" max="14" width="12.453125" bestFit="1" customWidth="1"/>
    <col min="15" max="16" width="13.36328125" bestFit="1" customWidth="1"/>
    <col min="17" max="17" width="12.453125" bestFit="1" customWidth="1"/>
    <col min="18" max="19" width="13.36328125" bestFit="1" customWidth="1"/>
    <col min="20" max="20" width="12.453125" bestFit="1" customWidth="1"/>
    <col min="21" max="22" width="13.36328125" bestFit="1" customWidth="1"/>
    <col min="23" max="23" width="12.453125" bestFit="1" customWidth="1"/>
    <col min="24" max="25" width="13.36328125" bestFit="1" customWidth="1"/>
    <col min="26" max="26" width="12.453125" bestFit="1" customWidth="1"/>
    <col min="27" max="28" width="13.36328125" bestFit="1" customWidth="1"/>
    <col min="29" max="29" width="12.453125" bestFit="1" customWidth="1"/>
    <col min="30" max="31" width="13.36328125" bestFit="1" customWidth="1"/>
    <col min="32" max="32" width="12.453125" bestFit="1" customWidth="1"/>
    <col min="33" max="34" width="13.36328125" bestFit="1" customWidth="1"/>
    <col min="35" max="35" width="12.453125" bestFit="1" customWidth="1"/>
    <col min="36" max="37" width="13.36328125" bestFit="1" customWidth="1"/>
    <col min="38" max="38" width="12.453125" bestFit="1" customWidth="1"/>
    <col min="39" max="40" width="13.36328125" bestFit="1" customWidth="1"/>
    <col min="41" max="41" width="12.453125" bestFit="1" customWidth="1"/>
    <col min="42" max="43" width="13.36328125" bestFit="1" customWidth="1"/>
    <col min="44" max="44" width="12.453125" bestFit="1" customWidth="1"/>
    <col min="45" max="45" width="13.36328125" bestFit="1" customWidth="1"/>
    <col min="46" max="46" width="12.1796875" bestFit="1" customWidth="1"/>
    <col min="47" max="47" width="11.453125" bestFit="1" customWidth="1"/>
    <col min="48" max="48" width="12.1796875" bestFit="1" customWidth="1"/>
    <col min="49" max="64" width="10.4531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156</v>
      </c>
      <c r="C2" s="2">
        <v>135</v>
      </c>
      <c r="D2" s="2">
        <v>134</v>
      </c>
      <c r="E2" s="3">
        <v>133</v>
      </c>
      <c r="F2" s="2">
        <v>130</v>
      </c>
      <c r="G2" s="2">
        <v>121</v>
      </c>
      <c r="H2" s="3">
        <v>120</v>
      </c>
      <c r="I2" s="2">
        <v>107</v>
      </c>
      <c r="J2" s="2">
        <v>104</v>
      </c>
      <c r="K2" s="3">
        <v>103</v>
      </c>
      <c r="L2" s="2">
        <v>68</v>
      </c>
      <c r="M2" s="2">
        <v>67</v>
      </c>
      <c r="N2" s="3">
        <v>67</v>
      </c>
      <c r="O2" s="2">
        <v>67</v>
      </c>
      <c r="P2" s="2">
        <v>67</v>
      </c>
      <c r="Q2" s="3">
        <v>66</v>
      </c>
      <c r="R2" s="2">
        <v>64</v>
      </c>
      <c r="S2" s="2">
        <v>59</v>
      </c>
      <c r="T2" s="3">
        <v>58</v>
      </c>
      <c r="U2" s="2">
        <v>58</v>
      </c>
      <c r="V2" s="2">
        <v>47</v>
      </c>
      <c r="W2" s="3">
        <v>47</v>
      </c>
      <c r="X2" s="2">
        <v>46</v>
      </c>
      <c r="Y2" s="2">
        <v>46</v>
      </c>
      <c r="Z2" s="3">
        <v>46</v>
      </c>
      <c r="AA2" s="2">
        <v>46</v>
      </c>
      <c r="AB2" s="2">
        <v>46</v>
      </c>
      <c r="AC2" s="3">
        <v>44</v>
      </c>
      <c r="AD2" s="2">
        <v>44</v>
      </c>
      <c r="AE2" s="2">
        <v>44</v>
      </c>
      <c r="AF2" s="3">
        <v>44</v>
      </c>
      <c r="AG2" s="2">
        <v>44</v>
      </c>
      <c r="AH2" s="2">
        <v>44</v>
      </c>
      <c r="AI2" s="3">
        <v>43</v>
      </c>
      <c r="AJ2" s="2">
        <v>43</v>
      </c>
      <c r="AK2" s="2">
        <v>42</v>
      </c>
      <c r="AL2" s="3">
        <v>42</v>
      </c>
      <c r="AM2" s="2">
        <v>42</v>
      </c>
      <c r="AN2" s="2">
        <v>42</v>
      </c>
      <c r="AO2" s="3">
        <v>42</v>
      </c>
      <c r="AP2" s="2">
        <v>42</v>
      </c>
      <c r="AQ2" s="2">
        <v>42</v>
      </c>
      <c r="AR2" s="3">
        <v>42</v>
      </c>
      <c r="AS2" s="2">
        <v>41</v>
      </c>
      <c r="AT2" s="2">
        <v>1</v>
      </c>
      <c r="AU2" s="3">
        <v>1</v>
      </c>
      <c r="AV2" s="2">
        <v>1</v>
      </c>
      <c r="AW2" s="2">
        <v>0</v>
      </c>
      <c r="AX2" s="3">
        <v>0</v>
      </c>
      <c r="AY2" s="2">
        <v>0</v>
      </c>
      <c r="AZ2" s="2">
        <v>0</v>
      </c>
      <c r="BA2" s="3">
        <v>0</v>
      </c>
      <c r="BB2" s="2">
        <v>0</v>
      </c>
      <c r="BC2" s="2">
        <v>0</v>
      </c>
      <c r="BD2" s="3">
        <v>0</v>
      </c>
      <c r="BE2" s="2">
        <v>0</v>
      </c>
      <c r="BF2" s="2">
        <v>0</v>
      </c>
      <c r="BG2" s="3">
        <v>0</v>
      </c>
      <c r="BH2" s="2">
        <v>0</v>
      </c>
      <c r="BI2" s="2">
        <v>0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0</v>
      </c>
      <c r="C3" s="2">
        <v>0</v>
      </c>
      <c r="D3" s="2">
        <v>0</v>
      </c>
      <c r="E3" s="3">
        <v>0</v>
      </c>
      <c r="F3" s="2">
        <v>0</v>
      </c>
      <c r="G3" s="2">
        <v>0</v>
      </c>
      <c r="H3" s="3">
        <v>0</v>
      </c>
      <c r="I3" s="2">
        <v>0</v>
      </c>
      <c r="J3" s="2">
        <v>0</v>
      </c>
      <c r="K3" s="3">
        <v>0</v>
      </c>
      <c r="L3" s="2">
        <v>0</v>
      </c>
      <c r="M3" s="2">
        <v>0</v>
      </c>
      <c r="N3" s="3">
        <v>0</v>
      </c>
      <c r="O3" s="2">
        <v>0</v>
      </c>
      <c r="P3" s="2">
        <v>0</v>
      </c>
      <c r="Q3" s="3">
        <v>0</v>
      </c>
      <c r="R3" s="2">
        <v>0</v>
      </c>
      <c r="S3" s="2">
        <v>0</v>
      </c>
      <c r="T3" s="3">
        <v>0</v>
      </c>
      <c r="U3" s="2">
        <v>0</v>
      </c>
      <c r="V3" s="2">
        <v>0</v>
      </c>
      <c r="W3" s="3">
        <v>0</v>
      </c>
      <c r="X3" s="2">
        <v>0</v>
      </c>
      <c r="Y3" s="2">
        <v>0</v>
      </c>
      <c r="Z3" s="3">
        <v>0</v>
      </c>
      <c r="AA3" s="2">
        <v>0</v>
      </c>
      <c r="AB3" s="2">
        <v>0</v>
      </c>
      <c r="AC3" s="3">
        <v>0</v>
      </c>
      <c r="AD3" s="2">
        <v>0</v>
      </c>
      <c r="AE3" s="2">
        <v>0</v>
      </c>
      <c r="AF3" s="3">
        <v>0</v>
      </c>
      <c r="AG3" s="2">
        <v>0</v>
      </c>
      <c r="AH3" s="2">
        <v>0</v>
      </c>
      <c r="AI3" s="3">
        <v>0</v>
      </c>
      <c r="AJ3" s="2">
        <v>0</v>
      </c>
      <c r="AK3" s="2">
        <v>0</v>
      </c>
      <c r="AL3" s="3">
        <v>0</v>
      </c>
      <c r="AM3" s="2">
        <v>0</v>
      </c>
      <c r="AN3" s="2">
        <v>0</v>
      </c>
      <c r="AO3" s="3">
        <v>0</v>
      </c>
      <c r="AP3" s="2">
        <v>0</v>
      </c>
      <c r="AQ3" s="2">
        <v>0</v>
      </c>
      <c r="AR3" s="3">
        <v>0</v>
      </c>
      <c r="AS3" s="2">
        <v>0</v>
      </c>
      <c r="AT3" s="2">
        <v>0</v>
      </c>
      <c r="AU3" s="3">
        <v>0</v>
      </c>
      <c r="AV3" s="2">
        <v>0</v>
      </c>
      <c r="AW3" s="2">
        <v>0</v>
      </c>
      <c r="AX3" s="3">
        <v>0</v>
      </c>
      <c r="AY3" s="2">
        <v>0</v>
      </c>
      <c r="AZ3" s="2">
        <v>0</v>
      </c>
      <c r="BA3" s="3">
        <v>0</v>
      </c>
      <c r="BB3" s="2">
        <v>0</v>
      </c>
      <c r="BC3" s="2">
        <v>0</v>
      </c>
      <c r="BD3" s="3">
        <v>0</v>
      </c>
      <c r="BE3" s="2">
        <v>0</v>
      </c>
      <c r="BF3" s="2">
        <v>0</v>
      </c>
      <c r="BG3" s="3">
        <v>0</v>
      </c>
      <c r="BH3" s="2">
        <v>0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2581623.0100000012</v>
      </c>
      <c r="C5" s="2">
        <v>2438219.6</v>
      </c>
      <c r="D5" s="2">
        <v>2427539.7799999989</v>
      </c>
      <c r="E5" s="3">
        <v>2422632.89</v>
      </c>
      <c r="F5" s="2">
        <v>2396392.3599999989</v>
      </c>
      <c r="G5" s="2">
        <v>2321409.649999999</v>
      </c>
      <c r="H5" s="3">
        <v>2309260.7699999982</v>
      </c>
      <c r="I5" s="2">
        <v>2189055.529999997</v>
      </c>
      <c r="J5" s="2">
        <v>2137962.9999999981</v>
      </c>
      <c r="K5" s="3">
        <v>2129865.0599999982</v>
      </c>
      <c r="L5" s="2">
        <v>1783905.7499999991</v>
      </c>
      <c r="M5" s="2">
        <v>1761137.1199999989</v>
      </c>
      <c r="N5" s="3">
        <v>1761137.1199999989</v>
      </c>
      <c r="O5" s="2">
        <v>1761137.1199999989</v>
      </c>
      <c r="P5" s="2">
        <v>1761137.1199999989</v>
      </c>
      <c r="Q5" s="3">
        <v>1733951.639999999</v>
      </c>
      <c r="R5" s="2">
        <v>1712641.699999999</v>
      </c>
      <c r="S5" s="2">
        <v>1662008.0299999991</v>
      </c>
      <c r="T5" s="3">
        <v>1652026.7399999991</v>
      </c>
      <c r="U5" s="2">
        <v>1652026.7399999991</v>
      </c>
      <c r="V5" s="2">
        <v>1319308.8599999989</v>
      </c>
      <c r="W5" s="3">
        <v>1319308.8599999989</v>
      </c>
      <c r="X5" s="2">
        <v>1307002.389999999</v>
      </c>
      <c r="Y5" s="2">
        <v>1307002.389999999</v>
      </c>
      <c r="Z5" s="3">
        <v>1307002.389999999</v>
      </c>
      <c r="AA5" s="2">
        <v>1307002.389999999</v>
      </c>
      <c r="AB5" s="2">
        <v>1307002.389999999</v>
      </c>
      <c r="AC5" s="3">
        <v>1261301.6099999989</v>
      </c>
      <c r="AD5" s="2">
        <v>1261301.6099999989</v>
      </c>
      <c r="AE5" s="2">
        <v>1261301.6099999989</v>
      </c>
      <c r="AF5" s="3">
        <v>1261301.6099999989</v>
      </c>
      <c r="AG5" s="2">
        <v>1261301.6099999989</v>
      </c>
      <c r="AH5" s="2">
        <v>1261301.6099999989</v>
      </c>
      <c r="AI5" s="3">
        <v>1242826.419999999</v>
      </c>
      <c r="AJ5" s="2">
        <v>1242826.419999999</v>
      </c>
      <c r="AK5" s="2">
        <v>1222232.919999999</v>
      </c>
      <c r="AL5" s="3">
        <v>1222232.919999999</v>
      </c>
      <c r="AM5" s="2">
        <v>1222232.919999999</v>
      </c>
      <c r="AN5" s="2">
        <v>1222232.919999999</v>
      </c>
      <c r="AO5" s="3">
        <v>1222232.919999999</v>
      </c>
      <c r="AP5" s="2">
        <v>1222232.919999999</v>
      </c>
      <c r="AQ5" s="2">
        <v>1222232.919999999</v>
      </c>
      <c r="AR5" s="3">
        <v>1222232.919999999</v>
      </c>
      <c r="AS5" s="2">
        <v>1170874.23</v>
      </c>
      <c r="AT5" s="2">
        <v>53283.12</v>
      </c>
      <c r="AU5" s="3">
        <v>53283.12</v>
      </c>
      <c r="AV5" s="2">
        <v>53283.12</v>
      </c>
      <c r="AW5" s="2">
        <v>0</v>
      </c>
      <c r="AX5" s="3">
        <v>0</v>
      </c>
      <c r="AY5" s="2">
        <v>0</v>
      </c>
      <c r="AZ5" s="2">
        <v>0</v>
      </c>
      <c r="BA5" s="3">
        <v>0</v>
      </c>
      <c r="BB5" s="2">
        <v>0</v>
      </c>
      <c r="BC5" s="2">
        <v>0</v>
      </c>
      <c r="BD5" s="3">
        <v>0</v>
      </c>
      <c r="BE5" s="2">
        <v>0</v>
      </c>
      <c r="BF5" s="2">
        <v>0</v>
      </c>
      <c r="BG5" s="3">
        <v>0</v>
      </c>
      <c r="BH5" s="2">
        <v>0</v>
      </c>
      <c r="BI5" s="2">
        <v>0</v>
      </c>
      <c r="BJ5" s="3">
        <v>0</v>
      </c>
      <c r="BK5" s="2">
        <v>0</v>
      </c>
      <c r="BL5">
        <v>0</v>
      </c>
    </row>
    <row r="6" spans="1:64" ht="15.5" x14ac:dyDescent="0.35">
      <c r="A6" t="s">
        <v>68</v>
      </c>
      <c r="B6" s="2">
        <v>681549.87000000023</v>
      </c>
      <c r="C6" s="2">
        <v>650889.88000000024</v>
      </c>
      <c r="D6" s="2">
        <v>649903.75000000023</v>
      </c>
      <c r="E6" s="3">
        <v>649326.31000000017</v>
      </c>
      <c r="F6" s="2">
        <v>646950.81000000017</v>
      </c>
      <c r="G6" s="2">
        <v>635463.51000000024</v>
      </c>
      <c r="H6" s="3">
        <v>633257.70000000019</v>
      </c>
      <c r="I6" s="2">
        <v>598011.2000000003</v>
      </c>
      <c r="J6" s="2">
        <v>584597.88000000024</v>
      </c>
      <c r="K6" s="3">
        <v>582703.14000000025</v>
      </c>
      <c r="L6" s="2">
        <v>525935.64000000013</v>
      </c>
      <c r="M6" s="2">
        <v>518846.57000000018</v>
      </c>
      <c r="N6" s="3">
        <v>518846.57000000018</v>
      </c>
      <c r="O6" s="2">
        <v>518846.57000000018</v>
      </c>
      <c r="P6" s="2">
        <v>518846.57000000018</v>
      </c>
      <c r="Q6" s="3">
        <v>512065.39000000019</v>
      </c>
      <c r="R6" s="2">
        <v>509604.2200000002</v>
      </c>
      <c r="S6" s="2">
        <v>496075.42000000022</v>
      </c>
      <c r="T6" s="3">
        <v>493072.1500000002</v>
      </c>
      <c r="U6" s="2">
        <v>493072.1500000002</v>
      </c>
      <c r="V6" s="2">
        <v>371382.61000000028</v>
      </c>
      <c r="W6" s="3">
        <v>371382.61000000028</v>
      </c>
      <c r="X6" s="2">
        <v>369912.03000000032</v>
      </c>
      <c r="Y6" s="2">
        <v>369912.03000000032</v>
      </c>
      <c r="Z6" s="3">
        <v>369912.03000000032</v>
      </c>
      <c r="AA6" s="2">
        <v>369912.03000000032</v>
      </c>
      <c r="AB6" s="2">
        <v>369912.03000000032</v>
      </c>
      <c r="AC6" s="3">
        <v>357769.37000000023</v>
      </c>
      <c r="AD6" s="2">
        <v>357769.37000000023</v>
      </c>
      <c r="AE6" s="2">
        <v>357769.37000000023</v>
      </c>
      <c r="AF6" s="3">
        <v>357769.37000000023</v>
      </c>
      <c r="AG6" s="2">
        <v>357769.37000000023</v>
      </c>
      <c r="AH6" s="2">
        <v>357769.37000000023</v>
      </c>
      <c r="AI6" s="3">
        <v>352515.79000000021</v>
      </c>
      <c r="AJ6" s="2">
        <v>352515.79000000021</v>
      </c>
      <c r="AK6" s="2">
        <v>347492.57000000018</v>
      </c>
      <c r="AL6" s="3">
        <v>347492.57000000018</v>
      </c>
      <c r="AM6" s="2">
        <v>347492.57000000018</v>
      </c>
      <c r="AN6" s="2">
        <v>347492.57000000018</v>
      </c>
      <c r="AO6" s="3">
        <v>347492.57000000018</v>
      </c>
      <c r="AP6" s="2">
        <v>347492.57000000018</v>
      </c>
      <c r="AQ6" s="2">
        <v>347492.57000000018</v>
      </c>
      <c r="AR6" s="3">
        <v>347492.57000000018</v>
      </c>
      <c r="AS6" s="2">
        <v>332726.37000000023</v>
      </c>
      <c r="AT6" s="2">
        <v>17606.189999999999</v>
      </c>
      <c r="AU6" s="3">
        <v>17606.189999999999</v>
      </c>
      <c r="AV6" s="2">
        <v>17606.189999999999</v>
      </c>
      <c r="AW6" s="2">
        <v>0</v>
      </c>
      <c r="AX6" s="3">
        <v>0</v>
      </c>
      <c r="AY6" s="2">
        <v>0</v>
      </c>
      <c r="AZ6" s="2">
        <v>0</v>
      </c>
      <c r="BA6" s="3">
        <v>0</v>
      </c>
      <c r="BB6" s="2">
        <v>0</v>
      </c>
      <c r="BC6" s="2">
        <v>0</v>
      </c>
      <c r="BD6" s="3">
        <v>0</v>
      </c>
      <c r="BE6" s="2">
        <v>0</v>
      </c>
      <c r="BF6" s="2">
        <v>0</v>
      </c>
      <c r="BG6" s="3">
        <v>0</v>
      </c>
      <c r="BH6" s="2">
        <v>0</v>
      </c>
      <c r="BI6" s="2">
        <v>0</v>
      </c>
      <c r="BJ6" s="3">
        <v>0</v>
      </c>
      <c r="BK6" s="2">
        <v>0</v>
      </c>
      <c r="BL6">
        <v>0</v>
      </c>
    </row>
    <row r="7" spans="1:64" ht="15.5" x14ac:dyDescent="0.35">
      <c r="A7" t="s">
        <v>69</v>
      </c>
      <c r="B7" s="2">
        <v>788844.32999999891</v>
      </c>
      <c r="C7" s="2">
        <v>785491.07999999903</v>
      </c>
      <c r="D7" s="2">
        <v>784216.76999999897</v>
      </c>
      <c r="E7" s="3">
        <v>783015.14999999898</v>
      </c>
      <c r="F7" s="2">
        <v>779507.70999999903</v>
      </c>
      <c r="G7" s="2">
        <v>759252.3399999988</v>
      </c>
      <c r="H7" s="3">
        <v>756371.46999999881</v>
      </c>
      <c r="I7" s="2">
        <v>726189.67999999959</v>
      </c>
      <c r="J7" s="2">
        <v>705810.56000000017</v>
      </c>
      <c r="K7" s="3">
        <v>702820.23000000021</v>
      </c>
      <c r="L7" s="2">
        <v>614085.27</v>
      </c>
      <c r="M7" s="2">
        <v>605513.64</v>
      </c>
      <c r="N7" s="3">
        <v>605513.64</v>
      </c>
      <c r="O7" s="2">
        <v>605513.64</v>
      </c>
      <c r="P7" s="2">
        <v>605513.64</v>
      </c>
      <c r="Q7" s="3">
        <v>593741.66</v>
      </c>
      <c r="R7" s="2">
        <v>588957.91</v>
      </c>
      <c r="S7" s="2">
        <v>575913.94999999995</v>
      </c>
      <c r="T7" s="3">
        <v>573236.2699999999</v>
      </c>
      <c r="U7" s="2">
        <v>573236.2699999999</v>
      </c>
      <c r="V7" s="2">
        <v>466201.60000000021</v>
      </c>
      <c r="W7" s="3">
        <v>466201.60000000021</v>
      </c>
      <c r="X7" s="2">
        <v>463247.82000000018</v>
      </c>
      <c r="Y7" s="2">
        <v>463247.82000000018</v>
      </c>
      <c r="Z7" s="3">
        <v>463247.82000000018</v>
      </c>
      <c r="AA7" s="2">
        <v>463247.82000000018</v>
      </c>
      <c r="AB7" s="2">
        <v>463247.82000000018</v>
      </c>
      <c r="AC7" s="3">
        <v>448109.06000000017</v>
      </c>
      <c r="AD7" s="2">
        <v>448109.06000000017</v>
      </c>
      <c r="AE7" s="2">
        <v>448109.06000000017</v>
      </c>
      <c r="AF7" s="3">
        <v>448109.06000000017</v>
      </c>
      <c r="AG7" s="2">
        <v>448109.06000000017</v>
      </c>
      <c r="AH7" s="2">
        <v>448109.06000000017</v>
      </c>
      <c r="AI7" s="3">
        <v>441649.64000000019</v>
      </c>
      <c r="AJ7" s="2">
        <v>441649.64000000019</v>
      </c>
      <c r="AK7" s="2">
        <v>435084.11000000022</v>
      </c>
      <c r="AL7" s="3">
        <v>435084.11000000022</v>
      </c>
      <c r="AM7" s="2">
        <v>435084.11000000022</v>
      </c>
      <c r="AN7" s="2">
        <v>435084.11000000022</v>
      </c>
      <c r="AO7" s="3">
        <v>435084.11000000022</v>
      </c>
      <c r="AP7" s="2">
        <v>435084.11000000022</v>
      </c>
      <c r="AQ7" s="2">
        <v>435084.11000000022</v>
      </c>
      <c r="AR7" s="3">
        <v>435084.11000000022</v>
      </c>
      <c r="AS7" s="2">
        <v>412867.42000000022</v>
      </c>
      <c r="AT7" s="2">
        <v>23615.34</v>
      </c>
      <c r="AU7" s="3">
        <v>23615.34</v>
      </c>
      <c r="AV7" s="2">
        <v>23615.34</v>
      </c>
      <c r="AW7" s="2">
        <v>0</v>
      </c>
      <c r="AX7" s="3">
        <v>0</v>
      </c>
      <c r="AY7" s="2">
        <v>0</v>
      </c>
      <c r="AZ7" s="2">
        <v>0</v>
      </c>
      <c r="BA7" s="3">
        <v>0</v>
      </c>
      <c r="BB7" s="2">
        <v>0</v>
      </c>
      <c r="BC7" s="2">
        <v>0</v>
      </c>
      <c r="BD7" s="3">
        <v>0</v>
      </c>
      <c r="BE7" s="2">
        <v>0</v>
      </c>
      <c r="BF7" s="2">
        <v>0</v>
      </c>
      <c r="BG7" s="3">
        <v>0</v>
      </c>
      <c r="BH7" s="2">
        <v>0</v>
      </c>
      <c r="BI7" s="2">
        <v>0</v>
      </c>
      <c r="BJ7" s="3">
        <v>0</v>
      </c>
      <c r="BK7" s="2">
        <v>0</v>
      </c>
      <c r="BL7">
        <v>0</v>
      </c>
    </row>
    <row r="8" spans="1:64" ht="15.5" x14ac:dyDescent="0.35">
      <c r="A8" t="s">
        <v>70</v>
      </c>
      <c r="B8" s="2">
        <v>207094.79999999981</v>
      </c>
      <c r="C8" s="2">
        <v>181269.10999999981</v>
      </c>
      <c r="D8" s="2">
        <v>179301.91999999981</v>
      </c>
      <c r="E8" s="3">
        <v>178052.08999999979</v>
      </c>
      <c r="F8" s="2">
        <v>175087.51999999979</v>
      </c>
      <c r="G8" s="2">
        <v>165850.8199999998</v>
      </c>
      <c r="H8" s="3">
        <v>164397.7499999998</v>
      </c>
      <c r="I8" s="2">
        <v>155147.60999999981</v>
      </c>
      <c r="J8" s="2">
        <v>151763.04999999981</v>
      </c>
      <c r="K8" s="3">
        <v>150661.84999999969</v>
      </c>
      <c r="L8" s="2">
        <v>109922.3899999999</v>
      </c>
      <c r="M8" s="2">
        <v>107304.7399999999</v>
      </c>
      <c r="N8" s="3">
        <v>107304.7399999999</v>
      </c>
      <c r="O8" s="2">
        <v>107304.7399999999</v>
      </c>
      <c r="P8" s="2">
        <v>107304.7399999999</v>
      </c>
      <c r="Q8" s="3">
        <v>105071.3599999999</v>
      </c>
      <c r="R8" s="2">
        <v>103158.6299999999</v>
      </c>
      <c r="S8" s="2">
        <v>98377.03999999995</v>
      </c>
      <c r="T8" s="3">
        <v>97057.469999999958</v>
      </c>
      <c r="U8" s="2">
        <v>97057.469999999958</v>
      </c>
      <c r="V8" s="2">
        <v>69870.409999999989</v>
      </c>
      <c r="W8" s="3">
        <v>69870.409999999989</v>
      </c>
      <c r="X8" s="2">
        <v>68554.50999999998</v>
      </c>
      <c r="Y8" s="2">
        <v>68554.50999999998</v>
      </c>
      <c r="Z8" s="3">
        <v>68554.50999999998</v>
      </c>
      <c r="AA8" s="2">
        <v>68554.50999999998</v>
      </c>
      <c r="AB8" s="2">
        <v>68554.50999999998</v>
      </c>
      <c r="AC8" s="3">
        <v>65045.609999999993</v>
      </c>
      <c r="AD8" s="2">
        <v>65045.609999999993</v>
      </c>
      <c r="AE8" s="2">
        <v>65045.609999999993</v>
      </c>
      <c r="AF8" s="3">
        <v>65045.609999999993</v>
      </c>
      <c r="AG8" s="2">
        <v>65045.609999999993</v>
      </c>
      <c r="AH8" s="2">
        <v>65045.609999999993</v>
      </c>
      <c r="AI8" s="3">
        <v>63644.849999999977</v>
      </c>
      <c r="AJ8" s="2">
        <v>63644.849999999977</v>
      </c>
      <c r="AK8" s="2">
        <v>62533.849999999977</v>
      </c>
      <c r="AL8" s="3">
        <v>62533.849999999977</v>
      </c>
      <c r="AM8" s="2">
        <v>62533.849999999977</v>
      </c>
      <c r="AN8" s="2">
        <v>62533.849999999977</v>
      </c>
      <c r="AO8" s="3">
        <v>62533.849999999977</v>
      </c>
      <c r="AP8" s="2">
        <v>62533.849999999977</v>
      </c>
      <c r="AQ8" s="2">
        <v>62533.849999999977</v>
      </c>
      <c r="AR8" s="3">
        <v>62533.849999999977</v>
      </c>
      <c r="AS8" s="2">
        <v>58842.299999999981</v>
      </c>
      <c r="AT8" s="2">
        <v>3619.07</v>
      </c>
      <c r="AU8" s="3">
        <v>3619.07</v>
      </c>
      <c r="AV8" s="2">
        <v>3619.07</v>
      </c>
      <c r="AW8" s="2">
        <v>0</v>
      </c>
      <c r="AX8" s="3">
        <v>0</v>
      </c>
      <c r="AY8" s="2">
        <v>0</v>
      </c>
      <c r="AZ8" s="2">
        <v>0</v>
      </c>
      <c r="BA8" s="3">
        <v>0</v>
      </c>
      <c r="BB8" s="2">
        <v>0</v>
      </c>
      <c r="BC8" s="2">
        <v>0</v>
      </c>
      <c r="BD8" s="3">
        <v>0</v>
      </c>
      <c r="BE8" s="2">
        <v>0</v>
      </c>
      <c r="BF8" s="2">
        <v>0</v>
      </c>
      <c r="BG8" s="3">
        <v>0</v>
      </c>
      <c r="BH8" s="2">
        <v>0</v>
      </c>
      <c r="BI8" s="2">
        <v>0</v>
      </c>
      <c r="BJ8" s="3">
        <v>0</v>
      </c>
      <c r="BK8" s="2">
        <v>0</v>
      </c>
      <c r="BL8">
        <v>0</v>
      </c>
    </row>
    <row r="9" spans="1:64" ht="15.5" x14ac:dyDescent="0.35">
      <c r="A9" t="s">
        <v>71</v>
      </c>
      <c r="B9" s="2">
        <v>11506882.62000001</v>
      </c>
      <c r="C9" s="2">
        <v>9036976.5799999926</v>
      </c>
      <c r="D9" s="2">
        <v>8958349.3799999934</v>
      </c>
      <c r="E9" s="3">
        <v>8851066.2299999949</v>
      </c>
      <c r="F9" s="2">
        <v>8382776.2999999961</v>
      </c>
      <c r="G9" s="2">
        <v>7439986.8699999973</v>
      </c>
      <c r="H9" s="3">
        <v>7346267.589999998</v>
      </c>
      <c r="I9" s="2">
        <v>6553890.450000002</v>
      </c>
      <c r="J9" s="2">
        <v>6391642.490000003</v>
      </c>
      <c r="K9" s="3">
        <v>6372081.4700000035</v>
      </c>
      <c r="L9" s="2">
        <v>3573444.689999999</v>
      </c>
      <c r="M9" s="2">
        <v>3530029.0099999988</v>
      </c>
      <c r="N9" s="3">
        <v>3530029.0099999988</v>
      </c>
      <c r="O9" s="2">
        <v>3530029.0099999988</v>
      </c>
      <c r="P9" s="2">
        <v>3530029.0099999988</v>
      </c>
      <c r="Q9" s="3">
        <v>3476659.2899999991</v>
      </c>
      <c r="R9" s="2">
        <v>3316247.5799999991</v>
      </c>
      <c r="S9" s="2">
        <v>2978051.319999998</v>
      </c>
      <c r="T9" s="3">
        <v>2939359.419999999</v>
      </c>
      <c r="U9" s="2">
        <v>2939359.419999999</v>
      </c>
      <c r="V9" s="2">
        <v>2538745.6999999988</v>
      </c>
      <c r="W9" s="3">
        <v>2538745.6999999988</v>
      </c>
      <c r="X9" s="2">
        <v>2471593.2499999991</v>
      </c>
      <c r="Y9" s="2">
        <v>2471593.2499999991</v>
      </c>
      <c r="Z9" s="3">
        <v>2471593.2499999991</v>
      </c>
      <c r="AA9" s="2">
        <v>2471593.2499999991</v>
      </c>
      <c r="AB9" s="2">
        <v>2471593.2499999991</v>
      </c>
      <c r="AC9" s="3">
        <v>2270193.2499999991</v>
      </c>
      <c r="AD9" s="2">
        <v>2270193.2499999991</v>
      </c>
      <c r="AE9" s="2">
        <v>2270193.2499999991</v>
      </c>
      <c r="AF9" s="3">
        <v>2270193.2499999991</v>
      </c>
      <c r="AG9" s="2">
        <v>2270193.2499999991</v>
      </c>
      <c r="AH9" s="2">
        <v>2270193.2499999991</v>
      </c>
      <c r="AI9" s="3">
        <v>2211484.7799999989</v>
      </c>
      <c r="AJ9" s="2">
        <v>2211484.7799999989</v>
      </c>
      <c r="AK9" s="2">
        <v>2166284.7599999988</v>
      </c>
      <c r="AL9" s="3">
        <v>2166284.7599999988</v>
      </c>
      <c r="AM9" s="2">
        <v>2166284.7599999988</v>
      </c>
      <c r="AN9" s="2">
        <v>2166284.7599999988</v>
      </c>
      <c r="AO9" s="3">
        <v>2166284.7599999988</v>
      </c>
      <c r="AP9" s="2">
        <v>2166284.7599999988</v>
      </c>
      <c r="AQ9" s="2">
        <v>2166284.7599999988</v>
      </c>
      <c r="AR9" s="3">
        <v>2166284.7599999988</v>
      </c>
      <c r="AS9" s="2">
        <v>2149148.7599999988</v>
      </c>
      <c r="AT9" s="2">
        <v>109980.78</v>
      </c>
      <c r="AU9" s="3">
        <v>109980.78</v>
      </c>
      <c r="AV9" s="2">
        <v>109980.78</v>
      </c>
      <c r="AW9" s="2">
        <v>0</v>
      </c>
      <c r="AX9" s="3">
        <v>0</v>
      </c>
      <c r="AY9" s="2">
        <v>0</v>
      </c>
      <c r="AZ9" s="2">
        <v>0</v>
      </c>
      <c r="BA9" s="3">
        <v>0</v>
      </c>
      <c r="BB9" s="2">
        <v>0</v>
      </c>
      <c r="BC9" s="2">
        <v>0</v>
      </c>
      <c r="BD9" s="3">
        <v>0</v>
      </c>
      <c r="BE9" s="2">
        <v>0</v>
      </c>
      <c r="BF9" s="2">
        <v>0</v>
      </c>
      <c r="BG9" s="3">
        <v>0</v>
      </c>
      <c r="BH9" s="2">
        <v>0</v>
      </c>
      <c r="BI9" s="2">
        <v>0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5588732.6300000018</v>
      </c>
      <c r="C10" s="2">
        <v>4182501.4100000011</v>
      </c>
      <c r="D10" s="2">
        <v>4181438.6100000008</v>
      </c>
      <c r="E10" s="3">
        <v>4122455.7200000011</v>
      </c>
      <c r="F10" s="2">
        <v>3971393.15</v>
      </c>
      <c r="G10" s="2">
        <v>3606197.42</v>
      </c>
      <c r="H10" s="3">
        <v>3540489.88</v>
      </c>
      <c r="I10" s="2">
        <v>3287022.7000000011</v>
      </c>
      <c r="J10" s="2">
        <v>3222842.5200000009</v>
      </c>
      <c r="K10" s="3">
        <v>3217284.9400000009</v>
      </c>
      <c r="L10" s="2">
        <v>2306356.37</v>
      </c>
      <c r="M10" s="2">
        <v>2291480.5299999998</v>
      </c>
      <c r="N10" s="3">
        <v>2291480.5299999998</v>
      </c>
      <c r="O10" s="2">
        <v>2291480.5299999998</v>
      </c>
      <c r="P10" s="2">
        <v>2291480.5299999998</v>
      </c>
      <c r="Q10" s="3">
        <v>2260283.7400000002</v>
      </c>
      <c r="R10" s="2">
        <v>2256794.5299999998</v>
      </c>
      <c r="S10" s="2">
        <v>2202955.33</v>
      </c>
      <c r="T10" s="3">
        <v>2194966.52</v>
      </c>
      <c r="U10" s="2">
        <v>2194966.52</v>
      </c>
      <c r="V10" s="2">
        <v>2011477.49</v>
      </c>
      <c r="W10" s="3">
        <v>2011477.49</v>
      </c>
      <c r="X10" s="2">
        <v>2033942.43</v>
      </c>
      <c r="Y10" s="2">
        <v>2033942.43</v>
      </c>
      <c r="Z10" s="3">
        <v>2033942.43</v>
      </c>
      <c r="AA10" s="2">
        <v>2033942.43</v>
      </c>
      <c r="AB10" s="2">
        <v>2033942.43</v>
      </c>
      <c r="AC10" s="3">
        <v>1907933.29</v>
      </c>
      <c r="AD10" s="2">
        <v>1907933.29</v>
      </c>
      <c r="AE10" s="2">
        <v>1907933.29</v>
      </c>
      <c r="AF10" s="3">
        <v>1907933.29</v>
      </c>
      <c r="AG10" s="2">
        <v>1907933.29</v>
      </c>
      <c r="AH10" s="2">
        <v>1907933.29</v>
      </c>
      <c r="AI10" s="3">
        <v>1886439.52</v>
      </c>
      <c r="AJ10" s="2">
        <v>1886439.52</v>
      </c>
      <c r="AK10" s="2">
        <v>1895181.88</v>
      </c>
      <c r="AL10" s="3">
        <v>1895181.88</v>
      </c>
      <c r="AM10" s="2">
        <v>1895181.88</v>
      </c>
      <c r="AN10" s="2">
        <v>1895181.88</v>
      </c>
      <c r="AO10" s="3">
        <v>1895181.88</v>
      </c>
      <c r="AP10" s="2">
        <v>1895181.88</v>
      </c>
      <c r="AQ10" s="2">
        <v>1895181.88</v>
      </c>
      <c r="AR10" s="3">
        <v>1895181.88</v>
      </c>
      <c r="AS10" s="2">
        <v>1878045.88</v>
      </c>
      <c r="AT10" s="2">
        <v>105871.77</v>
      </c>
      <c r="AU10" s="3">
        <v>105871.77</v>
      </c>
      <c r="AV10" s="2">
        <v>105871.77</v>
      </c>
      <c r="AW10" s="2">
        <v>0</v>
      </c>
      <c r="AX10" s="3">
        <v>0</v>
      </c>
      <c r="AY10" s="2">
        <v>0</v>
      </c>
      <c r="AZ10" s="2">
        <v>0</v>
      </c>
      <c r="BA10" s="3">
        <v>0</v>
      </c>
      <c r="BB10" s="2">
        <v>0</v>
      </c>
      <c r="BC10" s="2">
        <v>0</v>
      </c>
      <c r="BD10" s="3">
        <v>0</v>
      </c>
      <c r="BE10" s="2">
        <v>0</v>
      </c>
      <c r="BF10" s="2">
        <v>0</v>
      </c>
      <c r="BG10" s="3">
        <v>0</v>
      </c>
      <c r="BH10" s="2">
        <v>0</v>
      </c>
      <c r="BI10" s="2">
        <v>0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479464.29999999952</v>
      </c>
      <c r="C11" s="2">
        <v>460098.7099999995</v>
      </c>
      <c r="D11" s="2">
        <v>458146.51999999949</v>
      </c>
      <c r="E11" s="3">
        <v>458018.51999999949</v>
      </c>
      <c r="F11" s="2">
        <v>455394.15999999951</v>
      </c>
      <c r="G11" s="2">
        <v>448917.81999999948</v>
      </c>
      <c r="H11" s="3">
        <v>446308.68999999948</v>
      </c>
      <c r="I11" s="2">
        <v>425516.77999999962</v>
      </c>
      <c r="J11" s="2">
        <v>416457.14999999962</v>
      </c>
      <c r="K11" s="3">
        <v>414567.68999999948</v>
      </c>
      <c r="L11" s="2">
        <v>354776.36999999982</v>
      </c>
      <c r="M11" s="2">
        <v>351236.80999999982</v>
      </c>
      <c r="N11" s="3">
        <v>351236.80999999982</v>
      </c>
      <c r="O11" s="2">
        <v>351236.80999999982</v>
      </c>
      <c r="P11" s="2">
        <v>351236.80999999982</v>
      </c>
      <c r="Q11" s="3">
        <v>346298.44999999978</v>
      </c>
      <c r="R11" s="2">
        <v>343168.56999999977</v>
      </c>
      <c r="S11" s="2">
        <v>335570.33999999991</v>
      </c>
      <c r="T11" s="3">
        <v>333542.33999999991</v>
      </c>
      <c r="U11" s="2">
        <v>333542.33999999991</v>
      </c>
      <c r="V11" s="2">
        <v>269326.31000000011</v>
      </c>
      <c r="W11" s="3">
        <v>269326.31000000011</v>
      </c>
      <c r="X11" s="2">
        <v>267287.94000000012</v>
      </c>
      <c r="Y11" s="2">
        <v>267287.94000000012</v>
      </c>
      <c r="Z11" s="3">
        <v>267287.94000000012</v>
      </c>
      <c r="AA11" s="2">
        <v>267287.94000000012</v>
      </c>
      <c r="AB11" s="2">
        <v>267287.94000000012</v>
      </c>
      <c r="AC11" s="3">
        <v>260433.48</v>
      </c>
      <c r="AD11" s="2">
        <v>260433.48</v>
      </c>
      <c r="AE11" s="2">
        <v>260433.48</v>
      </c>
      <c r="AF11" s="3">
        <v>260433.48</v>
      </c>
      <c r="AG11" s="2">
        <v>260433.48</v>
      </c>
      <c r="AH11" s="2">
        <v>260433.48</v>
      </c>
      <c r="AI11" s="3">
        <v>257096.48</v>
      </c>
      <c r="AJ11" s="2">
        <v>257096.48</v>
      </c>
      <c r="AK11" s="2">
        <v>253531.51</v>
      </c>
      <c r="AL11" s="3">
        <v>253531.51</v>
      </c>
      <c r="AM11" s="2">
        <v>253531.51</v>
      </c>
      <c r="AN11" s="2">
        <v>253531.51</v>
      </c>
      <c r="AO11" s="3">
        <v>253531.51</v>
      </c>
      <c r="AP11" s="2">
        <v>253531.51</v>
      </c>
      <c r="AQ11" s="2">
        <v>253531.51</v>
      </c>
      <c r="AR11" s="3">
        <v>253531.51</v>
      </c>
      <c r="AS11" s="2">
        <v>245295.26</v>
      </c>
      <c r="AT11" s="2">
        <v>586.75</v>
      </c>
      <c r="AU11" s="3">
        <v>586.75</v>
      </c>
      <c r="AV11" s="2">
        <v>586.75</v>
      </c>
      <c r="AW11" s="2">
        <v>0</v>
      </c>
      <c r="AX11" s="3">
        <v>0</v>
      </c>
      <c r="AY11" s="2">
        <v>0</v>
      </c>
      <c r="AZ11" s="2">
        <v>0</v>
      </c>
      <c r="BA11" s="3">
        <v>0</v>
      </c>
      <c r="BB11" s="2">
        <v>0</v>
      </c>
      <c r="BC11" s="2">
        <v>0</v>
      </c>
      <c r="BD11" s="3">
        <v>0</v>
      </c>
      <c r="BE11" s="2">
        <v>0</v>
      </c>
      <c r="BF11" s="2">
        <v>0</v>
      </c>
      <c r="BG11" s="3">
        <v>0</v>
      </c>
      <c r="BH11" s="2">
        <v>0</v>
      </c>
      <c r="BI11" s="2">
        <v>0</v>
      </c>
      <c r="BJ11" s="3">
        <v>0</v>
      </c>
      <c r="BK11" s="2">
        <v>0</v>
      </c>
      <c r="BL11">
        <v>0</v>
      </c>
    </row>
    <row r="12" spans="1:64" ht="15.5" x14ac:dyDescent="0.35">
      <c r="A12" t="s">
        <v>74</v>
      </c>
      <c r="B12" s="2">
        <v>58351200.590000123</v>
      </c>
      <c r="C12" s="2">
        <v>54424637.810000122</v>
      </c>
      <c r="D12" s="2">
        <v>54118568.580000117</v>
      </c>
      <c r="E12" s="3">
        <v>53925074.440000117</v>
      </c>
      <c r="F12" s="2">
        <v>53405219.07000012</v>
      </c>
      <c r="G12" s="2">
        <v>51535047.370000102</v>
      </c>
      <c r="H12" s="3">
        <v>51210309.560000099</v>
      </c>
      <c r="I12" s="2">
        <v>48182020.410000041</v>
      </c>
      <c r="J12" s="2">
        <v>46878007.980000019</v>
      </c>
      <c r="K12" s="3">
        <v>46591950.290000007</v>
      </c>
      <c r="L12" s="2">
        <v>37818280.489999987</v>
      </c>
      <c r="M12" s="2">
        <v>37304750.089999989</v>
      </c>
      <c r="N12" s="3">
        <v>37304750.089999989</v>
      </c>
      <c r="O12" s="2">
        <v>37304750.089999989</v>
      </c>
      <c r="P12" s="2">
        <v>37304750.089999989</v>
      </c>
      <c r="Q12" s="3">
        <v>36649733.839999989</v>
      </c>
      <c r="R12" s="2">
        <v>36135650.589999989</v>
      </c>
      <c r="S12" s="2">
        <v>35012061.93999999</v>
      </c>
      <c r="T12" s="3">
        <v>34758146.939999998</v>
      </c>
      <c r="U12" s="2">
        <v>34758146.939999998</v>
      </c>
      <c r="V12" s="2">
        <v>25493859.48</v>
      </c>
      <c r="W12" s="3">
        <v>25493859.48</v>
      </c>
      <c r="X12" s="2">
        <v>25214041.48</v>
      </c>
      <c r="Y12" s="2">
        <v>25214041.48</v>
      </c>
      <c r="Z12" s="3">
        <v>25214041.48</v>
      </c>
      <c r="AA12" s="2">
        <v>25214041.48</v>
      </c>
      <c r="AB12" s="2">
        <v>25214041.48</v>
      </c>
      <c r="AC12" s="3">
        <v>24371905.32</v>
      </c>
      <c r="AD12" s="2">
        <v>24371905.32</v>
      </c>
      <c r="AE12" s="2">
        <v>24371905.32</v>
      </c>
      <c r="AF12" s="3">
        <v>24371905.32</v>
      </c>
      <c r="AG12" s="2">
        <v>24371905.32</v>
      </c>
      <c r="AH12" s="2">
        <v>24371905.32</v>
      </c>
      <c r="AI12" s="3">
        <v>23951674.800000001</v>
      </c>
      <c r="AJ12" s="2">
        <v>23951674.800000001</v>
      </c>
      <c r="AK12" s="2">
        <v>23547274.800000001</v>
      </c>
      <c r="AL12" s="3">
        <v>23547274.800000001</v>
      </c>
      <c r="AM12" s="2">
        <v>23547274.800000001</v>
      </c>
      <c r="AN12" s="2">
        <v>23547274.800000001</v>
      </c>
      <c r="AO12" s="3">
        <v>23547274.800000001</v>
      </c>
      <c r="AP12" s="2">
        <v>23547274.800000001</v>
      </c>
      <c r="AQ12" s="2">
        <v>23547274.800000001</v>
      </c>
      <c r="AR12" s="3">
        <v>23547274.800000001</v>
      </c>
      <c r="AS12" s="2">
        <v>22439809.66</v>
      </c>
      <c r="AT12" s="2">
        <v>1240825</v>
      </c>
      <c r="AU12" s="3">
        <v>1240825</v>
      </c>
      <c r="AV12" s="2">
        <v>1240825</v>
      </c>
      <c r="AW12" s="2">
        <v>0</v>
      </c>
      <c r="AX12" s="3">
        <v>0</v>
      </c>
      <c r="AY12" s="2">
        <v>0</v>
      </c>
      <c r="AZ12" s="2">
        <v>0</v>
      </c>
      <c r="BA12" s="3">
        <v>0</v>
      </c>
      <c r="BB12" s="2">
        <v>0</v>
      </c>
      <c r="BC12" s="2">
        <v>0</v>
      </c>
      <c r="BD12" s="3">
        <v>0</v>
      </c>
      <c r="BE12" s="2">
        <v>0</v>
      </c>
      <c r="BF12" s="2">
        <v>0</v>
      </c>
      <c r="BG12" s="3">
        <v>0</v>
      </c>
      <c r="BH12" s="2">
        <v>0</v>
      </c>
      <c r="BI12" s="2">
        <v>0</v>
      </c>
      <c r="BJ12" s="3">
        <v>0</v>
      </c>
      <c r="BK12" s="2">
        <v>0</v>
      </c>
      <c r="BL12">
        <v>0</v>
      </c>
    </row>
    <row r="13" spans="1:64" ht="15.5" x14ac:dyDescent="0.35">
      <c r="A13" t="s">
        <v>75</v>
      </c>
      <c r="B13" s="2">
        <v>32316760.700000022</v>
      </c>
      <c r="C13" s="2">
        <v>31704628.26000002</v>
      </c>
      <c r="D13" s="2">
        <v>30976234.070000019</v>
      </c>
      <c r="E13" s="3">
        <v>30281419.12000002</v>
      </c>
      <c r="F13" s="2">
        <v>29515549.800000019</v>
      </c>
      <c r="G13" s="2">
        <v>28298599.320000019</v>
      </c>
      <c r="H13" s="3">
        <v>27570580.770000029</v>
      </c>
      <c r="I13" s="2">
        <v>26075068.640000019</v>
      </c>
      <c r="J13" s="2">
        <v>24982427.23000003</v>
      </c>
      <c r="K13" s="3">
        <v>24290271.440000031</v>
      </c>
      <c r="L13" s="2">
        <v>21416981.59999999</v>
      </c>
      <c r="M13" s="2">
        <v>20744360.169999991</v>
      </c>
      <c r="N13" s="3">
        <v>20225513.59999999</v>
      </c>
      <c r="O13" s="2">
        <v>19706667.02999999</v>
      </c>
      <c r="P13" s="2">
        <v>19187820.45999999</v>
      </c>
      <c r="Q13" s="3">
        <v>18399773.09999999</v>
      </c>
      <c r="R13" s="2">
        <v>17734798.249999989</v>
      </c>
      <c r="S13" s="2">
        <v>16935034.059999991</v>
      </c>
      <c r="T13" s="3">
        <v>16371062.52999999</v>
      </c>
      <c r="U13" s="2">
        <v>15877990.37999999</v>
      </c>
      <c r="V13" s="2">
        <v>12047591.169999991</v>
      </c>
      <c r="W13" s="3">
        <v>11676208.559999989</v>
      </c>
      <c r="X13" s="2">
        <v>11205963.579999991</v>
      </c>
      <c r="Y13" s="2">
        <v>10836051.54999999</v>
      </c>
      <c r="Z13" s="3">
        <v>10466139.51999999</v>
      </c>
      <c r="AA13" s="2">
        <v>10096227.489999991</v>
      </c>
      <c r="AB13" s="2">
        <v>9726315.4599999897</v>
      </c>
      <c r="AC13" s="3">
        <v>9121400.2699999902</v>
      </c>
      <c r="AD13" s="2">
        <v>8763630.8999999911</v>
      </c>
      <c r="AE13" s="2">
        <v>8405861.52999999</v>
      </c>
      <c r="AF13" s="3">
        <v>8048092.1599999908</v>
      </c>
      <c r="AG13" s="2">
        <v>7690322.7899999898</v>
      </c>
      <c r="AH13" s="2">
        <v>7332553.4199999906</v>
      </c>
      <c r="AI13" s="3">
        <v>6869768.3299999926</v>
      </c>
      <c r="AJ13" s="2">
        <v>6517252.5399999917</v>
      </c>
      <c r="AK13" s="2">
        <v>6058006.689999992</v>
      </c>
      <c r="AL13" s="3">
        <v>5710514.1199999917</v>
      </c>
      <c r="AM13" s="2">
        <v>5363021.5499999914</v>
      </c>
      <c r="AN13" s="2">
        <v>5015528.9799999911</v>
      </c>
      <c r="AO13" s="3">
        <v>4668036.4099999908</v>
      </c>
      <c r="AP13" s="2">
        <v>4320543.8399999905</v>
      </c>
      <c r="AQ13" s="2">
        <v>3973051.2699999898</v>
      </c>
      <c r="AR13" s="3">
        <v>3625558.6999999899</v>
      </c>
      <c r="AS13" s="2">
        <v>2879378.5899999891</v>
      </c>
      <c r="AT13" s="2">
        <v>254878.3600000001</v>
      </c>
      <c r="AU13" s="3">
        <v>237272.17</v>
      </c>
      <c r="AV13" s="2">
        <v>219665.9800000001</v>
      </c>
      <c r="AW13" s="2">
        <v>0</v>
      </c>
      <c r="AX13" s="3">
        <v>0</v>
      </c>
      <c r="AY13" s="2">
        <v>0</v>
      </c>
      <c r="AZ13" s="2">
        <v>0</v>
      </c>
      <c r="BA13" s="3">
        <v>0</v>
      </c>
      <c r="BB13" s="2">
        <v>0</v>
      </c>
      <c r="BC13" s="2">
        <v>0</v>
      </c>
      <c r="BD13" s="3">
        <v>0</v>
      </c>
      <c r="BE13" s="2">
        <v>0</v>
      </c>
      <c r="BF13" s="2">
        <v>0</v>
      </c>
      <c r="BG13" s="3">
        <v>0</v>
      </c>
      <c r="BH13" s="2">
        <v>0</v>
      </c>
      <c r="BI13" s="2">
        <v>0</v>
      </c>
      <c r="BJ13" s="3">
        <v>0</v>
      </c>
      <c r="BK13" s="2">
        <v>0</v>
      </c>
      <c r="BL13">
        <v>0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21</v>
      </c>
      <c r="D15" s="2">
        <v>1</v>
      </c>
      <c r="E15" s="3">
        <v>1</v>
      </c>
      <c r="F15" s="2">
        <v>3</v>
      </c>
      <c r="G15" s="2">
        <v>9</v>
      </c>
      <c r="H15" s="3">
        <v>1</v>
      </c>
      <c r="I15" s="2">
        <v>13</v>
      </c>
      <c r="J15" s="2">
        <v>3</v>
      </c>
      <c r="K15" s="3">
        <v>1</v>
      </c>
      <c r="L15" s="2">
        <v>35</v>
      </c>
      <c r="M15" s="2">
        <v>1</v>
      </c>
      <c r="N15" s="3">
        <v>0</v>
      </c>
      <c r="O15" s="2">
        <v>0</v>
      </c>
      <c r="P15" s="2">
        <v>0</v>
      </c>
      <c r="Q15" s="3">
        <v>1</v>
      </c>
      <c r="R15" s="2">
        <v>2</v>
      </c>
      <c r="S15" s="2">
        <v>5</v>
      </c>
      <c r="T15" s="3">
        <v>1</v>
      </c>
      <c r="U15" s="2">
        <v>0</v>
      </c>
      <c r="V15" s="2">
        <v>11</v>
      </c>
      <c r="W15" s="3">
        <v>0</v>
      </c>
      <c r="X15" s="2">
        <v>1</v>
      </c>
      <c r="Y15" s="2">
        <v>0</v>
      </c>
      <c r="Z15" s="3">
        <v>0</v>
      </c>
      <c r="AA15" s="2">
        <v>0</v>
      </c>
      <c r="AB15" s="2">
        <v>0</v>
      </c>
      <c r="AC15" s="3">
        <v>2</v>
      </c>
      <c r="AD15" s="2">
        <v>0</v>
      </c>
      <c r="AE15" s="2">
        <v>0</v>
      </c>
      <c r="AF15" s="3">
        <v>0</v>
      </c>
      <c r="AG15" s="2">
        <v>0</v>
      </c>
      <c r="AH15" s="2">
        <v>0</v>
      </c>
      <c r="AI15" s="3">
        <v>1</v>
      </c>
      <c r="AJ15" s="2">
        <v>0</v>
      </c>
      <c r="AK15" s="2">
        <v>1</v>
      </c>
      <c r="AL15" s="3">
        <v>0</v>
      </c>
      <c r="AM15" s="2">
        <v>0</v>
      </c>
      <c r="AN15" s="2">
        <v>0</v>
      </c>
      <c r="AO15" s="3">
        <v>0</v>
      </c>
      <c r="AP15" s="2">
        <v>0</v>
      </c>
      <c r="AQ15" s="2">
        <v>0</v>
      </c>
      <c r="AR15" s="3">
        <v>0</v>
      </c>
      <c r="AS15" s="2">
        <v>1</v>
      </c>
      <c r="AT15" s="2">
        <v>40</v>
      </c>
      <c r="AU15" s="3">
        <v>0</v>
      </c>
      <c r="AV15" s="2">
        <v>0</v>
      </c>
      <c r="AW15" s="2">
        <v>1</v>
      </c>
      <c r="AX15" s="3">
        <v>0</v>
      </c>
      <c r="AY15" s="2">
        <v>0</v>
      </c>
      <c r="AZ15" s="2">
        <v>0</v>
      </c>
      <c r="BA15" s="3">
        <v>0</v>
      </c>
      <c r="BB15" s="2">
        <v>0</v>
      </c>
      <c r="BC15" s="2">
        <v>0</v>
      </c>
      <c r="BD15" s="3">
        <v>0</v>
      </c>
      <c r="BE15" s="2">
        <v>0</v>
      </c>
      <c r="BF15" s="2">
        <v>0</v>
      </c>
      <c r="BG15" s="3">
        <v>0</v>
      </c>
      <c r="BH15" s="2">
        <v>0</v>
      </c>
      <c r="BI15" s="2">
        <v>0</v>
      </c>
      <c r="BJ15" s="3">
        <v>0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0</v>
      </c>
      <c r="E16" s="3">
        <v>0</v>
      </c>
      <c r="F16" s="2">
        <v>0</v>
      </c>
      <c r="G16" s="2">
        <v>0</v>
      </c>
      <c r="H16" s="3">
        <v>0</v>
      </c>
      <c r="I16" s="2">
        <v>0</v>
      </c>
      <c r="J16" s="2">
        <v>0</v>
      </c>
      <c r="K16" s="3">
        <v>0</v>
      </c>
      <c r="L16" s="2">
        <v>0</v>
      </c>
      <c r="M16" s="2">
        <v>0</v>
      </c>
      <c r="N16" s="3">
        <v>0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0</v>
      </c>
      <c r="X16" s="2">
        <v>0</v>
      </c>
      <c r="Y16" s="2">
        <v>0</v>
      </c>
      <c r="Z16" s="3">
        <v>0</v>
      </c>
      <c r="AA16" s="2">
        <v>0</v>
      </c>
      <c r="AB16" s="2">
        <v>0</v>
      </c>
      <c r="AC16" s="3">
        <v>0</v>
      </c>
      <c r="AD16" s="2">
        <v>0</v>
      </c>
      <c r="AE16" s="2">
        <v>0</v>
      </c>
      <c r="AF16" s="3">
        <v>0</v>
      </c>
      <c r="AG16" s="2">
        <v>0</v>
      </c>
      <c r="AH16" s="2">
        <v>0</v>
      </c>
      <c r="AI16" s="3">
        <v>0</v>
      </c>
      <c r="AJ16" s="2">
        <v>0</v>
      </c>
      <c r="AK16" s="2">
        <v>0</v>
      </c>
      <c r="AL16" s="3">
        <v>0</v>
      </c>
      <c r="AM16" s="2">
        <v>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0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0</v>
      </c>
      <c r="BH16" s="2">
        <v>0</v>
      </c>
      <c r="BI16" s="2">
        <v>0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6.6328125" bestFit="1" customWidth="1"/>
    <col min="2" max="2" width="14.453125" bestFit="1" customWidth="1"/>
    <col min="3" max="4" width="13.36328125" bestFit="1" customWidth="1"/>
    <col min="5" max="5" width="12.453125" bestFit="1" customWidth="1"/>
    <col min="6" max="7" width="13.36328125" bestFit="1" customWidth="1"/>
    <col min="8" max="8" width="12.453125" bestFit="1" customWidth="1"/>
    <col min="9" max="10" width="13.36328125" bestFit="1" customWidth="1"/>
    <col min="11" max="11" width="12.453125" bestFit="1" customWidth="1"/>
    <col min="12" max="13" width="13.36328125" bestFit="1" customWidth="1"/>
    <col min="14" max="14" width="12.453125" bestFit="1" customWidth="1"/>
    <col min="15" max="16" width="13.36328125" bestFit="1" customWidth="1"/>
    <col min="17" max="17" width="12.453125" bestFit="1" customWidth="1"/>
    <col min="18" max="19" width="13.36328125" bestFit="1" customWidth="1"/>
    <col min="20" max="20" width="12.453125" bestFit="1" customWidth="1"/>
    <col min="21" max="22" width="13.36328125" bestFit="1" customWidth="1"/>
    <col min="23" max="23" width="12.453125" bestFit="1" customWidth="1"/>
    <col min="24" max="25" width="13.36328125" bestFit="1" customWidth="1"/>
    <col min="26" max="26" width="12.453125" bestFit="1" customWidth="1"/>
    <col min="27" max="28" width="13.36328125" bestFit="1" customWidth="1"/>
    <col min="29" max="29" width="12.453125" bestFit="1" customWidth="1"/>
    <col min="30" max="31" width="13.36328125" bestFit="1" customWidth="1"/>
    <col min="32" max="32" width="12.453125" bestFit="1" customWidth="1"/>
    <col min="33" max="34" width="13.36328125" bestFit="1" customWidth="1"/>
    <col min="35" max="35" width="12.453125" bestFit="1" customWidth="1"/>
    <col min="36" max="37" width="13.36328125" bestFit="1" customWidth="1"/>
    <col min="38" max="38" width="12.453125" bestFit="1" customWidth="1"/>
    <col min="39" max="40" width="13.36328125" bestFit="1" customWidth="1"/>
    <col min="41" max="41" width="12.453125" bestFit="1" customWidth="1"/>
    <col min="42" max="43" width="13.36328125" bestFit="1" customWidth="1"/>
    <col min="44" max="44" width="12.453125" bestFit="1" customWidth="1"/>
    <col min="45" max="46" width="13.36328125" bestFit="1" customWidth="1"/>
    <col min="47" max="47" width="12.453125" bestFit="1" customWidth="1"/>
    <col min="48" max="49" width="13.36328125" bestFit="1" customWidth="1"/>
    <col min="50" max="50" width="11.453125" bestFit="1" customWidth="1"/>
    <col min="51" max="52" width="12.1796875" bestFit="1" customWidth="1"/>
    <col min="53" max="53" width="11.453125" bestFit="1" customWidth="1"/>
    <col min="54" max="55" width="12.1796875" bestFit="1" customWidth="1"/>
    <col min="56" max="56" width="11.453125" bestFit="1" customWidth="1"/>
    <col min="57" max="58" width="12.1796875" bestFit="1" customWidth="1"/>
    <col min="59" max="59" width="11.453125" bestFit="1" customWidth="1"/>
    <col min="60" max="61" width="12.1796875" bestFit="1" customWidth="1"/>
    <col min="62" max="62" width="11.453125" bestFit="1" customWidth="1"/>
    <col min="63" max="63" width="12.1796875" bestFit="1" customWidth="1"/>
    <col min="64" max="64" width="10.4531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181</v>
      </c>
      <c r="C2" s="2">
        <v>165</v>
      </c>
      <c r="D2" s="2">
        <v>163</v>
      </c>
      <c r="E2" s="3">
        <v>156</v>
      </c>
      <c r="F2" s="2">
        <v>155</v>
      </c>
      <c r="G2" s="2">
        <v>153</v>
      </c>
      <c r="H2" s="3">
        <v>150</v>
      </c>
      <c r="I2" s="2">
        <v>149</v>
      </c>
      <c r="J2" s="2">
        <v>149</v>
      </c>
      <c r="K2" s="3">
        <v>148</v>
      </c>
      <c r="L2" s="2">
        <v>145</v>
      </c>
      <c r="M2" s="2">
        <v>133</v>
      </c>
      <c r="N2" s="3">
        <v>132</v>
      </c>
      <c r="O2" s="2">
        <v>132</v>
      </c>
      <c r="P2" s="2">
        <v>131</v>
      </c>
      <c r="Q2" s="3">
        <v>129</v>
      </c>
      <c r="R2" s="2">
        <v>125</v>
      </c>
      <c r="S2" s="2">
        <v>125</v>
      </c>
      <c r="T2" s="3">
        <v>121</v>
      </c>
      <c r="U2" s="2">
        <v>116</v>
      </c>
      <c r="V2" s="2">
        <v>115</v>
      </c>
      <c r="W2" s="3">
        <v>113</v>
      </c>
      <c r="X2" s="2">
        <v>111</v>
      </c>
      <c r="Y2" s="2">
        <v>97</v>
      </c>
      <c r="Z2" s="3">
        <v>87</v>
      </c>
      <c r="AA2" s="2">
        <v>86</v>
      </c>
      <c r="AB2" s="2">
        <v>86</v>
      </c>
      <c r="AC2" s="3">
        <v>81</v>
      </c>
      <c r="AD2" s="2">
        <v>75</v>
      </c>
      <c r="AE2" s="2">
        <v>69</v>
      </c>
      <c r="AF2" s="3">
        <v>65</v>
      </c>
      <c r="AG2" s="2">
        <v>63</v>
      </c>
      <c r="AH2" s="2">
        <v>48</v>
      </c>
      <c r="AI2" s="3">
        <v>37</v>
      </c>
      <c r="AJ2" s="2">
        <v>35</v>
      </c>
      <c r="AK2" s="2">
        <v>34</v>
      </c>
      <c r="AL2" s="3">
        <v>29</v>
      </c>
      <c r="AM2" s="2">
        <v>29</v>
      </c>
      <c r="AN2" s="2">
        <v>28</v>
      </c>
      <c r="AO2" s="3">
        <v>22</v>
      </c>
      <c r="AP2" s="2">
        <v>22</v>
      </c>
      <c r="AQ2" s="2">
        <v>22</v>
      </c>
      <c r="AR2" s="3">
        <v>20</v>
      </c>
      <c r="AS2" s="2">
        <v>17</v>
      </c>
      <c r="AT2" s="2">
        <v>14</v>
      </c>
      <c r="AU2" s="3">
        <v>12</v>
      </c>
      <c r="AV2" s="2">
        <v>11</v>
      </c>
      <c r="AW2" s="2">
        <v>11</v>
      </c>
      <c r="AX2" s="3">
        <v>8</v>
      </c>
      <c r="AY2" s="2">
        <v>8</v>
      </c>
      <c r="AZ2" s="2">
        <v>8</v>
      </c>
      <c r="BA2" s="3">
        <v>8</v>
      </c>
      <c r="BB2" s="2">
        <v>8</v>
      </c>
      <c r="BC2" s="2">
        <v>6</v>
      </c>
      <c r="BD2" s="3">
        <v>5</v>
      </c>
      <c r="BE2" s="2">
        <v>3</v>
      </c>
      <c r="BF2" s="2">
        <v>3</v>
      </c>
      <c r="BG2" s="3">
        <v>2</v>
      </c>
      <c r="BH2" s="2">
        <v>1</v>
      </c>
      <c r="BI2" s="2">
        <v>1</v>
      </c>
      <c r="BJ2" s="3">
        <v>1</v>
      </c>
      <c r="BK2" s="2">
        <v>1</v>
      </c>
      <c r="BL2">
        <v>1</v>
      </c>
    </row>
    <row r="3" spans="1:64" ht="15.5" x14ac:dyDescent="0.35">
      <c r="A3" t="s">
        <v>65</v>
      </c>
      <c r="B3" s="2">
        <v>9</v>
      </c>
      <c r="C3" s="2">
        <v>9</v>
      </c>
      <c r="D3" s="2">
        <v>9</v>
      </c>
      <c r="E3" s="3">
        <v>9</v>
      </c>
      <c r="F3" s="2">
        <v>8</v>
      </c>
      <c r="G3" s="2">
        <v>8</v>
      </c>
      <c r="H3" s="3">
        <v>8</v>
      </c>
      <c r="I3" s="2">
        <v>8</v>
      </c>
      <c r="J3" s="2">
        <v>8</v>
      </c>
      <c r="K3" s="3">
        <v>8</v>
      </c>
      <c r="L3" s="2">
        <v>8</v>
      </c>
      <c r="M3" s="2">
        <v>8</v>
      </c>
      <c r="N3" s="3">
        <v>8</v>
      </c>
      <c r="O3" s="2">
        <v>8</v>
      </c>
      <c r="P3" s="2">
        <v>8</v>
      </c>
      <c r="Q3" s="3">
        <v>8</v>
      </c>
      <c r="R3" s="2">
        <v>8</v>
      </c>
      <c r="S3" s="2">
        <v>8</v>
      </c>
      <c r="T3" s="3">
        <v>8</v>
      </c>
      <c r="U3" s="2">
        <v>7</v>
      </c>
      <c r="V3" s="2">
        <v>7</v>
      </c>
      <c r="W3" s="3">
        <v>7</v>
      </c>
      <c r="X3" s="2">
        <v>7</v>
      </c>
      <c r="Y3" s="2">
        <v>7</v>
      </c>
      <c r="Z3" s="3">
        <v>2</v>
      </c>
      <c r="AA3" s="2">
        <v>2</v>
      </c>
      <c r="AB3" s="2">
        <v>2</v>
      </c>
      <c r="AC3" s="3">
        <v>2</v>
      </c>
      <c r="AD3" s="2">
        <v>2</v>
      </c>
      <c r="AE3" s="2">
        <v>2</v>
      </c>
      <c r="AF3" s="3">
        <v>2</v>
      </c>
      <c r="AG3" s="2">
        <v>1</v>
      </c>
      <c r="AH3" s="2">
        <v>1</v>
      </c>
      <c r="AI3" s="3">
        <v>1</v>
      </c>
      <c r="AJ3" s="2">
        <v>1</v>
      </c>
      <c r="AK3" s="2">
        <v>1</v>
      </c>
      <c r="AL3" s="3">
        <v>1</v>
      </c>
      <c r="AM3" s="2">
        <v>1</v>
      </c>
      <c r="AN3" s="2">
        <v>1</v>
      </c>
      <c r="AO3" s="3">
        <v>1</v>
      </c>
      <c r="AP3" s="2">
        <v>1</v>
      </c>
      <c r="AQ3" s="2">
        <v>1</v>
      </c>
      <c r="AR3" s="3">
        <v>1</v>
      </c>
      <c r="AS3" s="2">
        <v>1</v>
      </c>
      <c r="AT3" s="2">
        <v>1</v>
      </c>
      <c r="AU3" s="3">
        <v>1</v>
      </c>
      <c r="AV3" s="2">
        <v>1</v>
      </c>
      <c r="AW3" s="2">
        <v>1</v>
      </c>
      <c r="AX3" s="3">
        <v>1</v>
      </c>
      <c r="AY3" s="2">
        <v>1</v>
      </c>
      <c r="AZ3" s="2">
        <v>1</v>
      </c>
      <c r="BA3" s="3">
        <v>1</v>
      </c>
      <c r="BB3" s="2">
        <v>1</v>
      </c>
      <c r="BC3" s="2">
        <v>0</v>
      </c>
      <c r="BD3" s="3">
        <v>0</v>
      </c>
      <c r="BE3" s="2">
        <v>0</v>
      </c>
      <c r="BF3" s="2">
        <v>0</v>
      </c>
      <c r="BG3" s="3">
        <v>0</v>
      </c>
      <c r="BH3" s="2">
        <v>0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2983657.86</v>
      </c>
      <c r="C5" s="2">
        <v>2851671.5100000012</v>
      </c>
      <c r="D5" s="2">
        <v>2821250.910000002</v>
      </c>
      <c r="E5" s="3">
        <v>2749320.4600000018</v>
      </c>
      <c r="F5" s="2">
        <v>2728690.5600000019</v>
      </c>
      <c r="G5" s="2">
        <v>2710170.0500000021</v>
      </c>
      <c r="H5" s="3">
        <v>2682284.6700000009</v>
      </c>
      <c r="I5" s="2">
        <v>2671786.6500000008</v>
      </c>
      <c r="J5" s="2">
        <v>2671786.6500000008</v>
      </c>
      <c r="K5" s="3">
        <v>2658626.4300000011</v>
      </c>
      <c r="L5" s="2">
        <v>2624016.2100000009</v>
      </c>
      <c r="M5" s="2">
        <v>2520804.58</v>
      </c>
      <c r="N5" s="3">
        <v>2515422.44</v>
      </c>
      <c r="O5" s="2">
        <v>2515422.44</v>
      </c>
      <c r="P5" s="2">
        <v>2508946.5499999998</v>
      </c>
      <c r="Q5" s="3">
        <v>2471139.0699999998</v>
      </c>
      <c r="R5" s="2">
        <v>2402942.09</v>
      </c>
      <c r="S5" s="2">
        <v>2402942.09</v>
      </c>
      <c r="T5" s="3">
        <v>2353233.83</v>
      </c>
      <c r="U5" s="2">
        <v>2239391.11</v>
      </c>
      <c r="V5" s="2">
        <v>2228612.9500000011</v>
      </c>
      <c r="W5" s="3">
        <v>2201771.0499999998</v>
      </c>
      <c r="X5" s="2">
        <v>2183719.8600000008</v>
      </c>
      <c r="Y5" s="2">
        <v>1579648.300000001</v>
      </c>
      <c r="Z5" s="3">
        <v>1237894.57</v>
      </c>
      <c r="AA5" s="2">
        <v>1220328.5900000001</v>
      </c>
      <c r="AB5" s="2">
        <v>1220328.5900000001</v>
      </c>
      <c r="AC5" s="3">
        <v>1150233.04</v>
      </c>
      <c r="AD5" s="2">
        <v>1083409.3899999999</v>
      </c>
      <c r="AE5" s="2">
        <v>1008373.78</v>
      </c>
      <c r="AF5" s="3">
        <v>966068.27000000025</v>
      </c>
      <c r="AG5" s="2">
        <v>906861.93000000028</v>
      </c>
      <c r="AH5" s="2">
        <v>783337.99000000011</v>
      </c>
      <c r="AI5" s="3">
        <v>671960.77999999991</v>
      </c>
      <c r="AJ5" s="2">
        <v>662237.12</v>
      </c>
      <c r="AK5" s="2">
        <v>648718.42999999993</v>
      </c>
      <c r="AL5" s="3">
        <v>573481.16999999993</v>
      </c>
      <c r="AM5" s="2">
        <v>573481.16999999993</v>
      </c>
      <c r="AN5" s="2">
        <v>559661.89999999991</v>
      </c>
      <c r="AO5" s="3">
        <v>483985.09</v>
      </c>
      <c r="AP5" s="2">
        <v>483985.09</v>
      </c>
      <c r="AQ5" s="2">
        <v>483985.09</v>
      </c>
      <c r="AR5" s="3">
        <v>439007.22</v>
      </c>
      <c r="AS5" s="2">
        <v>392004.64</v>
      </c>
      <c r="AT5" s="2">
        <v>349958.11</v>
      </c>
      <c r="AU5" s="3">
        <v>326501.13</v>
      </c>
      <c r="AV5" s="2">
        <v>311487.32</v>
      </c>
      <c r="AW5" s="2">
        <v>311487.32</v>
      </c>
      <c r="AX5" s="3">
        <v>268303.53999999998</v>
      </c>
      <c r="AY5" s="2">
        <v>268303.53999999998</v>
      </c>
      <c r="AZ5" s="2">
        <v>268303.53999999998</v>
      </c>
      <c r="BA5" s="3">
        <v>268303.53999999998</v>
      </c>
      <c r="BB5" s="2">
        <v>268303.53999999998</v>
      </c>
      <c r="BC5" s="2">
        <v>136730.74</v>
      </c>
      <c r="BD5" s="3">
        <v>128963.45</v>
      </c>
      <c r="BE5" s="2">
        <v>103063.11</v>
      </c>
      <c r="BF5" s="2">
        <v>103063.11</v>
      </c>
      <c r="BG5" s="3">
        <v>88259.64</v>
      </c>
      <c r="BH5" s="2">
        <v>75021.41</v>
      </c>
      <c r="BI5" s="2">
        <v>75021.41</v>
      </c>
      <c r="BJ5" s="3">
        <v>75021.41</v>
      </c>
      <c r="BK5" s="2">
        <v>75021.41</v>
      </c>
      <c r="BL5">
        <v>75021.41</v>
      </c>
    </row>
    <row r="6" spans="1:64" ht="15.5" x14ac:dyDescent="0.35">
      <c r="A6" t="s">
        <v>68</v>
      </c>
      <c r="B6" s="2">
        <v>1373374.2200000009</v>
      </c>
      <c r="C6" s="2">
        <v>1314913.06</v>
      </c>
      <c r="D6" s="2">
        <v>1303752.6499999999</v>
      </c>
      <c r="E6" s="3">
        <v>1272085.1000000001</v>
      </c>
      <c r="F6" s="2">
        <v>1260890.2</v>
      </c>
      <c r="G6" s="2">
        <v>1252857.3700000001</v>
      </c>
      <c r="H6" s="3">
        <v>1241690.57</v>
      </c>
      <c r="I6" s="2">
        <v>1237122.94</v>
      </c>
      <c r="J6" s="2">
        <v>1237122.94</v>
      </c>
      <c r="K6" s="3">
        <v>1232141.3500000001</v>
      </c>
      <c r="L6" s="2">
        <v>1213774.19</v>
      </c>
      <c r="M6" s="2">
        <v>1179340.6599999999</v>
      </c>
      <c r="N6" s="3">
        <v>1177288.96</v>
      </c>
      <c r="O6" s="2">
        <v>1177288.96</v>
      </c>
      <c r="P6" s="2">
        <v>1174798.76</v>
      </c>
      <c r="Q6" s="3">
        <v>1157909.54</v>
      </c>
      <c r="R6" s="2">
        <v>1128698.9099999999</v>
      </c>
      <c r="S6" s="2">
        <v>1128698.9099999999</v>
      </c>
      <c r="T6" s="3">
        <v>1106566.28</v>
      </c>
      <c r="U6" s="2">
        <v>1049857.0900000001</v>
      </c>
      <c r="V6" s="2">
        <v>1046153.92</v>
      </c>
      <c r="W6" s="3">
        <v>1034020.28</v>
      </c>
      <c r="X6" s="2">
        <v>1026062.06</v>
      </c>
      <c r="Y6" s="2">
        <v>697459.78999999946</v>
      </c>
      <c r="Z6" s="3">
        <v>502274.58000000031</v>
      </c>
      <c r="AA6" s="2">
        <v>494600.22000000032</v>
      </c>
      <c r="AB6" s="2">
        <v>494600.22000000032</v>
      </c>
      <c r="AC6" s="3">
        <v>469407.97000000032</v>
      </c>
      <c r="AD6" s="2">
        <v>440570.84000000032</v>
      </c>
      <c r="AE6" s="2">
        <v>406862.22000000009</v>
      </c>
      <c r="AF6" s="3">
        <v>389716.65</v>
      </c>
      <c r="AG6" s="2">
        <v>357397.76000000013</v>
      </c>
      <c r="AH6" s="2">
        <v>310788.99</v>
      </c>
      <c r="AI6" s="3">
        <v>272242.81</v>
      </c>
      <c r="AJ6" s="2">
        <v>268666.78999999998</v>
      </c>
      <c r="AK6" s="2">
        <v>264076.36</v>
      </c>
      <c r="AL6" s="3">
        <v>234676.87</v>
      </c>
      <c r="AM6" s="2">
        <v>234676.87</v>
      </c>
      <c r="AN6" s="2">
        <v>230230.94</v>
      </c>
      <c r="AO6" s="3">
        <v>199549.95</v>
      </c>
      <c r="AP6" s="2">
        <v>199549.95</v>
      </c>
      <c r="AQ6" s="2">
        <v>199549.95</v>
      </c>
      <c r="AR6" s="3">
        <v>179950.43</v>
      </c>
      <c r="AS6" s="2">
        <v>162249.96</v>
      </c>
      <c r="AT6" s="2">
        <v>146453.03</v>
      </c>
      <c r="AU6" s="3">
        <v>138142.21</v>
      </c>
      <c r="AV6" s="2">
        <v>132181.49</v>
      </c>
      <c r="AW6" s="2">
        <v>132181.49</v>
      </c>
      <c r="AX6" s="3">
        <v>114535.16</v>
      </c>
      <c r="AY6" s="2">
        <v>114535.16</v>
      </c>
      <c r="AZ6" s="2">
        <v>114535.16</v>
      </c>
      <c r="BA6" s="3">
        <v>114535.16</v>
      </c>
      <c r="BB6" s="2">
        <v>114535.16</v>
      </c>
      <c r="BC6" s="2">
        <v>56303.72</v>
      </c>
      <c r="BD6" s="3">
        <v>53403.43</v>
      </c>
      <c r="BE6" s="2">
        <v>42635.18</v>
      </c>
      <c r="BF6" s="2">
        <v>42635.18</v>
      </c>
      <c r="BG6" s="3">
        <v>36920.86</v>
      </c>
      <c r="BH6" s="2">
        <v>31574.16</v>
      </c>
      <c r="BI6" s="2">
        <v>31574.16</v>
      </c>
      <c r="BJ6" s="3">
        <v>31574.16</v>
      </c>
      <c r="BK6" s="2">
        <v>31574.16</v>
      </c>
      <c r="BL6">
        <v>31574.16</v>
      </c>
    </row>
    <row r="7" spans="1:64" ht="15.5" x14ac:dyDescent="0.35">
      <c r="A7" t="s">
        <v>69</v>
      </c>
      <c r="B7" s="2">
        <v>732074.5699999996</v>
      </c>
      <c r="C7" s="2">
        <v>703558.5499999997</v>
      </c>
      <c r="D7" s="2">
        <v>697901.20999999961</v>
      </c>
      <c r="E7" s="3">
        <v>677964.09999999974</v>
      </c>
      <c r="F7" s="2">
        <v>672007.50999999978</v>
      </c>
      <c r="G7" s="2">
        <v>667155.6599999998</v>
      </c>
      <c r="H7" s="3">
        <v>661721.83999999973</v>
      </c>
      <c r="I7" s="2">
        <v>658777.81999999972</v>
      </c>
      <c r="J7" s="2">
        <v>658777.81999999972</v>
      </c>
      <c r="K7" s="3">
        <v>654677.5499999997</v>
      </c>
      <c r="L7" s="2">
        <v>650117.0299999998</v>
      </c>
      <c r="M7" s="2">
        <v>628134.31999999983</v>
      </c>
      <c r="N7" s="3">
        <v>626898.87999999989</v>
      </c>
      <c r="O7" s="2">
        <v>626898.87999999989</v>
      </c>
      <c r="P7" s="2">
        <v>625010.85999999987</v>
      </c>
      <c r="Q7" s="3">
        <v>614761.0399999998</v>
      </c>
      <c r="R7" s="2">
        <v>595700.13999999966</v>
      </c>
      <c r="S7" s="2">
        <v>595700.13999999966</v>
      </c>
      <c r="T7" s="3">
        <v>581914.84999999974</v>
      </c>
      <c r="U7" s="2">
        <v>562703.25999999989</v>
      </c>
      <c r="V7" s="2">
        <v>560359.60999999987</v>
      </c>
      <c r="W7" s="3">
        <v>550964.10999999987</v>
      </c>
      <c r="X7" s="2">
        <v>544235.07999999984</v>
      </c>
      <c r="Y7" s="2">
        <v>437079.36999999988</v>
      </c>
      <c r="Z7" s="3">
        <v>349101.62</v>
      </c>
      <c r="AA7" s="2">
        <v>343264.16</v>
      </c>
      <c r="AB7" s="2">
        <v>343264.16</v>
      </c>
      <c r="AC7" s="3">
        <v>321237.55999999988</v>
      </c>
      <c r="AD7" s="2">
        <v>297413.02</v>
      </c>
      <c r="AE7" s="2">
        <v>275669.15000000002</v>
      </c>
      <c r="AF7" s="3">
        <v>260886.71</v>
      </c>
      <c r="AG7" s="2">
        <v>249126.58</v>
      </c>
      <c r="AH7" s="2">
        <v>214913.4800000001</v>
      </c>
      <c r="AI7" s="3">
        <v>180721.92000000001</v>
      </c>
      <c r="AJ7" s="2">
        <v>177515.04</v>
      </c>
      <c r="AK7" s="2">
        <v>173634.48</v>
      </c>
      <c r="AL7" s="3">
        <v>153740.28</v>
      </c>
      <c r="AM7" s="2">
        <v>153740.28</v>
      </c>
      <c r="AN7" s="2">
        <v>150472.38</v>
      </c>
      <c r="AO7" s="3">
        <v>130029.09</v>
      </c>
      <c r="AP7" s="2">
        <v>130029.09</v>
      </c>
      <c r="AQ7" s="2">
        <v>130029.09</v>
      </c>
      <c r="AR7" s="3">
        <v>118417.67</v>
      </c>
      <c r="AS7" s="2">
        <v>105242.27</v>
      </c>
      <c r="AT7" s="2">
        <v>92856.99</v>
      </c>
      <c r="AU7" s="3">
        <v>85164.77</v>
      </c>
      <c r="AV7" s="2">
        <v>80909.14</v>
      </c>
      <c r="AW7" s="2">
        <v>80909.14</v>
      </c>
      <c r="AX7" s="3">
        <v>67652.02</v>
      </c>
      <c r="AY7" s="2">
        <v>67652.02</v>
      </c>
      <c r="AZ7" s="2">
        <v>67652.02</v>
      </c>
      <c r="BA7" s="3">
        <v>67652.02</v>
      </c>
      <c r="BB7" s="2">
        <v>67652.02</v>
      </c>
      <c r="BC7" s="2">
        <v>36265.9</v>
      </c>
      <c r="BD7" s="3">
        <v>34783.769999999997</v>
      </c>
      <c r="BE7" s="2">
        <v>29207.52</v>
      </c>
      <c r="BF7" s="2">
        <v>29207.52</v>
      </c>
      <c r="BG7" s="3">
        <v>24635.88</v>
      </c>
      <c r="BH7" s="2">
        <v>20130</v>
      </c>
      <c r="BI7" s="2">
        <v>20130</v>
      </c>
      <c r="BJ7" s="3">
        <v>20130</v>
      </c>
      <c r="BK7" s="2">
        <v>20130</v>
      </c>
      <c r="BL7">
        <v>20130</v>
      </c>
    </row>
    <row r="8" spans="1:64" ht="15.5" x14ac:dyDescent="0.35">
      <c r="A8" t="s">
        <v>70</v>
      </c>
      <c r="B8" s="2">
        <v>187249.10999999981</v>
      </c>
      <c r="C8" s="2">
        <v>178308.69999999981</v>
      </c>
      <c r="D8" s="2">
        <v>176431.10999999981</v>
      </c>
      <c r="E8" s="3">
        <v>172682.51999999979</v>
      </c>
      <c r="F8" s="2">
        <v>172055.10999999981</v>
      </c>
      <c r="G8" s="2">
        <v>171229.25999999989</v>
      </c>
      <c r="H8" s="3">
        <v>169993.25999999989</v>
      </c>
      <c r="I8" s="2">
        <v>169685.4599999999</v>
      </c>
      <c r="J8" s="2">
        <v>169685.4599999999</v>
      </c>
      <c r="K8" s="3">
        <v>168734.96999999991</v>
      </c>
      <c r="L8" s="2">
        <v>166823.8299999999</v>
      </c>
      <c r="M8" s="2">
        <v>154736.47999999989</v>
      </c>
      <c r="N8" s="3">
        <v>154316.48000000001</v>
      </c>
      <c r="O8" s="2">
        <v>154316.48000000001</v>
      </c>
      <c r="P8" s="2">
        <v>153756.80999999991</v>
      </c>
      <c r="Q8" s="3">
        <v>151369.81999999989</v>
      </c>
      <c r="R8" s="2">
        <v>146871.18999999989</v>
      </c>
      <c r="S8" s="2">
        <v>146871.18999999989</v>
      </c>
      <c r="T8" s="3">
        <v>143227.33999999991</v>
      </c>
      <c r="U8" s="2">
        <v>136572.21</v>
      </c>
      <c r="V8" s="2">
        <v>135509.09</v>
      </c>
      <c r="W8" s="3">
        <v>133307.56999999989</v>
      </c>
      <c r="X8" s="2">
        <v>131754.82999999999</v>
      </c>
      <c r="Y8" s="2">
        <v>102327</v>
      </c>
      <c r="Z8" s="3">
        <v>87801.959999999992</v>
      </c>
      <c r="AA8" s="2">
        <v>87451.959999999992</v>
      </c>
      <c r="AB8" s="2">
        <v>87451.959999999992</v>
      </c>
      <c r="AC8" s="3">
        <v>83206.86</v>
      </c>
      <c r="AD8" s="2">
        <v>79185.38</v>
      </c>
      <c r="AE8" s="2">
        <v>73629.510000000009</v>
      </c>
      <c r="AF8" s="3">
        <v>70003.010000000009</v>
      </c>
      <c r="AG8" s="2">
        <v>65896.08</v>
      </c>
      <c r="AH8" s="2">
        <v>59823.719999999987</v>
      </c>
      <c r="AI8" s="3">
        <v>50590.37</v>
      </c>
      <c r="AJ8" s="2">
        <v>49785.77</v>
      </c>
      <c r="AK8" s="2">
        <v>48690.149999999987</v>
      </c>
      <c r="AL8" s="3">
        <v>43175.820000000007</v>
      </c>
      <c r="AM8" s="2">
        <v>43175.820000000007</v>
      </c>
      <c r="AN8" s="2">
        <v>42055.710000000006</v>
      </c>
      <c r="AO8" s="3">
        <v>36075.640000000007</v>
      </c>
      <c r="AP8" s="2">
        <v>36075.640000000007</v>
      </c>
      <c r="AQ8" s="2">
        <v>36075.640000000007</v>
      </c>
      <c r="AR8" s="3">
        <v>32810.94</v>
      </c>
      <c r="AS8" s="2">
        <v>29385.360000000001</v>
      </c>
      <c r="AT8" s="2">
        <v>26029.99</v>
      </c>
      <c r="AU8" s="3">
        <v>24002.62</v>
      </c>
      <c r="AV8" s="2">
        <v>22870.67</v>
      </c>
      <c r="AW8" s="2">
        <v>22870.67</v>
      </c>
      <c r="AX8" s="3">
        <v>19393.150000000001</v>
      </c>
      <c r="AY8" s="2">
        <v>19393.150000000001</v>
      </c>
      <c r="AZ8" s="2">
        <v>19393.150000000001</v>
      </c>
      <c r="BA8" s="3">
        <v>19393.150000000001</v>
      </c>
      <c r="BB8" s="2">
        <v>19393.150000000001</v>
      </c>
      <c r="BC8" s="2">
        <v>10251.02</v>
      </c>
      <c r="BD8" s="3">
        <v>9813.25</v>
      </c>
      <c r="BE8" s="2">
        <v>8173.8</v>
      </c>
      <c r="BF8" s="2">
        <v>8173.8</v>
      </c>
      <c r="BG8" s="3">
        <v>6994.2000000000007</v>
      </c>
      <c r="BH8" s="2">
        <v>5826.68</v>
      </c>
      <c r="BI8" s="2">
        <v>5826.68</v>
      </c>
      <c r="BJ8" s="3">
        <v>5826.68</v>
      </c>
      <c r="BK8" s="2">
        <v>5826.68</v>
      </c>
      <c r="BL8">
        <v>5826.68</v>
      </c>
    </row>
    <row r="9" spans="1:64" ht="15.5" x14ac:dyDescent="0.35">
      <c r="A9" t="s">
        <v>71</v>
      </c>
      <c r="B9" s="2">
        <v>8378143.8899999969</v>
      </c>
      <c r="C9" s="2">
        <v>7182478.7199999988</v>
      </c>
      <c r="D9" s="2">
        <v>6978291.6799999988</v>
      </c>
      <c r="E9" s="3">
        <v>6804364.0599999987</v>
      </c>
      <c r="F9" s="2">
        <v>6775809.459999999</v>
      </c>
      <c r="G9" s="2">
        <v>6719442.7399999993</v>
      </c>
      <c r="H9" s="3">
        <v>6380891.0899999999</v>
      </c>
      <c r="I9" s="2">
        <v>6354463.5899999999</v>
      </c>
      <c r="J9" s="2">
        <v>6354463.5899999999</v>
      </c>
      <c r="K9" s="3">
        <v>6322978.29</v>
      </c>
      <c r="L9" s="2">
        <v>6145957.1099999994</v>
      </c>
      <c r="M9" s="2">
        <v>5575452.8699999992</v>
      </c>
      <c r="N9" s="3">
        <v>5529407.1099999975</v>
      </c>
      <c r="O9" s="2">
        <v>5529407.1099999975</v>
      </c>
      <c r="P9" s="2">
        <v>5460646.1099999975</v>
      </c>
      <c r="Q9" s="3">
        <v>5444374.9099999974</v>
      </c>
      <c r="R9" s="2">
        <v>5401765.2099999981</v>
      </c>
      <c r="S9" s="2">
        <v>5401765.2099999981</v>
      </c>
      <c r="T9" s="3">
        <v>5285674.0799999982</v>
      </c>
      <c r="U9" s="2">
        <v>4739333.7799999965</v>
      </c>
      <c r="V9" s="2">
        <v>4689867.3299999973</v>
      </c>
      <c r="W9" s="3">
        <v>4642487.4899999974</v>
      </c>
      <c r="X9" s="2">
        <v>4625540.8899999978</v>
      </c>
      <c r="Y9" s="2">
        <v>3431886.8099999991</v>
      </c>
      <c r="Z9" s="3">
        <v>3161375.02</v>
      </c>
      <c r="AA9" s="2">
        <v>3147046.419999999</v>
      </c>
      <c r="AB9" s="2">
        <v>3147046.419999999</v>
      </c>
      <c r="AC9" s="3">
        <v>2889882.8399999989</v>
      </c>
      <c r="AD9" s="2">
        <v>2625013.8399999989</v>
      </c>
      <c r="AE9" s="2">
        <v>2431551.4500000002</v>
      </c>
      <c r="AF9" s="3">
        <v>2369519.67</v>
      </c>
      <c r="AG9" s="2">
        <v>2281338.75</v>
      </c>
      <c r="AH9" s="2">
        <v>1612672.27</v>
      </c>
      <c r="AI9" s="3">
        <v>1305472.8</v>
      </c>
      <c r="AJ9" s="2">
        <v>1251846.48</v>
      </c>
      <c r="AK9" s="2">
        <v>1210325.8799999999</v>
      </c>
      <c r="AL9" s="3">
        <v>996299.87</v>
      </c>
      <c r="AM9" s="2">
        <v>996299.87</v>
      </c>
      <c r="AN9" s="2">
        <v>904421.02</v>
      </c>
      <c r="AO9" s="3">
        <v>678329.86</v>
      </c>
      <c r="AP9" s="2">
        <v>678329.86</v>
      </c>
      <c r="AQ9" s="2">
        <v>678329.86</v>
      </c>
      <c r="AR9" s="3">
        <v>606872.76</v>
      </c>
      <c r="AS9" s="2">
        <v>450042.12</v>
      </c>
      <c r="AT9" s="2">
        <v>371878.73</v>
      </c>
      <c r="AU9" s="3">
        <v>309824.76000000013</v>
      </c>
      <c r="AV9" s="2">
        <v>267391</v>
      </c>
      <c r="AW9" s="2">
        <v>267391</v>
      </c>
      <c r="AX9" s="3">
        <v>189139.86</v>
      </c>
      <c r="AY9" s="2">
        <v>189139.86</v>
      </c>
      <c r="AZ9" s="2">
        <v>189139.86</v>
      </c>
      <c r="BA9" s="3">
        <v>189139.86</v>
      </c>
      <c r="BB9" s="2">
        <v>189139.86</v>
      </c>
      <c r="BC9" s="2">
        <v>71758.820000000007</v>
      </c>
      <c r="BD9" s="3">
        <v>58358.18</v>
      </c>
      <c r="BE9" s="2">
        <v>36033.019999999997</v>
      </c>
      <c r="BF9" s="2">
        <v>36033.019999999997</v>
      </c>
      <c r="BG9" s="3">
        <v>24785.52</v>
      </c>
      <c r="BH9" s="2">
        <v>19966.64</v>
      </c>
      <c r="BI9" s="2">
        <v>19966.64</v>
      </c>
      <c r="BJ9" s="3">
        <v>19966.64</v>
      </c>
      <c r="BK9" s="2">
        <v>19966.64</v>
      </c>
      <c r="BL9">
        <v>19966.64</v>
      </c>
    </row>
    <row r="10" spans="1:64" ht="15.5" x14ac:dyDescent="0.35">
      <c r="A10" t="s">
        <v>72</v>
      </c>
      <c r="B10" s="2">
        <v>4838646.0299999965</v>
      </c>
      <c r="C10" s="2">
        <v>4445256.629999998</v>
      </c>
      <c r="D10" s="2">
        <v>4428157.7699999986</v>
      </c>
      <c r="E10" s="3">
        <v>4337526.299999998</v>
      </c>
      <c r="F10" s="2">
        <v>4331284.1799999978</v>
      </c>
      <c r="G10" s="2">
        <v>4289222.129999998</v>
      </c>
      <c r="H10" s="3">
        <v>4282542.9599999981</v>
      </c>
      <c r="I10" s="2">
        <v>4266367.9799999977</v>
      </c>
      <c r="J10" s="2">
        <v>4266367.9799999977</v>
      </c>
      <c r="K10" s="3">
        <v>4254848.4199999981</v>
      </c>
      <c r="L10" s="2">
        <v>4165403.669999999</v>
      </c>
      <c r="M10" s="2">
        <v>3959008.0599999991</v>
      </c>
      <c r="N10" s="3">
        <v>3947143.9099999992</v>
      </c>
      <c r="O10" s="2">
        <v>3947143.9099999992</v>
      </c>
      <c r="P10" s="2">
        <v>3895635.6599999992</v>
      </c>
      <c r="Q10" s="3">
        <v>3887549.4299999988</v>
      </c>
      <c r="R10" s="2">
        <v>3852403.629999999</v>
      </c>
      <c r="S10" s="2">
        <v>3852403.629999999</v>
      </c>
      <c r="T10" s="3">
        <v>3795149.06</v>
      </c>
      <c r="U10" s="2">
        <v>3556367.9499999988</v>
      </c>
      <c r="V10" s="2">
        <v>3531454.6999999988</v>
      </c>
      <c r="W10" s="3">
        <v>3519751.6199999992</v>
      </c>
      <c r="X10" s="2">
        <v>3508214.5299999989</v>
      </c>
      <c r="Y10" s="2">
        <v>2546461.4999999991</v>
      </c>
      <c r="Z10" s="3">
        <v>2340240.5299999989</v>
      </c>
      <c r="AA10" s="2">
        <v>2325911.9299999988</v>
      </c>
      <c r="AB10" s="2">
        <v>2325911.9299999988</v>
      </c>
      <c r="AC10" s="3">
        <v>2145859.2799999998</v>
      </c>
      <c r="AD10" s="2">
        <v>1943023.5999999989</v>
      </c>
      <c r="AE10" s="2">
        <v>1792809.11</v>
      </c>
      <c r="AF10" s="3">
        <v>1751999.429999999</v>
      </c>
      <c r="AG10" s="2">
        <v>1695024.919999999</v>
      </c>
      <c r="AH10" s="2">
        <v>1267729.1000000001</v>
      </c>
      <c r="AI10" s="3">
        <v>1076966.17</v>
      </c>
      <c r="AJ10" s="2">
        <v>1042186.87</v>
      </c>
      <c r="AK10" s="2">
        <v>1018331.7</v>
      </c>
      <c r="AL10" s="3">
        <v>855839.33</v>
      </c>
      <c r="AM10" s="2">
        <v>855839.33</v>
      </c>
      <c r="AN10" s="2">
        <v>779292.7300000001</v>
      </c>
      <c r="AO10" s="3">
        <v>595136.53</v>
      </c>
      <c r="AP10" s="2">
        <v>595136.53</v>
      </c>
      <c r="AQ10" s="2">
        <v>595136.53</v>
      </c>
      <c r="AR10" s="3">
        <v>530599.46000000008</v>
      </c>
      <c r="AS10" s="2">
        <v>393050.23</v>
      </c>
      <c r="AT10" s="2">
        <v>334033.84000000003</v>
      </c>
      <c r="AU10" s="3">
        <v>286211.20000000001</v>
      </c>
      <c r="AV10" s="2">
        <v>258308.2</v>
      </c>
      <c r="AW10" s="2">
        <v>258308.2</v>
      </c>
      <c r="AX10" s="3">
        <v>189139.86</v>
      </c>
      <c r="AY10" s="2">
        <v>189139.86</v>
      </c>
      <c r="AZ10" s="2">
        <v>189139.86</v>
      </c>
      <c r="BA10" s="3">
        <v>189139.86</v>
      </c>
      <c r="BB10" s="2">
        <v>189139.86</v>
      </c>
      <c r="BC10" s="2">
        <v>71758.820000000007</v>
      </c>
      <c r="BD10" s="3">
        <v>58358.18</v>
      </c>
      <c r="BE10" s="2">
        <v>36033.019999999997</v>
      </c>
      <c r="BF10" s="2">
        <v>36033.019999999997</v>
      </c>
      <c r="BG10" s="3">
        <v>24785.52</v>
      </c>
      <c r="BH10" s="2">
        <v>19966.64</v>
      </c>
      <c r="BI10" s="2">
        <v>19966.64</v>
      </c>
      <c r="BJ10" s="3">
        <v>19966.64</v>
      </c>
      <c r="BK10" s="2">
        <v>19966.64</v>
      </c>
      <c r="BL10">
        <v>19966.64</v>
      </c>
    </row>
    <row r="11" spans="1:64" ht="15.5" x14ac:dyDescent="0.35">
      <c r="A11" t="s">
        <v>73</v>
      </c>
      <c r="B11" s="2">
        <v>315192.43000000011</v>
      </c>
      <c r="C11" s="2">
        <v>305717.25000000012</v>
      </c>
      <c r="D11" s="2">
        <v>303552.64000000007</v>
      </c>
      <c r="E11" s="3">
        <v>292526.73</v>
      </c>
      <c r="F11" s="2">
        <v>290252.3</v>
      </c>
      <c r="G11" s="2">
        <v>287203.78000000003</v>
      </c>
      <c r="H11" s="3">
        <v>286756.34000000003</v>
      </c>
      <c r="I11" s="2">
        <v>284930.27</v>
      </c>
      <c r="J11" s="2">
        <v>284930.27</v>
      </c>
      <c r="K11" s="3">
        <v>282888.09999999998</v>
      </c>
      <c r="L11" s="2">
        <v>279576.51</v>
      </c>
      <c r="M11" s="2">
        <v>277314.07</v>
      </c>
      <c r="N11" s="3">
        <v>277239.07</v>
      </c>
      <c r="O11" s="2">
        <v>277239.07</v>
      </c>
      <c r="P11" s="2">
        <v>277164.07</v>
      </c>
      <c r="Q11" s="3">
        <v>272085.82</v>
      </c>
      <c r="R11" s="2">
        <v>262330.7</v>
      </c>
      <c r="S11" s="2">
        <v>262330.7</v>
      </c>
      <c r="T11" s="3">
        <v>258324.24</v>
      </c>
      <c r="U11" s="2">
        <v>243939.13</v>
      </c>
      <c r="V11" s="2">
        <v>241660.76</v>
      </c>
      <c r="W11" s="3">
        <v>241510.76</v>
      </c>
      <c r="X11" s="2">
        <v>240790.76</v>
      </c>
      <c r="Y11" s="2">
        <v>182393.09000000011</v>
      </c>
      <c r="Z11" s="3">
        <v>148651.7300000001</v>
      </c>
      <c r="AA11" s="2">
        <v>146049.77000000011</v>
      </c>
      <c r="AB11" s="2">
        <v>146049.77000000011</v>
      </c>
      <c r="AC11" s="3">
        <v>136528.8600000001</v>
      </c>
      <c r="AD11" s="2">
        <v>134368.8600000001</v>
      </c>
      <c r="AE11" s="2">
        <v>127688.2600000001</v>
      </c>
      <c r="AF11" s="3">
        <v>124392.44</v>
      </c>
      <c r="AG11" s="2">
        <v>115821.52</v>
      </c>
      <c r="AH11" s="2">
        <v>104419.81</v>
      </c>
      <c r="AI11" s="3">
        <v>85949.85</v>
      </c>
      <c r="AJ11" s="2">
        <v>85799.85</v>
      </c>
      <c r="AK11" s="2">
        <v>83385.570000000007</v>
      </c>
      <c r="AL11" s="3">
        <v>71546.17</v>
      </c>
      <c r="AM11" s="2">
        <v>71546.17</v>
      </c>
      <c r="AN11" s="2">
        <v>69185.95</v>
      </c>
      <c r="AO11" s="3">
        <v>60093.82</v>
      </c>
      <c r="AP11" s="2">
        <v>60093.82</v>
      </c>
      <c r="AQ11" s="2">
        <v>60093.82</v>
      </c>
      <c r="AR11" s="3">
        <v>53352.49</v>
      </c>
      <c r="AS11" s="2">
        <v>49770.64</v>
      </c>
      <c r="AT11" s="2">
        <v>44550.740000000013</v>
      </c>
      <c r="AU11" s="3">
        <v>42262.36</v>
      </c>
      <c r="AV11" s="2">
        <v>41248.959999999999</v>
      </c>
      <c r="AW11" s="2">
        <v>41248.959999999999</v>
      </c>
      <c r="AX11" s="3">
        <v>38208.76</v>
      </c>
      <c r="AY11" s="2">
        <v>38208.76</v>
      </c>
      <c r="AZ11" s="2">
        <v>38208.76</v>
      </c>
      <c r="BA11" s="3">
        <v>38208.76</v>
      </c>
      <c r="BB11" s="2">
        <v>38208.76</v>
      </c>
      <c r="BC11" s="2">
        <v>20068.28</v>
      </c>
      <c r="BD11" s="3">
        <v>18796.259999999998</v>
      </c>
      <c r="BE11" s="2">
        <v>14600.73</v>
      </c>
      <c r="BF11" s="2">
        <v>14600.73</v>
      </c>
      <c r="BG11" s="3">
        <v>13512.32</v>
      </c>
      <c r="BH11" s="2">
        <v>12498.91</v>
      </c>
      <c r="BI11" s="2">
        <v>12498.91</v>
      </c>
      <c r="BJ11" s="3">
        <v>12498.91</v>
      </c>
      <c r="BK11" s="2">
        <v>12498.91</v>
      </c>
      <c r="BL11">
        <v>12498.91</v>
      </c>
    </row>
    <row r="12" spans="1:64" ht="15.5" x14ac:dyDescent="0.35">
      <c r="A12" t="s">
        <v>74</v>
      </c>
      <c r="B12" s="2">
        <v>103501309.2799999</v>
      </c>
      <c r="C12" s="2">
        <v>99015806.99999994</v>
      </c>
      <c r="D12" s="2">
        <v>98069007.159999952</v>
      </c>
      <c r="E12" s="3">
        <v>95450285.469999954</v>
      </c>
      <c r="F12" s="2">
        <v>94579736.079999954</v>
      </c>
      <c r="G12" s="2">
        <v>93905462.059999958</v>
      </c>
      <c r="H12" s="3">
        <v>92975813.299999982</v>
      </c>
      <c r="I12" s="2">
        <v>92558192.939999983</v>
      </c>
      <c r="J12" s="2">
        <v>92558192.939999983</v>
      </c>
      <c r="K12" s="3">
        <v>92082946.259999976</v>
      </c>
      <c r="L12" s="2">
        <v>91157364.909999967</v>
      </c>
      <c r="M12" s="2">
        <v>87054088.789999992</v>
      </c>
      <c r="N12" s="3">
        <v>86865224.539999992</v>
      </c>
      <c r="O12" s="2">
        <v>86865224.539999992</v>
      </c>
      <c r="P12" s="2">
        <v>86585388.520000011</v>
      </c>
      <c r="Q12" s="3">
        <v>85435765.120000005</v>
      </c>
      <c r="R12" s="2">
        <v>83216444.560000002</v>
      </c>
      <c r="S12" s="2">
        <v>83216444.560000002</v>
      </c>
      <c r="T12" s="3">
        <v>81467111.930000022</v>
      </c>
      <c r="U12" s="2">
        <v>78215082.550000042</v>
      </c>
      <c r="V12" s="2">
        <v>77717619.660000056</v>
      </c>
      <c r="W12" s="3">
        <v>76616849.700000048</v>
      </c>
      <c r="X12" s="2">
        <v>75840470.940000042</v>
      </c>
      <c r="Y12" s="2">
        <v>60093320.200000003</v>
      </c>
      <c r="Z12" s="3">
        <v>48264734.909999996</v>
      </c>
      <c r="AA12" s="2">
        <v>47660554.590000004</v>
      </c>
      <c r="AB12" s="2">
        <v>47660554.590000004</v>
      </c>
      <c r="AC12" s="3">
        <v>44767880.899999999</v>
      </c>
      <c r="AD12" s="2">
        <v>41448695.710000008</v>
      </c>
      <c r="AE12" s="2">
        <v>38406843.430000007</v>
      </c>
      <c r="AF12" s="3">
        <v>36593587.640000008</v>
      </c>
      <c r="AG12" s="2">
        <v>34540115.560000002</v>
      </c>
      <c r="AH12" s="2">
        <v>29788728.340000011</v>
      </c>
      <c r="AI12" s="3">
        <v>25242023.800000001</v>
      </c>
      <c r="AJ12" s="2">
        <v>24839714.219999999</v>
      </c>
      <c r="AK12" s="2">
        <v>24291903.850000001</v>
      </c>
      <c r="AL12" s="3">
        <v>21534726.149999999</v>
      </c>
      <c r="AM12" s="2">
        <v>21534726.149999999</v>
      </c>
      <c r="AN12" s="2">
        <v>20974666.829999998</v>
      </c>
      <c r="AO12" s="3">
        <v>18006819.600000001</v>
      </c>
      <c r="AP12" s="2">
        <v>18006819.600000001</v>
      </c>
      <c r="AQ12" s="2">
        <v>18006819.600000001</v>
      </c>
      <c r="AR12" s="3">
        <v>16374461.619999999</v>
      </c>
      <c r="AS12" s="2">
        <v>14661661.76</v>
      </c>
      <c r="AT12" s="2">
        <v>12983969.84</v>
      </c>
      <c r="AU12" s="3">
        <v>11970280.699999999</v>
      </c>
      <c r="AV12" s="2">
        <v>11404305.619999999</v>
      </c>
      <c r="AW12" s="2">
        <v>11404305.619999999</v>
      </c>
      <c r="AX12" s="3">
        <v>9665545.4299999997</v>
      </c>
      <c r="AY12" s="2">
        <v>9665545.4299999997</v>
      </c>
      <c r="AZ12" s="2">
        <v>9665545.4299999997</v>
      </c>
      <c r="BA12" s="3">
        <v>9665545.4299999997</v>
      </c>
      <c r="BB12" s="2">
        <v>9665545.4299999997</v>
      </c>
      <c r="BC12" s="2">
        <v>5114472.38</v>
      </c>
      <c r="BD12" s="3">
        <v>4895585.26</v>
      </c>
      <c r="BE12" s="2">
        <v>4075854.74</v>
      </c>
      <c r="BF12" s="2">
        <v>4075854.74</v>
      </c>
      <c r="BG12" s="3">
        <v>3486050.15</v>
      </c>
      <c r="BH12" s="2">
        <v>2913340</v>
      </c>
      <c r="BI12" s="2">
        <v>2913340</v>
      </c>
      <c r="BJ12" s="3">
        <v>2913340</v>
      </c>
      <c r="BK12" s="2">
        <v>2913340</v>
      </c>
      <c r="BL12">
        <v>2913340</v>
      </c>
    </row>
    <row r="13" spans="1:64" ht="15.5" x14ac:dyDescent="0.35">
      <c r="A13" t="s">
        <v>75</v>
      </c>
      <c r="B13" s="2">
        <v>77404908.719999969</v>
      </c>
      <c r="C13" s="2">
        <v>75630020.089999959</v>
      </c>
      <c r="D13" s="2">
        <v>73854711.759999946</v>
      </c>
      <c r="E13" s="3">
        <v>70942671.469999954</v>
      </c>
      <c r="F13" s="2">
        <v>69185447.149999961</v>
      </c>
      <c r="G13" s="2">
        <v>67531431.979999959</v>
      </c>
      <c r="H13" s="3">
        <v>65972460.839999966</v>
      </c>
      <c r="I13" s="2">
        <v>64477584.589999966</v>
      </c>
      <c r="J13" s="2">
        <v>63240461.649999984</v>
      </c>
      <c r="K13" s="3">
        <v>61707429.269999973</v>
      </c>
      <c r="L13" s="2">
        <v>60179695.759999983</v>
      </c>
      <c r="M13" s="2">
        <v>57024919.05999998</v>
      </c>
      <c r="N13" s="3">
        <v>55764744.469999976</v>
      </c>
      <c r="O13" s="2">
        <v>54587455.509999983</v>
      </c>
      <c r="P13" s="2">
        <v>53277252.329999991</v>
      </c>
      <c r="Q13" s="3">
        <v>51311387.409999982</v>
      </c>
      <c r="R13" s="2">
        <v>48672213.269999981</v>
      </c>
      <c r="S13" s="2">
        <v>47543514.359999977</v>
      </c>
      <c r="T13" s="3">
        <v>45468455.859999977</v>
      </c>
      <c r="U13" s="2">
        <v>43258699.169999987</v>
      </c>
      <c r="V13" s="2">
        <v>42022628.659999996</v>
      </c>
      <c r="W13" s="3">
        <v>40300382.179999992</v>
      </c>
      <c r="X13" s="2">
        <v>38773599.380000003</v>
      </c>
      <c r="Y13" s="2">
        <v>33341545.49000001</v>
      </c>
      <c r="Z13" s="3">
        <v>28015233.620000001</v>
      </c>
      <c r="AA13" s="2">
        <v>27185055.68</v>
      </c>
      <c r="AB13" s="2">
        <v>26690455.460000001</v>
      </c>
      <c r="AC13" s="3">
        <v>24643405.940000009</v>
      </c>
      <c r="AD13" s="2">
        <v>22560630.780000001</v>
      </c>
      <c r="AE13" s="2">
        <v>20701175.850000001</v>
      </c>
      <c r="AF13" s="3">
        <v>19244639.440000009</v>
      </c>
      <c r="AG13" s="2">
        <v>18200942.030000001</v>
      </c>
      <c r="AH13" s="2">
        <v>15680932.82</v>
      </c>
      <c r="AI13" s="3">
        <v>13021670.4</v>
      </c>
      <c r="AJ13" s="2">
        <v>12558103.189999999</v>
      </c>
      <c r="AK13" s="2">
        <v>12017051.83</v>
      </c>
      <c r="AL13" s="3">
        <v>10554279.43</v>
      </c>
      <c r="AM13" s="2">
        <v>10319602.560000001</v>
      </c>
      <c r="AN13" s="2">
        <v>9840527.3999999985</v>
      </c>
      <c r="AO13" s="3">
        <v>8501155.9799999986</v>
      </c>
      <c r="AP13" s="2">
        <v>8301606.0299999984</v>
      </c>
      <c r="AQ13" s="2">
        <v>8102056.0799999982</v>
      </c>
      <c r="AR13" s="3">
        <v>7426519.8299999991</v>
      </c>
      <c r="AS13" s="2">
        <v>6537435.6200000001</v>
      </c>
      <c r="AT13" s="2">
        <v>5602271.2300000004</v>
      </c>
      <c r="AU13" s="3">
        <v>4963958.96</v>
      </c>
      <c r="AV13" s="2">
        <v>4617484.8699999992</v>
      </c>
      <c r="AW13" s="2">
        <v>4485303.379999999</v>
      </c>
      <c r="AX13" s="3">
        <v>3667064.95</v>
      </c>
      <c r="AY13" s="2">
        <v>3552529.790000001</v>
      </c>
      <c r="AZ13" s="2">
        <v>3437994.6300000008</v>
      </c>
      <c r="BA13" s="3">
        <v>3323459.4700000011</v>
      </c>
      <c r="BB13" s="2">
        <v>3208924.310000001</v>
      </c>
      <c r="BC13" s="2">
        <v>1978971.06</v>
      </c>
      <c r="BD13" s="3">
        <v>1877797.62</v>
      </c>
      <c r="BE13" s="2">
        <v>1639990.42</v>
      </c>
      <c r="BF13" s="2">
        <v>1597355.24</v>
      </c>
      <c r="BG13" s="3">
        <v>1307774.67</v>
      </c>
      <c r="BH13" s="2">
        <v>1018890.4</v>
      </c>
      <c r="BI13" s="2">
        <v>987316.24</v>
      </c>
      <c r="BJ13" s="3">
        <v>955742.08000000007</v>
      </c>
      <c r="BK13" s="2">
        <v>924167.91999999993</v>
      </c>
      <c r="BL13">
        <v>892593.76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16</v>
      </c>
      <c r="D15" s="2">
        <v>2</v>
      </c>
      <c r="E15" s="3">
        <v>7</v>
      </c>
      <c r="F15" s="2">
        <v>1</v>
      </c>
      <c r="G15" s="2">
        <v>2</v>
      </c>
      <c r="H15" s="3">
        <v>3</v>
      </c>
      <c r="I15" s="2">
        <v>1</v>
      </c>
      <c r="J15" s="2">
        <v>0</v>
      </c>
      <c r="K15" s="3">
        <v>1</v>
      </c>
      <c r="L15" s="2">
        <v>3</v>
      </c>
      <c r="M15" s="2">
        <v>12</v>
      </c>
      <c r="N15" s="3">
        <v>1</v>
      </c>
      <c r="O15" s="2">
        <v>0</v>
      </c>
      <c r="P15" s="2">
        <v>1</v>
      </c>
      <c r="Q15" s="3">
        <v>2</v>
      </c>
      <c r="R15" s="2">
        <v>4</v>
      </c>
      <c r="S15" s="2">
        <v>0</v>
      </c>
      <c r="T15" s="3">
        <v>4</v>
      </c>
      <c r="U15" s="2">
        <v>5</v>
      </c>
      <c r="V15" s="2">
        <v>1</v>
      </c>
      <c r="W15" s="3">
        <v>2</v>
      </c>
      <c r="X15" s="2">
        <v>2</v>
      </c>
      <c r="Y15" s="2">
        <v>14</v>
      </c>
      <c r="Z15" s="3">
        <v>10</v>
      </c>
      <c r="AA15" s="2">
        <v>1</v>
      </c>
      <c r="AB15" s="2">
        <v>0</v>
      </c>
      <c r="AC15" s="3">
        <v>5</v>
      </c>
      <c r="AD15" s="2">
        <v>6</v>
      </c>
      <c r="AE15" s="2">
        <v>6</v>
      </c>
      <c r="AF15" s="3">
        <v>4</v>
      </c>
      <c r="AG15" s="2">
        <v>2</v>
      </c>
      <c r="AH15" s="2">
        <v>15</v>
      </c>
      <c r="AI15" s="3">
        <v>11</v>
      </c>
      <c r="AJ15" s="2">
        <v>2</v>
      </c>
      <c r="AK15" s="2">
        <v>1</v>
      </c>
      <c r="AL15" s="3">
        <v>5</v>
      </c>
      <c r="AM15" s="2">
        <v>0</v>
      </c>
      <c r="AN15" s="2">
        <v>1</v>
      </c>
      <c r="AO15" s="3">
        <v>6</v>
      </c>
      <c r="AP15" s="2">
        <v>0</v>
      </c>
      <c r="AQ15" s="2">
        <v>0</v>
      </c>
      <c r="AR15" s="3">
        <v>2</v>
      </c>
      <c r="AS15" s="2">
        <v>3</v>
      </c>
      <c r="AT15" s="2">
        <v>3</v>
      </c>
      <c r="AU15" s="3">
        <v>2</v>
      </c>
      <c r="AV15" s="2">
        <v>1</v>
      </c>
      <c r="AW15" s="2">
        <v>0</v>
      </c>
      <c r="AX15" s="3">
        <v>3</v>
      </c>
      <c r="AY15" s="2">
        <v>0</v>
      </c>
      <c r="AZ15" s="2">
        <v>0</v>
      </c>
      <c r="BA15" s="3">
        <v>0</v>
      </c>
      <c r="BB15" s="2">
        <v>0</v>
      </c>
      <c r="BC15" s="2">
        <v>2</v>
      </c>
      <c r="BD15" s="3">
        <v>1</v>
      </c>
      <c r="BE15" s="2">
        <v>2</v>
      </c>
      <c r="BF15" s="2">
        <v>0</v>
      </c>
      <c r="BG15" s="3">
        <v>1</v>
      </c>
      <c r="BH15" s="2">
        <v>1</v>
      </c>
      <c r="BI15" s="2">
        <v>0</v>
      </c>
      <c r="BJ15" s="3">
        <v>0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0</v>
      </c>
      <c r="E16" s="3">
        <v>0</v>
      </c>
      <c r="F16" s="2">
        <v>1</v>
      </c>
      <c r="G16" s="2">
        <v>0</v>
      </c>
      <c r="H16" s="3">
        <v>0</v>
      </c>
      <c r="I16" s="2">
        <v>0</v>
      </c>
      <c r="J16" s="2">
        <v>0</v>
      </c>
      <c r="K16" s="3">
        <v>0</v>
      </c>
      <c r="L16" s="2">
        <v>0</v>
      </c>
      <c r="M16" s="2">
        <v>0</v>
      </c>
      <c r="N16" s="3">
        <v>0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1</v>
      </c>
      <c r="V16" s="2">
        <v>0</v>
      </c>
      <c r="W16" s="3">
        <v>0</v>
      </c>
      <c r="X16" s="2">
        <v>0</v>
      </c>
      <c r="Y16" s="2">
        <v>0</v>
      </c>
      <c r="Z16" s="3">
        <v>5</v>
      </c>
      <c r="AA16" s="2">
        <v>0</v>
      </c>
      <c r="AB16" s="2">
        <v>0</v>
      </c>
      <c r="AC16" s="3">
        <v>0</v>
      </c>
      <c r="AD16" s="2">
        <v>0</v>
      </c>
      <c r="AE16" s="2">
        <v>0</v>
      </c>
      <c r="AF16" s="3">
        <v>0</v>
      </c>
      <c r="AG16" s="2">
        <v>1</v>
      </c>
      <c r="AH16" s="2">
        <v>0</v>
      </c>
      <c r="AI16" s="3">
        <v>0</v>
      </c>
      <c r="AJ16" s="2">
        <v>0</v>
      </c>
      <c r="AK16" s="2">
        <v>0</v>
      </c>
      <c r="AL16" s="3">
        <v>0</v>
      </c>
      <c r="AM16" s="2">
        <v>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0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1</v>
      </c>
      <c r="BD16" s="3">
        <v>0</v>
      </c>
      <c r="BE16" s="2">
        <v>0</v>
      </c>
      <c r="BF16" s="2">
        <v>0</v>
      </c>
      <c r="BG16" s="3">
        <v>0</v>
      </c>
      <c r="BH16" s="2">
        <v>0</v>
      </c>
      <c r="BI16" s="2">
        <v>0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16"/>
  <sheetViews>
    <sheetView workbookViewId="0">
      <selection activeCell="F17" sqref="F17"/>
    </sheetView>
  </sheetViews>
  <sheetFormatPr defaultRowHeight="14.5" x14ac:dyDescent="0.35"/>
  <cols>
    <col min="1" max="1" width="16.6328125" bestFit="1" customWidth="1"/>
    <col min="2" max="4" width="14.453125" bestFit="1" customWidth="1"/>
    <col min="5" max="5" width="13.54296875" bestFit="1" customWidth="1"/>
    <col min="6" max="7" width="14.453125" bestFit="1" customWidth="1"/>
    <col min="8" max="8" width="13.54296875" bestFit="1" customWidth="1"/>
    <col min="9" max="10" width="14.453125" bestFit="1" customWidth="1"/>
    <col min="11" max="11" width="13.54296875" bestFit="1" customWidth="1"/>
    <col min="12" max="13" width="14.453125" bestFit="1" customWidth="1"/>
    <col min="14" max="14" width="13.54296875" bestFit="1" customWidth="1"/>
    <col min="15" max="16" width="14.453125" bestFit="1" customWidth="1"/>
    <col min="17" max="17" width="13.54296875" bestFit="1" customWidth="1"/>
    <col min="18" max="19" width="14.453125" bestFit="1" customWidth="1"/>
    <col min="20" max="20" width="13.54296875" bestFit="1" customWidth="1"/>
    <col min="21" max="22" width="14.453125" bestFit="1" customWidth="1"/>
    <col min="23" max="23" width="13.54296875" bestFit="1" customWidth="1"/>
    <col min="24" max="25" width="14.453125" bestFit="1" customWidth="1"/>
    <col min="26" max="26" width="13.54296875" bestFit="1" customWidth="1"/>
    <col min="27" max="28" width="14.453125" bestFit="1" customWidth="1"/>
    <col min="29" max="29" width="13.54296875" bestFit="1" customWidth="1"/>
    <col min="30" max="31" width="14.453125" bestFit="1" customWidth="1"/>
    <col min="32" max="32" width="13.54296875" bestFit="1" customWidth="1"/>
    <col min="33" max="34" width="14.453125" bestFit="1" customWidth="1"/>
    <col min="35" max="35" width="13.54296875" bestFit="1" customWidth="1"/>
    <col min="36" max="37" width="14.453125" bestFit="1" customWidth="1"/>
    <col min="38" max="38" width="13.54296875" bestFit="1" customWidth="1"/>
    <col min="39" max="40" width="14.453125" bestFit="1" customWidth="1"/>
    <col min="41" max="41" width="13.54296875" bestFit="1" customWidth="1"/>
    <col min="42" max="43" width="14.453125" bestFit="1" customWidth="1"/>
    <col min="44" max="44" width="12.453125" bestFit="1" customWidth="1"/>
    <col min="45" max="46" width="13.36328125" bestFit="1" customWidth="1"/>
    <col min="47" max="47" width="12.453125" bestFit="1" customWidth="1"/>
    <col min="48" max="49" width="13.36328125" bestFit="1" customWidth="1"/>
    <col min="50" max="50" width="12.453125" bestFit="1" customWidth="1"/>
    <col min="51" max="52" width="13.36328125" bestFit="1" customWidth="1"/>
    <col min="53" max="53" width="12.453125" bestFit="1" customWidth="1"/>
    <col min="54" max="55" width="13.36328125" bestFit="1" customWidth="1"/>
    <col min="56" max="56" width="12.453125" bestFit="1" customWidth="1"/>
    <col min="57" max="58" width="13.36328125" bestFit="1" customWidth="1"/>
    <col min="59" max="59" width="11.453125" bestFit="1" customWidth="1"/>
    <col min="60" max="60" width="12.1796875" bestFit="1" customWidth="1"/>
    <col min="61" max="64" width="10.4531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257</v>
      </c>
      <c r="C2" s="2">
        <v>238</v>
      </c>
      <c r="D2" s="2">
        <v>237</v>
      </c>
      <c r="E2" s="3">
        <v>232</v>
      </c>
      <c r="F2" s="2">
        <v>231</v>
      </c>
      <c r="G2" s="2">
        <v>224</v>
      </c>
      <c r="H2" s="3">
        <v>222</v>
      </c>
      <c r="I2" s="2">
        <v>220</v>
      </c>
      <c r="J2" s="2">
        <v>218</v>
      </c>
      <c r="K2" s="3">
        <v>218</v>
      </c>
      <c r="L2" s="2">
        <v>208</v>
      </c>
      <c r="M2" s="2">
        <v>208</v>
      </c>
      <c r="N2" s="3">
        <v>205</v>
      </c>
      <c r="O2" s="2">
        <v>204</v>
      </c>
      <c r="P2" s="2">
        <v>203</v>
      </c>
      <c r="Q2" s="3">
        <v>203</v>
      </c>
      <c r="R2" s="2">
        <v>202</v>
      </c>
      <c r="S2" s="2">
        <v>202</v>
      </c>
      <c r="T2" s="3">
        <v>193</v>
      </c>
      <c r="U2" s="2">
        <v>181</v>
      </c>
      <c r="V2" s="2">
        <v>180</v>
      </c>
      <c r="W2" s="3">
        <v>153</v>
      </c>
      <c r="X2" s="2">
        <v>140</v>
      </c>
      <c r="Y2" s="2">
        <v>122</v>
      </c>
      <c r="Z2" s="3">
        <v>122</v>
      </c>
      <c r="AA2" s="2">
        <v>114</v>
      </c>
      <c r="AB2" s="2">
        <v>108</v>
      </c>
      <c r="AC2" s="3">
        <v>106</v>
      </c>
      <c r="AD2" s="2">
        <v>102</v>
      </c>
      <c r="AE2" s="2">
        <v>98</v>
      </c>
      <c r="AF2" s="3">
        <v>93</v>
      </c>
      <c r="AG2" s="2">
        <v>93</v>
      </c>
      <c r="AH2" s="2">
        <v>93</v>
      </c>
      <c r="AI2" s="3">
        <v>80</v>
      </c>
      <c r="AJ2" s="2">
        <v>68</v>
      </c>
      <c r="AK2" s="2">
        <v>67</v>
      </c>
      <c r="AL2" s="3">
        <v>62</v>
      </c>
      <c r="AM2" s="2">
        <v>58</v>
      </c>
      <c r="AN2" s="2">
        <v>57</v>
      </c>
      <c r="AO2" s="3">
        <v>57</v>
      </c>
      <c r="AP2" s="2">
        <v>57</v>
      </c>
      <c r="AQ2" s="2">
        <v>55</v>
      </c>
      <c r="AR2" s="3">
        <v>51</v>
      </c>
      <c r="AS2" s="2">
        <v>49</v>
      </c>
      <c r="AT2" s="2">
        <v>37</v>
      </c>
      <c r="AU2" s="3">
        <v>30</v>
      </c>
      <c r="AV2" s="2">
        <v>29</v>
      </c>
      <c r="AW2" s="2">
        <v>29</v>
      </c>
      <c r="AX2" s="3">
        <v>27</v>
      </c>
      <c r="AY2" s="2">
        <v>27</v>
      </c>
      <c r="AZ2" s="2">
        <v>25</v>
      </c>
      <c r="BA2" s="3">
        <v>23</v>
      </c>
      <c r="BB2" s="2">
        <v>23</v>
      </c>
      <c r="BC2" s="2">
        <v>22</v>
      </c>
      <c r="BD2" s="3">
        <v>22</v>
      </c>
      <c r="BE2" s="2">
        <v>22</v>
      </c>
      <c r="BF2" s="2">
        <v>17</v>
      </c>
      <c r="BG2" s="3">
        <v>7</v>
      </c>
      <c r="BH2" s="2">
        <v>7</v>
      </c>
      <c r="BI2" s="2">
        <v>0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36</v>
      </c>
      <c r="C3" s="2">
        <v>36</v>
      </c>
      <c r="D3" s="2">
        <v>34</v>
      </c>
      <c r="E3" s="3">
        <v>34</v>
      </c>
      <c r="F3" s="2">
        <v>33</v>
      </c>
      <c r="G3" s="2">
        <v>33</v>
      </c>
      <c r="H3" s="3">
        <v>32</v>
      </c>
      <c r="I3" s="2">
        <v>30</v>
      </c>
      <c r="J3" s="2">
        <v>30</v>
      </c>
      <c r="K3" s="3">
        <v>28</v>
      </c>
      <c r="L3" s="2">
        <v>28</v>
      </c>
      <c r="M3" s="2">
        <v>18</v>
      </c>
      <c r="N3" s="3">
        <v>18</v>
      </c>
      <c r="O3" s="2">
        <v>18</v>
      </c>
      <c r="P3" s="2">
        <v>18</v>
      </c>
      <c r="Q3" s="3">
        <v>18</v>
      </c>
      <c r="R3" s="2">
        <v>18</v>
      </c>
      <c r="S3" s="2">
        <v>18</v>
      </c>
      <c r="T3" s="3">
        <v>18</v>
      </c>
      <c r="U3" s="2">
        <v>16</v>
      </c>
      <c r="V3" s="2">
        <v>16</v>
      </c>
      <c r="W3" s="3">
        <v>16</v>
      </c>
      <c r="X3" s="2">
        <v>16</v>
      </c>
      <c r="Y3" s="2">
        <v>16</v>
      </c>
      <c r="Z3" s="3">
        <v>16</v>
      </c>
      <c r="AA3" s="2">
        <v>14</v>
      </c>
      <c r="AB3" s="2">
        <v>10</v>
      </c>
      <c r="AC3" s="3">
        <v>9</v>
      </c>
      <c r="AD3" s="2">
        <v>9</v>
      </c>
      <c r="AE3" s="2">
        <v>9</v>
      </c>
      <c r="AF3" s="3">
        <v>9</v>
      </c>
      <c r="AG3" s="2">
        <v>7</v>
      </c>
      <c r="AH3" s="2">
        <v>7</v>
      </c>
      <c r="AI3" s="3">
        <v>5</v>
      </c>
      <c r="AJ3" s="2">
        <v>4</v>
      </c>
      <c r="AK3" s="2">
        <v>1</v>
      </c>
      <c r="AL3" s="3">
        <v>1</v>
      </c>
      <c r="AM3" s="2">
        <v>1</v>
      </c>
      <c r="AN3" s="2">
        <v>1</v>
      </c>
      <c r="AO3" s="3">
        <v>0</v>
      </c>
      <c r="AP3" s="2">
        <v>0</v>
      </c>
      <c r="AQ3" s="2">
        <v>0</v>
      </c>
      <c r="AR3" s="3">
        <v>0</v>
      </c>
      <c r="AS3" s="2">
        <v>0</v>
      </c>
      <c r="AT3" s="2">
        <v>0</v>
      </c>
      <c r="AU3" s="3">
        <v>0</v>
      </c>
      <c r="AV3" s="2">
        <v>0</v>
      </c>
      <c r="AW3" s="2">
        <v>0</v>
      </c>
      <c r="AX3" s="3">
        <v>0</v>
      </c>
      <c r="AY3" s="2">
        <v>0</v>
      </c>
      <c r="AZ3" s="2">
        <v>0</v>
      </c>
      <c r="BA3" s="3">
        <v>0</v>
      </c>
      <c r="BB3" s="2">
        <v>0</v>
      </c>
      <c r="BC3" s="2">
        <v>0</v>
      </c>
      <c r="BD3" s="3">
        <v>0</v>
      </c>
      <c r="BE3" s="2">
        <v>0</v>
      </c>
      <c r="BF3" s="2">
        <v>0</v>
      </c>
      <c r="BG3" s="3">
        <v>0</v>
      </c>
      <c r="BH3" s="2">
        <v>0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22807644.549999971</v>
      </c>
      <c r="C5" s="2">
        <v>21662615.079999968</v>
      </c>
      <c r="D5" s="2">
        <v>21266685.01999997</v>
      </c>
      <c r="E5" s="3">
        <v>20920124.889999971</v>
      </c>
      <c r="F5" s="2">
        <v>20662883.42999997</v>
      </c>
      <c r="G5" s="2">
        <v>20262628.169999968</v>
      </c>
      <c r="H5" s="3">
        <v>20017323.169999961</v>
      </c>
      <c r="I5" s="2">
        <v>19672711.309999969</v>
      </c>
      <c r="J5" s="2">
        <v>19447909.719999969</v>
      </c>
      <c r="K5" s="3">
        <v>19287648.639999971</v>
      </c>
      <c r="L5" s="2">
        <v>18708682.80999998</v>
      </c>
      <c r="M5" s="2">
        <v>17597523.309999991</v>
      </c>
      <c r="N5" s="3">
        <v>17363352.149999991</v>
      </c>
      <c r="O5" s="2">
        <v>17285511.789999999</v>
      </c>
      <c r="P5" s="2">
        <v>17231286.809999991</v>
      </c>
      <c r="Q5" s="3">
        <v>17231286.809999991</v>
      </c>
      <c r="R5" s="2">
        <v>17147140.919999991</v>
      </c>
      <c r="S5" s="2">
        <v>17147140.919999991</v>
      </c>
      <c r="T5" s="3">
        <v>16292494.10999999</v>
      </c>
      <c r="U5" s="2">
        <v>15185445.479999989</v>
      </c>
      <c r="V5" s="2">
        <v>15115097.11999999</v>
      </c>
      <c r="W5" s="3">
        <v>13828765.139999989</v>
      </c>
      <c r="X5" s="2">
        <v>13053369.689999999</v>
      </c>
      <c r="Y5" s="2">
        <v>11979650.24</v>
      </c>
      <c r="Z5" s="3">
        <v>11979650.24</v>
      </c>
      <c r="AA5" s="2">
        <v>11331219.26</v>
      </c>
      <c r="AB5" s="2">
        <v>10231818.460000001</v>
      </c>
      <c r="AC5" s="3">
        <v>10115686.279999999</v>
      </c>
      <c r="AD5" s="2">
        <v>9833919.3599999994</v>
      </c>
      <c r="AE5" s="2">
        <v>9123181.7700000014</v>
      </c>
      <c r="AF5" s="3">
        <v>8478120.1500000022</v>
      </c>
      <c r="AG5" s="2">
        <v>8248958.3900000025</v>
      </c>
      <c r="AH5" s="2">
        <v>8248958.3900000025</v>
      </c>
      <c r="AI5" s="3">
        <v>7172329.3600000031</v>
      </c>
      <c r="AJ5" s="2">
        <v>6184661.3800000008</v>
      </c>
      <c r="AK5" s="2">
        <v>5776927.669999999</v>
      </c>
      <c r="AL5" s="3">
        <v>5461498.0999999987</v>
      </c>
      <c r="AM5" s="2">
        <v>5160698.1199999992</v>
      </c>
      <c r="AN5" s="2">
        <v>5119423.0399999991</v>
      </c>
      <c r="AO5" s="3">
        <v>5041121.9299999988</v>
      </c>
      <c r="AP5" s="2">
        <v>5041121.9299999988</v>
      </c>
      <c r="AQ5" s="2">
        <v>4907550.9399999985</v>
      </c>
      <c r="AR5" s="3">
        <v>4544621.1199999992</v>
      </c>
      <c r="AS5" s="2">
        <v>4464979.4399999985</v>
      </c>
      <c r="AT5" s="2">
        <v>3745783.02</v>
      </c>
      <c r="AU5" s="3">
        <v>3130131.2399999988</v>
      </c>
      <c r="AV5" s="2">
        <v>3044825.8299999991</v>
      </c>
      <c r="AW5" s="2">
        <v>3044825.8299999991</v>
      </c>
      <c r="AX5" s="3">
        <v>2756367.72</v>
      </c>
      <c r="AY5" s="2">
        <v>2756367.72</v>
      </c>
      <c r="AZ5" s="2">
        <v>2514361.23</v>
      </c>
      <c r="BA5" s="3">
        <v>2344771.67</v>
      </c>
      <c r="BB5" s="2">
        <v>2344771.67</v>
      </c>
      <c r="BC5" s="2">
        <v>2304950.830000001</v>
      </c>
      <c r="BD5" s="3">
        <v>2304950.830000001</v>
      </c>
      <c r="BE5" s="2">
        <v>2304950.830000001</v>
      </c>
      <c r="BF5" s="2">
        <v>1993741.95</v>
      </c>
      <c r="BG5" s="3">
        <v>353701.25</v>
      </c>
      <c r="BH5" s="2">
        <v>353701.25</v>
      </c>
      <c r="BI5" s="2">
        <v>0</v>
      </c>
      <c r="BJ5" s="3">
        <v>0</v>
      </c>
      <c r="BK5" s="2">
        <v>0</v>
      </c>
      <c r="BL5">
        <v>0</v>
      </c>
    </row>
    <row r="6" spans="1:64" ht="15.5" x14ac:dyDescent="0.35">
      <c r="A6" t="s">
        <v>68</v>
      </c>
      <c r="B6" s="2">
        <v>9276224.3899999931</v>
      </c>
      <c r="C6" s="2">
        <v>8861310.8199999835</v>
      </c>
      <c r="D6" s="2">
        <v>8614082.7199999876</v>
      </c>
      <c r="E6" s="3">
        <v>8478914.1599999908</v>
      </c>
      <c r="F6" s="2">
        <v>8340043.6499999939</v>
      </c>
      <c r="G6" s="2">
        <v>8190155.349999994</v>
      </c>
      <c r="H6" s="3">
        <v>8083625.8699999955</v>
      </c>
      <c r="I6" s="2">
        <v>7931354.679999995</v>
      </c>
      <c r="J6" s="2">
        <v>7819080.3399999952</v>
      </c>
      <c r="K6" s="3">
        <v>7745362.3999999957</v>
      </c>
      <c r="L6" s="2">
        <v>7496120.0599999949</v>
      </c>
      <c r="M6" s="2">
        <v>6983620.0599999949</v>
      </c>
      <c r="N6" s="3">
        <v>6869273.8399999943</v>
      </c>
      <c r="O6" s="2">
        <v>6840171.1799999941</v>
      </c>
      <c r="P6" s="2">
        <v>6819368.6199999955</v>
      </c>
      <c r="Q6" s="3">
        <v>6819368.6199999955</v>
      </c>
      <c r="R6" s="2">
        <v>6783243.6199999955</v>
      </c>
      <c r="S6" s="2">
        <v>6783243.6199999955</v>
      </c>
      <c r="T6" s="3">
        <v>6395964.3699999955</v>
      </c>
      <c r="U6" s="2">
        <v>5945152.8599999975</v>
      </c>
      <c r="V6" s="2">
        <v>5919635.2999999989</v>
      </c>
      <c r="W6" s="3">
        <v>5425613.8700000038</v>
      </c>
      <c r="X6" s="2">
        <v>5135828.3500000043</v>
      </c>
      <c r="Y6" s="2">
        <v>4757021.070000005</v>
      </c>
      <c r="Z6" s="3">
        <v>4757021.070000005</v>
      </c>
      <c r="AA6" s="2">
        <v>4491374.3900000025</v>
      </c>
      <c r="AB6" s="2">
        <v>3975788.7199999979</v>
      </c>
      <c r="AC6" s="3">
        <v>3934029.6999999979</v>
      </c>
      <c r="AD6" s="2">
        <v>3798916.509999997</v>
      </c>
      <c r="AE6" s="2">
        <v>3420424.149999998</v>
      </c>
      <c r="AF6" s="3">
        <v>3064516.919999999</v>
      </c>
      <c r="AG6" s="2">
        <v>2957329.419999999</v>
      </c>
      <c r="AH6" s="2">
        <v>2957329.419999999</v>
      </c>
      <c r="AI6" s="3">
        <v>2523239.7299999991</v>
      </c>
      <c r="AJ6" s="2">
        <v>2093755.2200000021</v>
      </c>
      <c r="AK6" s="2">
        <v>1904541.8400000019</v>
      </c>
      <c r="AL6" s="3">
        <v>1771265.5000000021</v>
      </c>
      <c r="AM6" s="2">
        <v>1641969.110000002</v>
      </c>
      <c r="AN6" s="2">
        <v>1627865.8000000019</v>
      </c>
      <c r="AO6" s="3">
        <v>1587214.5900000019</v>
      </c>
      <c r="AP6" s="2">
        <v>1587214.5900000019</v>
      </c>
      <c r="AQ6" s="2">
        <v>1538203.660000002</v>
      </c>
      <c r="AR6" s="3">
        <v>1391057.870000002</v>
      </c>
      <c r="AS6" s="2">
        <v>1364503.6500000011</v>
      </c>
      <c r="AT6" s="2">
        <v>1090712.97</v>
      </c>
      <c r="AU6" s="3">
        <v>867671.76</v>
      </c>
      <c r="AV6" s="2">
        <v>836976.22</v>
      </c>
      <c r="AW6" s="2">
        <v>836976.22</v>
      </c>
      <c r="AX6" s="3">
        <v>704250.35999999975</v>
      </c>
      <c r="AY6" s="2">
        <v>704250.35999999975</v>
      </c>
      <c r="AZ6" s="2">
        <v>608270.95999999973</v>
      </c>
      <c r="BA6" s="3">
        <v>543180.71999999974</v>
      </c>
      <c r="BB6" s="2">
        <v>543180.71999999974</v>
      </c>
      <c r="BC6" s="2">
        <v>529903.60999999975</v>
      </c>
      <c r="BD6" s="3">
        <v>529903.60999999975</v>
      </c>
      <c r="BE6" s="2">
        <v>529903.60999999975</v>
      </c>
      <c r="BF6" s="2">
        <v>420991.28999999992</v>
      </c>
      <c r="BG6" s="3">
        <v>111939.59</v>
      </c>
      <c r="BH6" s="2">
        <v>111939.59</v>
      </c>
      <c r="BI6" s="2">
        <v>0</v>
      </c>
      <c r="BJ6" s="3">
        <v>0</v>
      </c>
      <c r="BK6" s="2">
        <v>0</v>
      </c>
      <c r="BL6">
        <v>0</v>
      </c>
    </row>
    <row r="7" spans="1:64" ht="15.5" x14ac:dyDescent="0.35">
      <c r="A7" t="s">
        <v>69</v>
      </c>
      <c r="B7" s="2">
        <v>7012245.620000002</v>
      </c>
      <c r="C7" s="2">
        <v>6763848.7800000077</v>
      </c>
      <c r="D7" s="2">
        <v>6660989.7600000082</v>
      </c>
      <c r="E7" s="3">
        <v>6531138.4800000088</v>
      </c>
      <c r="F7" s="2">
        <v>6445075.3200000087</v>
      </c>
      <c r="G7" s="2">
        <v>6331742.7400000086</v>
      </c>
      <c r="H7" s="3">
        <v>6241639.1100000078</v>
      </c>
      <c r="I7" s="2">
        <v>6137534.8500000071</v>
      </c>
      <c r="J7" s="2">
        <v>6067100.5300000058</v>
      </c>
      <c r="K7" s="3">
        <v>5999982.9400000051</v>
      </c>
      <c r="L7" s="2">
        <v>5827310.6800000044</v>
      </c>
      <c r="M7" s="2">
        <v>5360697.4800000014</v>
      </c>
      <c r="N7" s="3">
        <v>5308203.7200000007</v>
      </c>
      <c r="O7" s="2">
        <v>5279651.5500000007</v>
      </c>
      <c r="P7" s="2">
        <v>5260461.1000000006</v>
      </c>
      <c r="Q7" s="3">
        <v>5260461.1000000006</v>
      </c>
      <c r="R7" s="2">
        <v>5227570.5600000015</v>
      </c>
      <c r="S7" s="2">
        <v>5227570.5600000015</v>
      </c>
      <c r="T7" s="3">
        <v>4947052.3899999997</v>
      </c>
      <c r="U7" s="2">
        <v>4565103.3599999994</v>
      </c>
      <c r="V7" s="2">
        <v>4536686.72</v>
      </c>
      <c r="W7" s="3">
        <v>4081242.899999999</v>
      </c>
      <c r="X7" s="2">
        <v>3833767.169999999</v>
      </c>
      <c r="Y7" s="2">
        <v>3473170.74</v>
      </c>
      <c r="Z7" s="3">
        <v>3473170.74</v>
      </c>
      <c r="AA7" s="2">
        <v>3245148.1400000011</v>
      </c>
      <c r="AB7" s="2">
        <v>2898459.459999999</v>
      </c>
      <c r="AC7" s="3">
        <v>2857118.649999999</v>
      </c>
      <c r="AD7" s="2">
        <v>2782254.9499999979</v>
      </c>
      <c r="AE7" s="2">
        <v>2609806.1099999971</v>
      </c>
      <c r="AF7" s="3">
        <v>2466410.9599999972</v>
      </c>
      <c r="AG7" s="2">
        <v>2369422.299999997</v>
      </c>
      <c r="AH7" s="2">
        <v>2369422.299999997</v>
      </c>
      <c r="AI7" s="3">
        <v>2026196.639999999</v>
      </c>
      <c r="AJ7" s="2">
        <v>1727301.8</v>
      </c>
      <c r="AK7" s="2">
        <v>1564575.6500000011</v>
      </c>
      <c r="AL7" s="3">
        <v>1474617.3900000011</v>
      </c>
      <c r="AM7" s="2">
        <v>1387926.6300000011</v>
      </c>
      <c r="AN7" s="2">
        <v>1374493.860000001</v>
      </c>
      <c r="AO7" s="3">
        <v>1345557.4900000009</v>
      </c>
      <c r="AP7" s="2">
        <v>1345557.4900000009</v>
      </c>
      <c r="AQ7" s="2">
        <v>1309473.040000001</v>
      </c>
      <c r="AR7" s="3">
        <v>1168331.5100000009</v>
      </c>
      <c r="AS7" s="2">
        <v>1142884.9900000009</v>
      </c>
      <c r="AT7" s="2">
        <v>905428.61000000057</v>
      </c>
      <c r="AU7" s="3">
        <v>671937.01000000024</v>
      </c>
      <c r="AV7" s="2">
        <v>639736.2200000002</v>
      </c>
      <c r="AW7" s="2">
        <v>639736.2200000002</v>
      </c>
      <c r="AX7" s="3">
        <v>538213.39999999991</v>
      </c>
      <c r="AY7" s="2">
        <v>538213.39999999991</v>
      </c>
      <c r="AZ7" s="2">
        <v>455655.39999999979</v>
      </c>
      <c r="BA7" s="3">
        <v>404504.39999999979</v>
      </c>
      <c r="BB7" s="2">
        <v>404504.39999999979</v>
      </c>
      <c r="BC7" s="2">
        <v>391781.13999999978</v>
      </c>
      <c r="BD7" s="3">
        <v>391781.13999999978</v>
      </c>
      <c r="BE7" s="2">
        <v>391781.13999999978</v>
      </c>
      <c r="BF7" s="2">
        <v>314057.58</v>
      </c>
      <c r="BG7" s="3">
        <v>112444.78</v>
      </c>
      <c r="BH7" s="2">
        <v>112444.78</v>
      </c>
      <c r="BI7" s="2">
        <v>0</v>
      </c>
      <c r="BJ7" s="3">
        <v>0</v>
      </c>
      <c r="BK7" s="2">
        <v>0</v>
      </c>
      <c r="BL7">
        <v>0</v>
      </c>
    </row>
    <row r="8" spans="1:64" ht="15.5" x14ac:dyDescent="0.35">
      <c r="A8" t="s">
        <v>70</v>
      </c>
      <c r="B8" s="2">
        <v>1800220.330000001</v>
      </c>
      <c r="C8" s="2">
        <v>1729073.68</v>
      </c>
      <c r="D8" s="2">
        <v>1702573.340000001</v>
      </c>
      <c r="E8" s="3">
        <v>1671184.540000001</v>
      </c>
      <c r="F8" s="2">
        <v>1648150.360000001</v>
      </c>
      <c r="G8" s="2">
        <v>1618094.610000001</v>
      </c>
      <c r="H8" s="3">
        <v>1595490.900000002</v>
      </c>
      <c r="I8" s="2">
        <v>1574874.2900000019</v>
      </c>
      <c r="J8" s="2">
        <v>1556563.3300000019</v>
      </c>
      <c r="K8" s="3">
        <v>1539362.4800000021</v>
      </c>
      <c r="L8" s="2">
        <v>1483407.3100000019</v>
      </c>
      <c r="M8" s="2">
        <v>1363824.0100000021</v>
      </c>
      <c r="N8" s="3">
        <v>1342211.7200000021</v>
      </c>
      <c r="O8" s="2">
        <v>1335503.390000002</v>
      </c>
      <c r="P8" s="2">
        <v>1330674.2300000021</v>
      </c>
      <c r="Q8" s="3">
        <v>1330674.2300000021</v>
      </c>
      <c r="R8" s="2">
        <v>1322245.0700000019</v>
      </c>
      <c r="S8" s="2">
        <v>1322245.0700000019</v>
      </c>
      <c r="T8" s="3">
        <v>1250830.0300000019</v>
      </c>
      <c r="U8" s="2">
        <v>1151793.8400000001</v>
      </c>
      <c r="V8" s="2">
        <v>1144852.179999999</v>
      </c>
      <c r="W8" s="3">
        <v>1028030.899999998</v>
      </c>
      <c r="X8" s="2">
        <v>965297.09999999776</v>
      </c>
      <c r="Y8" s="2">
        <v>875274.2799999984</v>
      </c>
      <c r="Z8" s="3">
        <v>875274.2799999984</v>
      </c>
      <c r="AA8" s="2">
        <v>817870.9199999983</v>
      </c>
      <c r="AB8" s="2">
        <v>735446.03999999852</v>
      </c>
      <c r="AC8" s="3">
        <v>717978.84999999881</v>
      </c>
      <c r="AD8" s="2">
        <v>705948.19999999902</v>
      </c>
      <c r="AE8" s="2">
        <v>655395.90999999945</v>
      </c>
      <c r="AF8" s="3">
        <v>604658.36999999976</v>
      </c>
      <c r="AG8" s="2">
        <v>584650.04999999981</v>
      </c>
      <c r="AH8" s="2">
        <v>584650.04999999981</v>
      </c>
      <c r="AI8" s="3">
        <v>504464.85000000062</v>
      </c>
      <c r="AJ8" s="2">
        <v>421673.54000000033</v>
      </c>
      <c r="AK8" s="2">
        <v>386684.98</v>
      </c>
      <c r="AL8" s="3">
        <v>362438.2</v>
      </c>
      <c r="AM8" s="2">
        <v>339489.13000000012</v>
      </c>
      <c r="AN8" s="2">
        <v>336600.13000000012</v>
      </c>
      <c r="AO8" s="3">
        <v>330132.90000000008</v>
      </c>
      <c r="AP8" s="2">
        <v>330132.90000000008</v>
      </c>
      <c r="AQ8" s="2">
        <v>321470.94000000012</v>
      </c>
      <c r="AR8" s="3">
        <v>291187.03999999998</v>
      </c>
      <c r="AS8" s="2">
        <v>285725.40000000002</v>
      </c>
      <c r="AT8" s="2">
        <v>232505.15</v>
      </c>
      <c r="AU8" s="3">
        <v>180467.98</v>
      </c>
      <c r="AV8" s="2">
        <v>173306.65000000011</v>
      </c>
      <c r="AW8" s="2">
        <v>173306.65000000011</v>
      </c>
      <c r="AX8" s="3">
        <v>147270.21000000011</v>
      </c>
      <c r="AY8" s="2">
        <v>147270.21000000011</v>
      </c>
      <c r="AZ8" s="2">
        <v>126501.12</v>
      </c>
      <c r="BA8" s="3">
        <v>113232.1</v>
      </c>
      <c r="BB8" s="2">
        <v>113232.1</v>
      </c>
      <c r="BC8" s="2">
        <v>110501.28</v>
      </c>
      <c r="BD8" s="3">
        <v>110501.28</v>
      </c>
      <c r="BE8" s="2">
        <v>110501.28</v>
      </c>
      <c r="BF8" s="2">
        <v>88078.18</v>
      </c>
      <c r="BG8" s="3">
        <v>27984.880000000001</v>
      </c>
      <c r="BH8" s="2">
        <v>27984.880000000001</v>
      </c>
      <c r="BI8" s="2">
        <v>0</v>
      </c>
      <c r="BJ8" s="3">
        <v>0</v>
      </c>
      <c r="BK8" s="2">
        <v>0</v>
      </c>
      <c r="BL8">
        <v>0</v>
      </c>
    </row>
    <row r="9" spans="1:64" ht="15.5" x14ac:dyDescent="0.35">
      <c r="A9" t="s">
        <v>71</v>
      </c>
      <c r="B9" s="2">
        <v>87574401.879999936</v>
      </c>
      <c r="C9" s="2">
        <v>70819961.139999926</v>
      </c>
      <c r="D9" s="2">
        <v>70459961.139999926</v>
      </c>
      <c r="E9" s="3">
        <v>68648013.089999944</v>
      </c>
      <c r="F9" s="2">
        <v>68403984.549999952</v>
      </c>
      <c r="G9" s="2">
        <v>64560080.509999983</v>
      </c>
      <c r="H9" s="3">
        <v>63615053.31999997</v>
      </c>
      <c r="I9" s="2">
        <v>62415925.31999997</v>
      </c>
      <c r="J9" s="2">
        <v>61614032.449999973</v>
      </c>
      <c r="K9" s="3">
        <v>61614032.449999973</v>
      </c>
      <c r="L9" s="2">
        <v>57472490.169999972</v>
      </c>
      <c r="M9" s="2">
        <v>57472490.169999972</v>
      </c>
      <c r="N9" s="3">
        <v>55727209.749999963</v>
      </c>
      <c r="O9" s="2">
        <v>55166704.149999961</v>
      </c>
      <c r="P9" s="2">
        <v>54981630.79999996</v>
      </c>
      <c r="Q9" s="3">
        <v>54981630.79999996</v>
      </c>
      <c r="R9" s="2">
        <v>54712476.059999973</v>
      </c>
      <c r="S9" s="2">
        <v>54712476.059999973</v>
      </c>
      <c r="T9" s="3">
        <v>51469658.699999973</v>
      </c>
      <c r="U9" s="2">
        <v>46309196.609999977</v>
      </c>
      <c r="V9" s="2">
        <v>45989051.609999977</v>
      </c>
      <c r="W9" s="3">
        <v>39019044.929999977</v>
      </c>
      <c r="X9" s="2">
        <v>34795757.079999983</v>
      </c>
      <c r="Y9" s="2">
        <v>28620611.28999998</v>
      </c>
      <c r="Z9" s="3">
        <v>28620611.28999998</v>
      </c>
      <c r="AA9" s="2">
        <v>26540929.449999992</v>
      </c>
      <c r="AB9" s="2">
        <v>24292670.95999999</v>
      </c>
      <c r="AC9" s="3">
        <v>23855343.109999988</v>
      </c>
      <c r="AD9" s="2">
        <v>22419784.479999989</v>
      </c>
      <c r="AE9" s="2">
        <v>21392992.179999989</v>
      </c>
      <c r="AF9" s="3">
        <v>20356369.52999999</v>
      </c>
      <c r="AG9" s="2">
        <v>20356369.52999999</v>
      </c>
      <c r="AH9" s="2">
        <v>20356369.52999999</v>
      </c>
      <c r="AI9" s="3">
        <v>16253385.630000001</v>
      </c>
      <c r="AJ9" s="2">
        <v>12822858.98</v>
      </c>
      <c r="AK9" s="2">
        <v>12517337.24</v>
      </c>
      <c r="AL9" s="3">
        <v>11223226.130000001</v>
      </c>
      <c r="AM9" s="2">
        <v>10018382.130000001</v>
      </c>
      <c r="AN9" s="2">
        <v>9802382.1300000008</v>
      </c>
      <c r="AO9" s="3">
        <v>9802382.1300000008</v>
      </c>
      <c r="AP9" s="2">
        <v>9802382.1300000008</v>
      </c>
      <c r="AQ9" s="2">
        <v>9401390.1300000008</v>
      </c>
      <c r="AR9" s="3">
        <v>8657390.1300000008</v>
      </c>
      <c r="AS9" s="2">
        <v>8303990.1300000008</v>
      </c>
      <c r="AT9" s="2">
        <v>6418409.8100000015</v>
      </c>
      <c r="AU9" s="3">
        <v>4871760.2100000009</v>
      </c>
      <c r="AV9" s="2">
        <v>4670793.9600000009</v>
      </c>
      <c r="AW9" s="2">
        <v>4670793.9600000009</v>
      </c>
      <c r="AX9" s="3">
        <v>4336627.2</v>
      </c>
      <c r="AY9" s="2">
        <v>4336627.2</v>
      </c>
      <c r="AZ9" s="2">
        <v>3868627.2</v>
      </c>
      <c r="BA9" s="3">
        <v>3527377.2</v>
      </c>
      <c r="BB9" s="2">
        <v>3527377.2</v>
      </c>
      <c r="BC9" s="2">
        <v>3443677.2</v>
      </c>
      <c r="BD9" s="3">
        <v>3443677.2</v>
      </c>
      <c r="BE9" s="2">
        <v>3443677.2</v>
      </c>
      <c r="BF9" s="2">
        <v>2886277.8</v>
      </c>
      <c r="BG9" s="3">
        <v>223146</v>
      </c>
      <c r="BH9" s="2">
        <v>223146</v>
      </c>
      <c r="BI9" s="2">
        <v>0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52210783.369999982</v>
      </c>
      <c r="C10" s="2">
        <v>40157120.809999987</v>
      </c>
      <c r="D10" s="2">
        <v>39811386.75999999</v>
      </c>
      <c r="E10" s="3">
        <v>38900521.73999998</v>
      </c>
      <c r="F10" s="2">
        <v>38716146.349999979</v>
      </c>
      <c r="G10" s="2">
        <v>37622806.719999991</v>
      </c>
      <c r="H10" s="3">
        <v>37126130.429999977</v>
      </c>
      <c r="I10" s="2">
        <v>36512002.739999987</v>
      </c>
      <c r="J10" s="2">
        <v>35893971.79999999</v>
      </c>
      <c r="K10" s="3">
        <v>35893971.79999999</v>
      </c>
      <c r="L10" s="2">
        <v>34966945.589999989</v>
      </c>
      <c r="M10" s="2">
        <v>34966945.589999989</v>
      </c>
      <c r="N10" s="3">
        <v>34068294.639999978</v>
      </c>
      <c r="O10" s="2">
        <v>33755791.139999978</v>
      </c>
      <c r="P10" s="2">
        <v>33681509.709999993</v>
      </c>
      <c r="Q10" s="3">
        <v>33681509.709999993</v>
      </c>
      <c r="R10" s="2">
        <v>33594206.359999977</v>
      </c>
      <c r="S10" s="2">
        <v>33594206.359999977</v>
      </c>
      <c r="T10" s="3">
        <v>31774246.98999998</v>
      </c>
      <c r="U10" s="2">
        <v>29689034.529999979</v>
      </c>
      <c r="V10" s="2">
        <v>29471654.949999981</v>
      </c>
      <c r="W10" s="3">
        <v>27410156.159999989</v>
      </c>
      <c r="X10" s="2">
        <v>25332931.95999999</v>
      </c>
      <c r="Y10" s="2">
        <v>22386692.52999999</v>
      </c>
      <c r="Z10" s="3">
        <v>22386692.52999999</v>
      </c>
      <c r="AA10" s="2">
        <v>20307010.68999999</v>
      </c>
      <c r="AB10" s="2">
        <v>18944406.629999992</v>
      </c>
      <c r="AC10" s="3">
        <v>18638559.70999999</v>
      </c>
      <c r="AD10" s="2">
        <v>17498231.979999989</v>
      </c>
      <c r="AE10" s="2">
        <v>16909458.34</v>
      </c>
      <c r="AF10" s="3">
        <v>16244467.720000001</v>
      </c>
      <c r="AG10" s="2">
        <v>16244467.720000001</v>
      </c>
      <c r="AH10" s="2">
        <v>16244467.720000001</v>
      </c>
      <c r="AI10" s="3">
        <v>13203241.16</v>
      </c>
      <c r="AJ10" s="2">
        <v>11103649.26</v>
      </c>
      <c r="AK10" s="2">
        <v>10849830.699999999</v>
      </c>
      <c r="AL10" s="3">
        <v>10035945.130000001</v>
      </c>
      <c r="AM10" s="2">
        <v>9356894.7200000007</v>
      </c>
      <c r="AN10" s="2">
        <v>9238473.4900000002</v>
      </c>
      <c r="AO10" s="3">
        <v>9238473.4900000002</v>
      </c>
      <c r="AP10" s="2">
        <v>9238473.4900000002</v>
      </c>
      <c r="AQ10" s="2">
        <v>8861200.3899999987</v>
      </c>
      <c r="AR10" s="3">
        <v>8249328.8999999994</v>
      </c>
      <c r="AS10" s="2">
        <v>7934243.8799999999</v>
      </c>
      <c r="AT10" s="2">
        <v>6232323.96</v>
      </c>
      <c r="AU10" s="3">
        <v>4731553.8000000007</v>
      </c>
      <c r="AV10" s="2">
        <v>4530587.55</v>
      </c>
      <c r="AW10" s="2">
        <v>4530587.55</v>
      </c>
      <c r="AX10" s="3">
        <v>4270686.1000000006</v>
      </c>
      <c r="AY10" s="2">
        <v>4270686.1000000006</v>
      </c>
      <c r="AZ10" s="2">
        <v>3831727.97</v>
      </c>
      <c r="BA10" s="3">
        <v>3508127.41</v>
      </c>
      <c r="BB10" s="2">
        <v>3508127.41</v>
      </c>
      <c r="BC10" s="2">
        <v>3438595.12</v>
      </c>
      <c r="BD10" s="3">
        <v>3438595.12</v>
      </c>
      <c r="BE10" s="2">
        <v>3438595.12</v>
      </c>
      <c r="BF10" s="2">
        <v>2886277.8</v>
      </c>
      <c r="BG10" s="3">
        <v>223146</v>
      </c>
      <c r="BH10" s="2">
        <v>223146</v>
      </c>
      <c r="BI10" s="2">
        <v>0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1141434.899999999</v>
      </c>
      <c r="C11" s="2">
        <v>1132094.899999999</v>
      </c>
      <c r="D11" s="2">
        <v>1127752.2999999991</v>
      </c>
      <c r="E11" s="3">
        <v>1119707.2999999991</v>
      </c>
      <c r="F11" s="2">
        <v>1117610.9999999991</v>
      </c>
      <c r="G11" s="2">
        <v>1111660.9999999991</v>
      </c>
      <c r="H11" s="3">
        <v>1108663.699999999</v>
      </c>
      <c r="I11" s="2">
        <v>1104155.899999999</v>
      </c>
      <c r="J11" s="2">
        <v>1102430.399999999</v>
      </c>
      <c r="K11" s="3">
        <v>1100205.699999999</v>
      </c>
      <c r="L11" s="2">
        <v>1091680.199999999</v>
      </c>
      <c r="M11" s="2">
        <v>1079217.199999999</v>
      </c>
      <c r="N11" s="3">
        <v>1076667.2</v>
      </c>
      <c r="O11" s="2">
        <v>1074867.2</v>
      </c>
      <c r="P11" s="2">
        <v>1070752.2</v>
      </c>
      <c r="Q11" s="3">
        <v>1070752.2</v>
      </c>
      <c r="R11" s="2">
        <v>1069902.2</v>
      </c>
      <c r="S11" s="2">
        <v>1069902.2</v>
      </c>
      <c r="T11" s="3">
        <v>1055987.2</v>
      </c>
      <c r="U11" s="2">
        <v>1033979.400000001</v>
      </c>
      <c r="V11" s="2">
        <v>1032129.400000001</v>
      </c>
      <c r="W11" s="3">
        <v>989000.90000000072</v>
      </c>
      <c r="X11" s="2">
        <v>966369.90000000072</v>
      </c>
      <c r="Y11" s="2">
        <v>936967.90000000072</v>
      </c>
      <c r="Z11" s="3">
        <v>936967.90000000072</v>
      </c>
      <c r="AA11" s="2">
        <v>926243.20000000065</v>
      </c>
      <c r="AB11" s="2">
        <v>908214.80000000075</v>
      </c>
      <c r="AC11" s="3">
        <v>905268.5000000007</v>
      </c>
      <c r="AD11" s="2">
        <v>900471.40000000072</v>
      </c>
      <c r="AE11" s="2">
        <v>893806.40000000072</v>
      </c>
      <c r="AF11" s="3">
        <v>887556.40000000072</v>
      </c>
      <c r="AG11" s="2">
        <v>882579.12000000069</v>
      </c>
      <c r="AH11" s="2">
        <v>882579.12000000069</v>
      </c>
      <c r="AI11" s="3">
        <v>857856.5200000006</v>
      </c>
      <c r="AJ11" s="2">
        <v>809920.22000000055</v>
      </c>
      <c r="AK11" s="2">
        <v>800430.22000000055</v>
      </c>
      <c r="AL11" s="3">
        <v>782888.60000000056</v>
      </c>
      <c r="AM11" s="2">
        <v>769218.60000000056</v>
      </c>
      <c r="AN11" s="2">
        <v>767368.60000000056</v>
      </c>
      <c r="AO11" s="3">
        <v>765122.30000000051</v>
      </c>
      <c r="AP11" s="2">
        <v>765122.30000000051</v>
      </c>
      <c r="AQ11" s="2">
        <v>761482.65000000049</v>
      </c>
      <c r="AR11" s="3">
        <v>754324.0500000004</v>
      </c>
      <c r="AS11" s="2">
        <v>750744.75000000035</v>
      </c>
      <c r="AT11" s="2">
        <v>721208.60000000009</v>
      </c>
      <c r="AU11" s="3">
        <v>708258.60000000009</v>
      </c>
      <c r="AV11" s="2">
        <v>706408.60000000009</v>
      </c>
      <c r="AW11" s="2">
        <v>706408.60000000009</v>
      </c>
      <c r="AX11" s="3">
        <v>702768.95000000007</v>
      </c>
      <c r="AY11" s="2">
        <v>702768.95000000007</v>
      </c>
      <c r="AZ11" s="2">
        <v>699068.95000000007</v>
      </c>
      <c r="BA11" s="3">
        <v>691489.65</v>
      </c>
      <c r="BB11" s="2">
        <v>691489.65</v>
      </c>
      <c r="BC11" s="2">
        <v>689700</v>
      </c>
      <c r="BD11" s="3">
        <v>689700</v>
      </c>
      <c r="BE11" s="2">
        <v>689700</v>
      </c>
      <c r="BF11" s="2">
        <v>680450</v>
      </c>
      <c r="BG11" s="3">
        <v>26950</v>
      </c>
      <c r="BH11" s="2">
        <v>26950</v>
      </c>
      <c r="BI11" s="2">
        <v>0</v>
      </c>
      <c r="BJ11" s="3">
        <v>0</v>
      </c>
      <c r="BK11" s="2">
        <v>0</v>
      </c>
      <c r="BL11">
        <v>0</v>
      </c>
    </row>
    <row r="12" spans="1:64" ht="15.5" x14ac:dyDescent="0.35">
      <c r="A12" t="s">
        <v>74</v>
      </c>
      <c r="B12" s="2">
        <v>626991277.23999929</v>
      </c>
      <c r="C12" s="2">
        <v>590430500.86999953</v>
      </c>
      <c r="D12" s="2">
        <v>581344662.37999952</v>
      </c>
      <c r="E12" s="3">
        <v>570610204.9399997</v>
      </c>
      <c r="F12" s="2">
        <v>562712769.04999971</v>
      </c>
      <c r="G12" s="2">
        <v>552428509.39999974</v>
      </c>
      <c r="H12" s="3">
        <v>544685517.78999972</v>
      </c>
      <c r="I12" s="2">
        <v>535414365.24999982</v>
      </c>
      <c r="J12" s="2">
        <v>529136316.96999979</v>
      </c>
      <c r="K12" s="3">
        <v>523238881.06999981</v>
      </c>
      <c r="L12" s="2">
        <v>505775376.8299998</v>
      </c>
      <c r="M12" s="2">
        <v>464775376.8299998</v>
      </c>
      <c r="N12" s="3">
        <v>457372299.90999991</v>
      </c>
      <c r="O12" s="2">
        <v>455072299.90999991</v>
      </c>
      <c r="P12" s="2">
        <v>453416587.25999987</v>
      </c>
      <c r="Q12" s="3">
        <v>453416587.25999987</v>
      </c>
      <c r="R12" s="2">
        <v>450526587.25999987</v>
      </c>
      <c r="S12" s="2">
        <v>450526587.25999987</v>
      </c>
      <c r="T12" s="3">
        <v>426068836.69999969</v>
      </c>
      <c r="U12" s="2">
        <v>392168393.70999968</v>
      </c>
      <c r="V12" s="2">
        <v>389788393.70999968</v>
      </c>
      <c r="W12" s="3">
        <v>349755915.06999958</v>
      </c>
      <c r="X12" s="2">
        <v>328332874.44999969</v>
      </c>
      <c r="Y12" s="2">
        <v>297467874.44999969</v>
      </c>
      <c r="Z12" s="3">
        <v>297467874.44999969</v>
      </c>
      <c r="AA12" s="2">
        <v>277786698.37999988</v>
      </c>
      <c r="AB12" s="2">
        <v>249547289.31999999</v>
      </c>
      <c r="AC12" s="3">
        <v>246077910.94</v>
      </c>
      <c r="AD12" s="2">
        <v>238069580.34999999</v>
      </c>
      <c r="AE12" s="2">
        <v>221569177.66999999</v>
      </c>
      <c r="AF12" s="3">
        <v>207311639.13000011</v>
      </c>
      <c r="AG12" s="2">
        <v>200451639.13000011</v>
      </c>
      <c r="AH12" s="2">
        <v>200451639.13000011</v>
      </c>
      <c r="AI12" s="3">
        <v>172959549.81000009</v>
      </c>
      <c r="AJ12" s="2">
        <v>144573928.41000009</v>
      </c>
      <c r="AK12" s="2">
        <v>132577841.4100001</v>
      </c>
      <c r="AL12" s="3">
        <v>124264647.7900001</v>
      </c>
      <c r="AM12" s="2">
        <v>116396386.7900001</v>
      </c>
      <c r="AN12" s="2">
        <v>115405869.5500001</v>
      </c>
      <c r="AO12" s="3">
        <v>113188530.8000001</v>
      </c>
      <c r="AP12" s="2">
        <v>113188530.8000001</v>
      </c>
      <c r="AQ12" s="2">
        <v>110218714.7400001</v>
      </c>
      <c r="AR12" s="3">
        <v>99835656.120000064</v>
      </c>
      <c r="AS12" s="2">
        <v>97963092.320000052</v>
      </c>
      <c r="AT12" s="2">
        <v>79716136.289999977</v>
      </c>
      <c r="AU12" s="3">
        <v>61874801.839999966</v>
      </c>
      <c r="AV12" s="2">
        <v>59419485.819999963</v>
      </c>
      <c r="AW12" s="2">
        <v>59419485.819999963</v>
      </c>
      <c r="AX12" s="3">
        <v>50492703.409999967</v>
      </c>
      <c r="AY12" s="2">
        <v>50492703.409999967</v>
      </c>
      <c r="AZ12" s="2">
        <v>43371869.889999993</v>
      </c>
      <c r="BA12" s="3">
        <v>38822488.849999987</v>
      </c>
      <c r="BB12" s="2">
        <v>38822488.849999987</v>
      </c>
      <c r="BC12" s="2">
        <v>37886206.949999988</v>
      </c>
      <c r="BD12" s="3">
        <v>37886206.949999988</v>
      </c>
      <c r="BE12" s="2">
        <v>37886206.949999988</v>
      </c>
      <c r="BF12" s="2">
        <v>30198275.920000002</v>
      </c>
      <c r="BG12" s="3">
        <v>9594827.6199999992</v>
      </c>
      <c r="BH12" s="2">
        <v>9594827.6199999992</v>
      </c>
      <c r="BI12" s="2">
        <v>0</v>
      </c>
      <c r="BJ12" s="3">
        <v>0</v>
      </c>
      <c r="BK12" s="2">
        <v>0</v>
      </c>
      <c r="BL12">
        <v>0</v>
      </c>
    </row>
    <row r="13" spans="1:64" ht="15.5" x14ac:dyDescent="0.35">
      <c r="A13" t="s">
        <v>75</v>
      </c>
      <c r="B13" s="2">
        <v>355655629.12999952</v>
      </c>
      <c r="C13" s="2">
        <v>351327646.09999949</v>
      </c>
      <c r="D13" s="2">
        <v>341204996.46999961</v>
      </c>
      <c r="E13" s="3">
        <v>328268979.88999951</v>
      </c>
      <c r="F13" s="2">
        <v>318133955.35999948</v>
      </c>
      <c r="G13" s="2">
        <v>308036194.75999957</v>
      </c>
      <c r="H13" s="3">
        <v>298436364.0399996</v>
      </c>
      <c r="I13" s="2">
        <v>288019363.38999963</v>
      </c>
      <c r="J13" s="2">
        <v>278256207.32999969</v>
      </c>
      <c r="K13" s="3">
        <v>268889049.54999971</v>
      </c>
      <c r="L13" s="2">
        <v>259025105.42999959</v>
      </c>
      <c r="M13" s="2">
        <v>240766485.3699995</v>
      </c>
      <c r="N13" s="3">
        <v>232364814.4799996</v>
      </c>
      <c r="O13" s="2">
        <v>224912597.5799996</v>
      </c>
      <c r="P13" s="2">
        <v>217394434.06999961</v>
      </c>
      <c r="Q13" s="3">
        <v>210575065.4499996</v>
      </c>
      <c r="R13" s="2">
        <v>203033196.8299996</v>
      </c>
      <c r="S13" s="2">
        <v>196249953.20999959</v>
      </c>
      <c r="T13" s="3">
        <v>183955316.11999959</v>
      </c>
      <c r="U13" s="2">
        <v>169211142.18999979</v>
      </c>
      <c r="V13" s="2">
        <v>162417042.9299998</v>
      </c>
      <c r="W13" s="3">
        <v>145980990.4299998</v>
      </c>
      <c r="X13" s="2">
        <v>133229931.30999979</v>
      </c>
      <c r="Y13" s="2">
        <v>116486002.3999998</v>
      </c>
      <c r="Z13" s="3">
        <v>111728981.3299998</v>
      </c>
      <c r="AA13" s="2">
        <v>100169630.0799998</v>
      </c>
      <c r="AB13" s="2">
        <v>90050954.570000112</v>
      </c>
      <c r="AC13" s="3">
        <v>85102227.910000131</v>
      </c>
      <c r="AD13" s="2">
        <v>79687572.080000147</v>
      </c>
      <c r="AE13" s="2">
        <v>74216985.490000114</v>
      </c>
      <c r="AF13" s="3">
        <v>70023530.080000088</v>
      </c>
      <c r="AG13" s="2">
        <v>65136825.660000071</v>
      </c>
      <c r="AH13" s="2">
        <v>62179496.240000069</v>
      </c>
      <c r="AI13" s="3">
        <v>54814642.540000103</v>
      </c>
      <c r="AJ13" s="2">
        <v>48473661.339999989</v>
      </c>
      <c r="AK13" s="2">
        <v>43646465.669999972</v>
      </c>
      <c r="AL13" s="3">
        <v>41377330.659999967</v>
      </c>
      <c r="AM13" s="2">
        <v>39495587.559999987</v>
      </c>
      <c r="AN13" s="2">
        <v>37709299.809999987</v>
      </c>
      <c r="AO13" s="3">
        <v>35815353.339999989</v>
      </c>
      <c r="AP13" s="2">
        <v>34228138.749999993</v>
      </c>
      <c r="AQ13" s="2">
        <v>32229205.649999991</v>
      </c>
      <c r="AR13" s="3">
        <v>29136690.77</v>
      </c>
      <c r="AS13" s="2">
        <v>27466322.300000001</v>
      </c>
      <c r="AT13" s="2">
        <v>23758710.060000021</v>
      </c>
      <c r="AU13" s="3">
        <v>18086353.080000039</v>
      </c>
      <c r="AV13" s="2">
        <v>16574402.16000003</v>
      </c>
      <c r="AW13" s="2">
        <v>15737425.940000029</v>
      </c>
      <c r="AX13" s="3">
        <v>13916993.050000019</v>
      </c>
      <c r="AY13" s="2">
        <v>13212742.69000002</v>
      </c>
      <c r="AZ13" s="2">
        <v>11146422.810000019</v>
      </c>
      <c r="BA13" s="3">
        <v>9861640.0900000259</v>
      </c>
      <c r="BB13" s="2">
        <v>9318459.3700000234</v>
      </c>
      <c r="BC13" s="2">
        <v>8635623.3500000201</v>
      </c>
      <c r="BD13" s="3">
        <v>8105719.7400000207</v>
      </c>
      <c r="BE13" s="2">
        <v>7575816.1300000213</v>
      </c>
      <c r="BF13" s="2">
        <v>5892720.6900000162</v>
      </c>
      <c r="BG13" s="3">
        <v>3102331.399999999</v>
      </c>
      <c r="BH13" s="2">
        <v>2990391.81</v>
      </c>
      <c r="BI13" s="2">
        <v>0</v>
      </c>
      <c r="BJ13" s="3">
        <v>0</v>
      </c>
      <c r="BK13" s="2">
        <v>0</v>
      </c>
      <c r="BL13">
        <v>0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19</v>
      </c>
      <c r="D15" s="2">
        <v>1</v>
      </c>
      <c r="E15" s="3">
        <v>5</v>
      </c>
      <c r="F15" s="2">
        <v>1</v>
      </c>
      <c r="G15" s="2">
        <v>7</v>
      </c>
      <c r="H15" s="3">
        <v>2</v>
      </c>
      <c r="I15" s="2">
        <v>2</v>
      </c>
      <c r="J15" s="2">
        <v>2</v>
      </c>
      <c r="K15" s="3">
        <v>0</v>
      </c>
      <c r="L15" s="2">
        <v>10</v>
      </c>
      <c r="M15" s="2">
        <v>0</v>
      </c>
      <c r="N15" s="3">
        <v>3</v>
      </c>
      <c r="O15" s="2">
        <v>1</v>
      </c>
      <c r="P15" s="2">
        <v>1</v>
      </c>
      <c r="Q15" s="3">
        <v>0</v>
      </c>
      <c r="R15" s="2">
        <v>1</v>
      </c>
      <c r="S15" s="2">
        <v>0</v>
      </c>
      <c r="T15" s="3">
        <v>9</v>
      </c>
      <c r="U15" s="2">
        <v>12</v>
      </c>
      <c r="V15" s="2">
        <v>1</v>
      </c>
      <c r="W15" s="3">
        <v>27</v>
      </c>
      <c r="X15" s="2">
        <v>13</v>
      </c>
      <c r="Y15" s="2">
        <v>18</v>
      </c>
      <c r="Z15" s="3">
        <v>0</v>
      </c>
      <c r="AA15" s="2">
        <v>8</v>
      </c>
      <c r="AB15" s="2">
        <v>6</v>
      </c>
      <c r="AC15" s="3">
        <v>2</v>
      </c>
      <c r="AD15" s="2">
        <v>4</v>
      </c>
      <c r="AE15" s="2">
        <v>4</v>
      </c>
      <c r="AF15" s="3">
        <v>5</v>
      </c>
      <c r="AG15" s="2">
        <v>0</v>
      </c>
      <c r="AH15" s="2">
        <v>0</v>
      </c>
      <c r="AI15" s="3">
        <v>13</v>
      </c>
      <c r="AJ15" s="2">
        <v>12</v>
      </c>
      <c r="AK15" s="2">
        <v>1</v>
      </c>
      <c r="AL15" s="3">
        <v>5</v>
      </c>
      <c r="AM15" s="2">
        <v>4</v>
      </c>
      <c r="AN15" s="2">
        <v>1</v>
      </c>
      <c r="AO15" s="3">
        <v>0</v>
      </c>
      <c r="AP15" s="2">
        <v>0</v>
      </c>
      <c r="AQ15" s="2">
        <v>2</v>
      </c>
      <c r="AR15" s="3">
        <v>4</v>
      </c>
      <c r="AS15" s="2">
        <v>2</v>
      </c>
      <c r="AT15" s="2">
        <v>12</v>
      </c>
      <c r="AU15" s="3">
        <v>7</v>
      </c>
      <c r="AV15" s="2">
        <v>1</v>
      </c>
      <c r="AW15" s="2">
        <v>0</v>
      </c>
      <c r="AX15" s="3">
        <v>2</v>
      </c>
      <c r="AY15" s="2">
        <v>0</v>
      </c>
      <c r="AZ15" s="2">
        <v>2</v>
      </c>
      <c r="BA15" s="3">
        <v>2</v>
      </c>
      <c r="BB15" s="2">
        <v>0</v>
      </c>
      <c r="BC15" s="2">
        <v>1</v>
      </c>
      <c r="BD15" s="3">
        <v>0</v>
      </c>
      <c r="BE15" s="2">
        <v>0</v>
      </c>
      <c r="BF15" s="2">
        <v>5</v>
      </c>
      <c r="BG15" s="3">
        <v>10</v>
      </c>
      <c r="BH15" s="2">
        <v>0</v>
      </c>
      <c r="BI15" s="2">
        <v>7</v>
      </c>
      <c r="BJ15" s="3">
        <v>0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2</v>
      </c>
      <c r="E16" s="3">
        <v>0</v>
      </c>
      <c r="F16" s="2">
        <v>1</v>
      </c>
      <c r="G16" s="2">
        <v>0</v>
      </c>
      <c r="H16" s="3">
        <v>1</v>
      </c>
      <c r="I16" s="2">
        <v>2</v>
      </c>
      <c r="J16" s="2">
        <v>0</v>
      </c>
      <c r="K16" s="3">
        <v>2</v>
      </c>
      <c r="L16" s="2">
        <v>0</v>
      </c>
      <c r="M16" s="2">
        <v>10</v>
      </c>
      <c r="N16" s="3">
        <v>0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2</v>
      </c>
      <c r="V16" s="2">
        <v>0</v>
      </c>
      <c r="W16" s="3">
        <v>0</v>
      </c>
      <c r="X16" s="2">
        <v>0</v>
      </c>
      <c r="Y16" s="2">
        <v>0</v>
      </c>
      <c r="Z16" s="3">
        <v>0</v>
      </c>
      <c r="AA16" s="2">
        <v>2</v>
      </c>
      <c r="AB16" s="2">
        <v>4</v>
      </c>
      <c r="AC16" s="3">
        <v>1</v>
      </c>
      <c r="AD16" s="2">
        <v>0</v>
      </c>
      <c r="AE16" s="2">
        <v>0</v>
      </c>
      <c r="AF16" s="3">
        <v>0</v>
      </c>
      <c r="AG16" s="2">
        <v>2</v>
      </c>
      <c r="AH16" s="2">
        <v>0</v>
      </c>
      <c r="AI16" s="3">
        <v>2</v>
      </c>
      <c r="AJ16" s="2">
        <v>1</v>
      </c>
      <c r="AK16" s="2">
        <v>3</v>
      </c>
      <c r="AL16" s="3">
        <v>0</v>
      </c>
      <c r="AM16" s="2">
        <v>0</v>
      </c>
      <c r="AN16" s="2">
        <v>0</v>
      </c>
      <c r="AO16" s="3">
        <v>1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0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0</v>
      </c>
      <c r="BH16" s="2">
        <v>0</v>
      </c>
      <c r="BI16" s="2">
        <v>0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6.6328125" bestFit="1" customWidth="1"/>
    <col min="2" max="4" width="14.453125" bestFit="1" customWidth="1"/>
    <col min="5" max="5" width="13.54296875" bestFit="1" customWidth="1"/>
    <col min="6" max="7" width="14.453125" bestFit="1" customWidth="1"/>
    <col min="8" max="8" width="13.54296875" bestFit="1" customWidth="1"/>
    <col min="9" max="10" width="14.453125" bestFit="1" customWidth="1"/>
    <col min="11" max="11" width="13.54296875" bestFit="1" customWidth="1"/>
    <col min="12" max="13" width="14.453125" bestFit="1" customWidth="1"/>
    <col min="14" max="14" width="13.54296875" bestFit="1" customWidth="1"/>
    <col min="15" max="16" width="14.453125" bestFit="1" customWidth="1"/>
    <col min="17" max="17" width="13.54296875" bestFit="1" customWidth="1"/>
    <col min="18" max="19" width="14.453125" bestFit="1" customWidth="1"/>
    <col min="20" max="20" width="13.54296875" bestFit="1" customWidth="1"/>
    <col min="21" max="22" width="14.453125" bestFit="1" customWidth="1"/>
    <col min="23" max="23" width="13.54296875" bestFit="1" customWidth="1"/>
    <col min="24" max="25" width="14.453125" bestFit="1" customWidth="1"/>
    <col min="26" max="26" width="13.54296875" bestFit="1" customWidth="1"/>
    <col min="27" max="28" width="14.453125" bestFit="1" customWidth="1"/>
    <col min="29" max="29" width="13.54296875" bestFit="1" customWidth="1"/>
    <col min="30" max="31" width="14.453125" bestFit="1" customWidth="1"/>
    <col min="32" max="32" width="13.54296875" bestFit="1" customWidth="1"/>
    <col min="33" max="34" width="14.453125" bestFit="1" customWidth="1"/>
    <col min="35" max="35" width="13.54296875" bestFit="1" customWidth="1"/>
    <col min="36" max="37" width="14.453125" bestFit="1" customWidth="1"/>
    <col min="38" max="38" width="13.54296875" bestFit="1" customWidth="1"/>
    <col min="39" max="40" width="14.453125" bestFit="1" customWidth="1"/>
    <col min="41" max="41" width="13.54296875" bestFit="1" customWidth="1"/>
    <col min="42" max="43" width="14.453125" bestFit="1" customWidth="1"/>
    <col min="44" max="44" width="13.54296875" bestFit="1" customWidth="1"/>
    <col min="45" max="46" width="14.453125" bestFit="1" customWidth="1"/>
    <col min="47" max="47" width="13.54296875" bestFit="1" customWidth="1"/>
    <col min="48" max="49" width="14.453125" bestFit="1" customWidth="1"/>
    <col min="50" max="50" width="13.54296875" bestFit="1" customWidth="1"/>
    <col min="51" max="52" width="13.36328125" bestFit="1" customWidth="1"/>
    <col min="53" max="53" width="12.453125" bestFit="1" customWidth="1"/>
    <col min="54" max="55" width="13.36328125" bestFit="1" customWidth="1"/>
    <col min="56" max="56" width="12.453125" bestFit="1" customWidth="1"/>
    <col min="57" max="58" width="13.36328125" bestFit="1" customWidth="1"/>
    <col min="59" max="59" width="12.453125" bestFit="1" customWidth="1"/>
    <col min="60" max="61" width="13.36328125" bestFit="1" customWidth="1"/>
    <col min="62" max="62" width="11.453125" bestFit="1" customWidth="1"/>
    <col min="63" max="63" width="12.1796875" bestFit="1" customWidth="1"/>
    <col min="64" max="64" width="10.4531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1048</v>
      </c>
      <c r="C2" s="2">
        <v>977</v>
      </c>
      <c r="D2" s="2">
        <v>962</v>
      </c>
      <c r="E2" s="3">
        <v>955</v>
      </c>
      <c r="F2" s="2">
        <v>919</v>
      </c>
      <c r="G2" s="2">
        <v>898</v>
      </c>
      <c r="H2" s="3">
        <v>846</v>
      </c>
      <c r="I2" s="2">
        <v>830</v>
      </c>
      <c r="J2" s="2">
        <v>812</v>
      </c>
      <c r="K2" s="3">
        <v>789</v>
      </c>
      <c r="L2" s="2">
        <v>776</v>
      </c>
      <c r="M2" s="2">
        <v>760</v>
      </c>
      <c r="N2" s="3">
        <v>750</v>
      </c>
      <c r="O2" s="2">
        <v>735</v>
      </c>
      <c r="P2" s="2">
        <v>730</v>
      </c>
      <c r="Q2" s="3">
        <v>715</v>
      </c>
      <c r="R2" s="2">
        <v>693</v>
      </c>
      <c r="S2" s="2">
        <v>683</v>
      </c>
      <c r="T2" s="3">
        <v>670</v>
      </c>
      <c r="U2" s="2">
        <v>657</v>
      </c>
      <c r="V2" s="2">
        <v>648</v>
      </c>
      <c r="W2" s="3">
        <v>612</v>
      </c>
      <c r="X2" s="2">
        <v>595</v>
      </c>
      <c r="Y2" s="2">
        <v>580</v>
      </c>
      <c r="Z2" s="3">
        <v>566</v>
      </c>
      <c r="AA2" s="2">
        <v>528</v>
      </c>
      <c r="AB2" s="2">
        <v>507</v>
      </c>
      <c r="AC2" s="3">
        <v>500</v>
      </c>
      <c r="AD2" s="2">
        <v>476</v>
      </c>
      <c r="AE2" s="2">
        <v>455</v>
      </c>
      <c r="AF2" s="3">
        <v>436</v>
      </c>
      <c r="AG2" s="2">
        <v>420</v>
      </c>
      <c r="AH2" s="2">
        <v>407</v>
      </c>
      <c r="AI2" s="3">
        <v>391</v>
      </c>
      <c r="AJ2" s="2">
        <v>373</v>
      </c>
      <c r="AK2" s="2">
        <v>350</v>
      </c>
      <c r="AL2" s="3">
        <v>318</v>
      </c>
      <c r="AM2" s="2">
        <v>302</v>
      </c>
      <c r="AN2" s="2">
        <v>285</v>
      </c>
      <c r="AO2" s="3">
        <v>273</v>
      </c>
      <c r="AP2" s="2">
        <v>250</v>
      </c>
      <c r="AQ2" s="2">
        <v>245</v>
      </c>
      <c r="AR2" s="3">
        <v>231</v>
      </c>
      <c r="AS2" s="2">
        <v>219</v>
      </c>
      <c r="AT2" s="2">
        <v>197</v>
      </c>
      <c r="AU2" s="3">
        <v>186</v>
      </c>
      <c r="AV2" s="2">
        <v>170</v>
      </c>
      <c r="AW2" s="2">
        <v>155</v>
      </c>
      <c r="AX2" s="3">
        <v>142</v>
      </c>
      <c r="AY2" s="2">
        <v>127</v>
      </c>
      <c r="AZ2" s="2">
        <v>108</v>
      </c>
      <c r="BA2" s="3">
        <v>105</v>
      </c>
      <c r="BB2" s="2">
        <v>99</v>
      </c>
      <c r="BC2" s="2">
        <v>85</v>
      </c>
      <c r="BD2" s="3">
        <v>76</v>
      </c>
      <c r="BE2" s="2">
        <v>63</v>
      </c>
      <c r="BF2" s="2">
        <v>46</v>
      </c>
      <c r="BG2" s="3">
        <v>37</v>
      </c>
      <c r="BH2" s="2">
        <v>26</v>
      </c>
      <c r="BI2" s="2">
        <v>12</v>
      </c>
      <c r="BJ2" s="3">
        <v>5</v>
      </c>
      <c r="BK2" s="2">
        <v>2</v>
      </c>
      <c r="BL2">
        <v>0</v>
      </c>
    </row>
    <row r="3" spans="1:64" ht="15.5" x14ac:dyDescent="0.35">
      <c r="A3" t="s">
        <v>65</v>
      </c>
      <c r="B3" s="2">
        <v>280</v>
      </c>
      <c r="C3" s="2">
        <v>276</v>
      </c>
      <c r="D3" s="2">
        <v>274</v>
      </c>
      <c r="E3" s="3">
        <v>274</v>
      </c>
      <c r="F3" s="2">
        <v>269</v>
      </c>
      <c r="G3" s="2">
        <v>265</v>
      </c>
      <c r="H3" s="3">
        <v>260</v>
      </c>
      <c r="I3" s="2">
        <v>256</v>
      </c>
      <c r="J3" s="2">
        <v>247</v>
      </c>
      <c r="K3" s="3">
        <v>244</v>
      </c>
      <c r="L3" s="2">
        <v>237</v>
      </c>
      <c r="M3" s="2">
        <v>229</v>
      </c>
      <c r="N3" s="3">
        <v>228</v>
      </c>
      <c r="O3" s="2">
        <v>227</v>
      </c>
      <c r="P3" s="2">
        <v>223</v>
      </c>
      <c r="Q3" s="3">
        <v>220</v>
      </c>
      <c r="R3" s="2">
        <v>217</v>
      </c>
      <c r="S3" s="2">
        <v>214</v>
      </c>
      <c r="T3" s="3">
        <v>209</v>
      </c>
      <c r="U3" s="2">
        <v>195</v>
      </c>
      <c r="V3" s="2">
        <v>194</v>
      </c>
      <c r="W3" s="3">
        <v>187</v>
      </c>
      <c r="X3" s="2">
        <v>183</v>
      </c>
      <c r="Y3" s="2">
        <v>178</v>
      </c>
      <c r="Z3" s="3">
        <v>172</v>
      </c>
      <c r="AA3" s="2">
        <v>168</v>
      </c>
      <c r="AB3" s="2">
        <v>165</v>
      </c>
      <c r="AC3" s="3">
        <v>162</v>
      </c>
      <c r="AD3" s="2">
        <v>157</v>
      </c>
      <c r="AE3" s="2">
        <v>148</v>
      </c>
      <c r="AF3" s="3">
        <v>142</v>
      </c>
      <c r="AG3" s="2">
        <v>140</v>
      </c>
      <c r="AH3" s="2">
        <v>135</v>
      </c>
      <c r="AI3" s="3">
        <v>126</v>
      </c>
      <c r="AJ3" s="2">
        <v>122</v>
      </c>
      <c r="AK3" s="2">
        <v>118</v>
      </c>
      <c r="AL3" s="3">
        <v>114</v>
      </c>
      <c r="AM3" s="2">
        <v>111</v>
      </c>
      <c r="AN3" s="2">
        <v>108</v>
      </c>
      <c r="AO3" s="3">
        <v>103</v>
      </c>
      <c r="AP3" s="2">
        <v>96</v>
      </c>
      <c r="AQ3" s="2">
        <v>90</v>
      </c>
      <c r="AR3" s="3">
        <v>83</v>
      </c>
      <c r="AS3" s="2">
        <v>80</v>
      </c>
      <c r="AT3" s="2">
        <v>70</v>
      </c>
      <c r="AU3" s="3">
        <v>54</v>
      </c>
      <c r="AV3" s="2">
        <v>52</v>
      </c>
      <c r="AW3" s="2">
        <v>44</v>
      </c>
      <c r="AX3" s="3">
        <v>41</v>
      </c>
      <c r="AY3" s="2">
        <v>32</v>
      </c>
      <c r="AZ3" s="2">
        <v>24</v>
      </c>
      <c r="BA3" s="3">
        <v>20</v>
      </c>
      <c r="BB3" s="2">
        <v>18</v>
      </c>
      <c r="BC3" s="2">
        <v>15</v>
      </c>
      <c r="BD3" s="3">
        <v>14</v>
      </c>
      <c r="BE3" s="2">
        <v>13</v>
      </c>
      <c r="BF3" s="2">
        <v>10</v>
      </c>
      <c r="BG3" s="3">
        <v>10</v>
      </c>
      <c r="BH3" s="2">
        <v>7</v>
      </c>
      <c r="BI3" s="2">
        <v>6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16784080.530000001</v>
      </c>
      <c r="C5" s="2">
        <v>16138262.420000009</v>
      </c>
      <c r="D5" s="2">
        <v>15959344.22000001</v>
      </c>
      <c r="E5" s="3">
        <v>15891804.910000009</v>
      </c>
      <c r="F5" s="2">
        <v>15534344.580000009</v>
      </c>
      <c r="G5" s="2">
        <v>15304675.580000009</v>
      </c>
      <c r="H5" s="3">
        <v>14625994.72000001</v>
      </c>
      <c r="I5" s="2">
        <v>14451584.020000011</v>
      </c>
      <c r="J5" s="2">
        <v>14115393.689999999</v>
      </c>
      <c r="K5" s="3">
        <v>13894804.689999999</v>
      </c>
      <c r="L5" s="2">
        <v>13697938.4</v>
      </c>
      <c r="M5" s="2">
        <v>13474250.080000009</v>
      </c>
      <c r="N5" s="3">
        <v>13305325.99000001</v>
      </c>
      <c r="O5" s="2">
        <v>13108675.780000011</v>
      </c>
      <c r="P5" s="2">
        <v>12995255.89000001</v>
      </c>
      <c r="Q5" s="3">
        <v>12821364.38000001</v>
      </c>
      <c r="R5" s="2">
        <v>12565574.55000001</v>
      </c>
      <c r="S5" s="2">
        <v>12400062.89000001</v>
      </c>
      <c r="T5" s="3">
        <v>12160668.100000011</v>
      </c>
      <c r="U5" s="2">
        <v>11852564.30000001</v>
      </c>
      <c r="V5" s="2">
        <v>11702988.690000011</v>
      </c>
      <c r="W5" s="3">
        <v>11086355.89000001</v>
      </c>
      <c r="X5" s="2">
        <v>10849630.65000001</v>
      </c>
      <c r="Y5" s="2">
        <v>10609081.539999999</v>
      </c>
      <c r="Z5" s="3">
        <v>10103275.220000001</v>
      </c>
      <c r="AA5" s="2">
        <v>9564674.7500000037</v>
      </c>
      <c r="AB5" s="2">
        <v>9255341.5</v>
      </c>
      <c r="AC5" s="3">
        <v>9115049.3700000029</v>
      </c>
      <c r="AD5" s="2">
        <v>8772588.260000011</v>
      </c>
      <c r="AE5" s="2">
        <v>8350960.6000000061</v>
      </c>
      <c r="AF5" s="3">
        <v>8005491.5100000072</v>
      </c>
      <c r="AG5" s="2">
        <v>7738594.4600000074</v>
      </c>
      <c r="AH5" s="2">
        <v>7516281.4600000056</v>
      </c>
      <c r="AI5" s="3">
        <v>7194861.7400000058</v>
      </c>
      <c r="AJ5" s="2">
        <v>6882810.8700000048</v>
      </c>
      <c r="AK5" s="2">
        <v>6451065.9300000034</v>
      </c>
      <c r="AL5" s="3">
        <v>6092233.7900000028</v>
      </c>
      <c r="AM5" s="2">
        <v>5756108.9900000012</v>
      </c>
      <c r="AN5" s="2">
        <v>5495895.7999999998</v>
      </c>
      <c r="AO5" s="3">
        <v>5301101.26</v>
      </c>
      <c r="AP5" s="2">
        <v>4953582.8000000026</v>
      </c>
      <c r="AQ5" s="2">
        <v>4772588.9700000007</v>
      </c>
      <c r="AR5" s="3">
        <v>4489185.2799999965</v>
      </c>
      <c r="AS5" s="2">
        <v>4252767.3199999956</v>
      </c>
      <c r="AT5" s="2">
        <v>3856961.8499999982</v>
      </c>
      <c r="AU5" s="3">
        <v>3457534.509999997</v>
      </c>
      <c r="AV5" s="2">
        <v>3229013.399999999</v>
      </c>
      <c r="AW5" s="2">
        <v>2715517.6599999992</v>
      </c>
      <c r="AX5" s="3">
        <v>2477485.2399999979</v>
      </c>
      <c r="AY5" s="2">
        <v>2047979.43</v>
      </c>
      <c r="AZ5" s="2">
        <v>1575128.05</v>
      </c>
      <c r="BA5" s="3">
        <v>1495327.03</v>
      </c>
      <c r="BB5" s="2">
        <v>1402119.8299999989</v>
      </c>
      <c r="BC5" s="2">
        <v>1226858.92</v>
      </c>
      <c r="BD5" s="3">
        <v>1119099.01</v>
      </c>
      <c r="BE5" s="2">
        <v>967212.03</v>
      </c>
      <c r="BF5" s="2">
        <v>751260.22</v>
      </c>
      <c r="BG5" s="3">
        <v>645843.75000000012</v>
      </c>
      <c r="BH5" s="2">
        <v>444306.95</v>
      </c>
      <c r="BI5" s="2">
        <v>228846.23</v>
      </c>
      <c r="BJ5" s="3">
        <v>64063.45</v>
      </c>
      <c r="BK5" s="2">
        <v>29382.51</v>
      </c>
      <c r="BL5">
        <v>0</v>
      </c>
    </row>
    <row r="6" spans="1:64" ht="15.5" x14ac:dyDescent="0.35">
      <c r="A6" t="s">
        <v>68</v>
      </c>
      <c r="B6" s="2">
        <v>8646792.9600000139</v>
      </c>
      <c r="C6" s="2">
        <v>8398159.4700000081</v>
      </c>
      <c r="D6" s="2">
        <v>8321944.1900000088</v>
      </c>
      <c r="E6" s="3">
        <v>8286449.5400000066</v>
      </c>
      <c r="F6" s="2">
        <v>8133276.0700000068</v>
      </c>
      <c r="G6" s="2">
        <v>8025638.3000000054</v>
      </c>
      <c r="H6" s="3">
        <v>7729096.8900000053</v>
      </c>
      <c r="I6" s="2">
        <v>7641446.9800000051</v>
      </c>
      <c r="J6" s="2">
        <v>7442071.6300000036</v>
      </c>
      <c r="K6" s="3">
        <v>7341325.1700000064</v>
      </c>
      <c r="L6" s="2">
        <v>7231019.2600000044</v>
      </c>
      <c r="M6" s="2">
        <v>7125854.6300000027</v>
      </c>
      <c r="N6" s="3">
        <v>7033508.820000004</v>
      </c>
      <c r="O6" s="2">
        <v>6937063.320000005</v>
      </c>
      <c r="P6" s="2">
        <v>6875814.070000004</v>
      </c>
      <c r="Q6" s="3">
        <v>6788043.0700000031</v>
      </c>
      <c r="R6" s="2">
        <v>6656590.7700000023</v>
      </c>
      <c r="S6" s="2">
        <v>6563402.7600000026</v>
      </c>
      <c r="T6" s="3">
        <v>6431102.8100000024</v>
      </c>
      <c r="U6" s="2">
        <v>6259174.6300000008</v>
      </c>
      <c r="V6" s="2">
        <v>6175405.0999999996</v>
      </c>
      <c r="W6" s="3">
        <v>5846465.8099999987</v>
      </c>
      <c r="X6" s="2">
        <v>5720868.9499999974</v>
      </c>
      <c r="Y6" s="2">
        <v>5589594.1099999975</v>
      </c>
      <c r="Z6" s="3">
        <v>5257118.47</v>
      </c>
      <c r="AA6" s="2">
        <v>4989171.7299999986</v>
      </c>
      <c r="AB6" s="2">
        <v>4839976.200000002</v>
      </c>
      <c r="AC6" s="3">
        <v>4757919.9300000016</v>
      </c>
      <c r="AD6" s="2">
        <v>4574358.4400000013</v>
      </c>
      <c r="AE6" s="2">
        <v>4334947.2100000009</v>
      </c>
      <c r="AF6" s="3">
        <v>4161881.379999999</v>
      </c>
      <c r="AG6" s="2">
        <v>4028263.4</v>
      </c>
      <c r="AH6" s="2">
        <v>3911749.810000001</v>
      </c>
      <c r="AI6" s="3">
        <v>3722214.44</v>
      </c>
      <c r="AJ6" s="2">
        <v>3562650.939999999</v>
      </c>
      <c r="AK6" s="2">
        <v>3351163.109999998</v>
      </c>
      <c r="AL6" s="3">
        <v>3171334.879999998</v>
      </c>
      <c r="AM6" s="2">
        <v>3015922.2699999982</v>
      </c>
      <c r="AN6" s="2">
        <v>2885272.8299999982</v>
      </c>
      <c r="AO6" s="3">
        <v>2782355.2499999991</v>
      </c>
      <c r="AP6" s="2">
        <v>2599194.2000000002</v>
      </c>
      <c r="AQ6" s="2">
        <v>2492351.6099999989</v>
      </c>
      <c r="AR6" s="3">
        <v>2340599.4899999988</v>
      </c>
      <c r="AS6" s="2">
        <v>2225813.1999999988</v>
      </c>
      <c r="AT6" s="2">
        <v>2024874.73</v>
      </c>
      <c r="AU6" s="3">
        <v>1776199.189999999</v>
      </c>
      <c r="AV6" s="2">
        <v>1659365.5299999991</v>
      </c>
      <c r="AW6" s="2">
        <v>1360726.580000001</v>
      </c>
      <c r="AX6" s="3">
        <v>1233373.95</v>
      </c>
      <c r="AY6" s="2">
        <v>1012962.56</v>
      </c>
      <c r="AZ6" s="2">
        <v>766920.12000000034</v>
      </c>
      <c r="BA6" s="3">
        <v>725364.12000000034</v>
      </c>
      <c r="BB6" s="2">
        <v>677925.92000000016</v>
      </c>
      <c r="BC6" s="2">
        <v>594679.63000000012</v>
      </c>
      <c r="BD6" s="3">
        <v>546545.15999999992</v>
      </c>
      <c r="BE6" s="2">
        <v>477005.91</v>
      </c>
      <c r="BF6" s="2">
        <v>370702.97</v>
      </c>
      <c r="BG6" s="3">
        <v>323854.68000000011</v>
      </c>
      <c r="BH6" s="2">
        <v>220348.14</v>
      </c>
      <c r="BI6" s="2">
        <v>119595.64</v>
      </c>
      <c r="BJ6" s="3">
        <v>29864.14</v>
      </c>
      <c r="BK6" s="2">
        <v>13895.77</v>
      </c>
      <c r="BL6">
        <v>0</v>
      </c>
    </row>
    <row r="7" spans="1:64" ht="15.5" x14ac:dyDescent="0.35">
      <c r="A7" t="s">
        <v>69</v>
      </c>
      <c r="B7" s="2">
        <v>3843722.6399999931</v>
      </c>
      <c r="C7" s="2">
        <v>3706643.3999999939</v>
      </c>
      <c r="D7" s="2">
        <v>3671907.6299999938</v>
      </c>
      <c r="E7" s="3">
        <v>3659231.1699999939</v>
      </c>
      <c r="F7" s="2">
        <v>3577655.0899999952</v>
      </c>
      <c r="G7" s="2">
        <v>3531161.3999999939</v>
      </c>
      <c r="H7" s="3">
        <v>3396357.8699999941</v>
      </c>
      <c r="I7" s="2">
        <v>3361466.7099999939</v>
      </c>
      <c r="J7" s="2">
        <v>3296550.6999999941</v>
      </c>
      <c r="K7" s="3">
        <v>3247824.6999999941</v>
      </c>
      <c r="L7" s="2">
        <v>3205037.579999994</v>
      </c>
      <c r="M7" s="2">
        <v>3154756.0299999928</v>
      </c>
      <c r="N7" s="3">
        <v>3120901.9299999932</v>
      </c>
      <c r="O7" s="2">
        <v>3080224.4499999941</v>
      </c>
      <c r="P7" s="2">
        <v>3054561.179999995</v>
      </c>
      <c r="Q7" s="3">
        <v>3013080.3199999938</v>
      </c>
      <c r="R7" s="2">
        <v>2949921.4399999948</v>
      </c>
      <c r="S7" s="2">
        <v>2914379.7999999961</v>
      </c>
      <c r="T7" s="3">
        <v>2859808.029999997</v>
      </c>
      <c r="U7" s="2">
        <v>2800452.0399999949</v>
      </c>
      <c r="V7" s="2">
        <v>2770330.6499999962</v>
      </c>
      <c r="W7" s="3">
        <v>2627901.6999999969</v>
      </c>
      <c r="X7" s="2">
        <v>2576876.0299999979</v>
      </c>
      <c r="Y7" s="2">
        <v>2524043.5599999991</v>
      </c>
      <c r="Z7" s="3">
        <v>2430183.58</v>
      </c>
      <c r="AA7" s="2">
        <v>2302187.100000001</v>
      </c>
      <c r="AB7" s="2">
        <v>2227883.17</v>
      </c>
      <c r="AC7" s="3">
        <v>2198803.36</v>
      </c>
      <c r="AD7" s="2">
        <v>2117049.2200000002</v>
      </c>
      <c r="AE7" s="2">
        <v>2027321.3900000011</v>
      </c>
      <c r="AF7" s="3">
        <v>1950092.330000001</v>
      </c>
      <c r="AG7" s="2">
        <v>1889959.0100000009</v>
      </c>
      <c r="AH7" s="2">
        <v>1840694.100000001</v>
      </c>
      <c r="AI7" s="3">
        <v>1770181.7500000009</v>
      </c>
      <c r="AJ7" s="2">
        <v>1691974.4600000009</v>
      </c>
      <c r="AK7" s="2">
        <v>1590796.1700000011</v>
      </c>
      <c r="AL7" s="3">
        <v>1507665.540000001</v>
      </c>
      <c r="AM7" s="2">
        <v>1413607.370000001</v>
      </c>
      <c r="AN7" s="2">
        <v>1347501.840000001</v>
      </c>
      <c r="AO7" s="3">
        <v>1299215.1700000011</v>
      </c>
      <c r="AP7" s="2">
        <v>1211528.4099999999</v>
      </c>
      <c r="AQ7" s="2">
        <v>1169788.18</v>
      </c>
      <c r="AR7" s="3">
        <v>1095561.95</v>
      </c>
      <c r="AS7" s="2">
        <v>1035752.86</v>
      </c>
      <c r="AT7" s="2">
        <v>939833.26000000024</v>
      </c>
      <c r="AU7" s="3">
        <v>857348.40999999992</v>
      </c>
      <c r="AV7" s="2">
        <v>801185.66999999958</v>
      </c>
      <c r="AW7" s="2">
        <v>685773.36999999953</v>
      </c>
      <c r="AX7" s="3">
        <v>628275.11999999953</v>
      </c>
      <c r="AY7" s="2">
        <v>525047.25999999989</v>
      </c>
      <c r="AZ7" s="2">
        <v>411738.01000000018</v>
      </c>
      <c r="BA7" s="3">
        <v>390917.4000000002</v>
      </c>
      <c r="BB7" s="2">
        <v>367741.03000000009</v>
      </c>
      <c r="BC7" s="2">
        <v>326217.01000000013</v>
      </c>
      <c r="BD7" s="3">
        <v>297800.69000000012</v>
      </c>
      <c r="BE7" s="2">
        <v>256779.05</v>
      </c>
      <c r="BF7" s="2">
        <v>198824.72</v>
      </c>
      <c r="BG7" s="3">
        <v>168041.72</v>
      </c>
      <c r="BH7" s="2">
        <v>115375.98</v>
      </c>
      <c r="BI7" s="2">
        <v>59743.920000000013</v>
      </c>
      <c r="BJ7" s="3">
        <v>20199.82</v>
      </c>
      <c r="BK7" s="2">
        <v>9097.9399999999987</v>
      </c>
      <c r="BL7">
        <v>0</v>
      </c>
    </row>
    <row r="8" spans="1:64" ht="15.5" x14ac:dyDescent="0.35">
      <c r="A8" t="s">
        <v>70</v>
      </c>
      <c r="B8" s="2">
        <v>1435123.059999998</v>
      </c>
      <c r="C8" s="2">
        <v>1363023.0699999989</v>
      </c>
      <c r="D8" s="2">
        <v>1341653.2999999991</v>
      </c>
      <c r="E8" s="3">
        <v>1334091.9899999991</v>
      </c>
      <c r="F8" s="2">
        <v>1299709.939999999</v>
      </c>
      <c r="G8" s="2">
        <v>1272455.0899999989</v>
      </c>
      <c r="H8" s="3">
        <v>1209399.129999999</v>
      </c>
      <c r="I8" s="2">
        <v>1190292.8599999989</v>
      </c>
      <c r="J8" s="2">
        <v>1162105.919999999</v>
      </c>
      <c r="K8" s="3">
        <v>1145777.8299999989</v>
      </c>
      <c r="L8" s="2">
        <v>1127471.159999999</v>
      </c>
      <c r="M8" s="2">
        <v>1107170.3099999989</v>
      </c>
      <c r="N8" s="3">
        <v>1093454.2399999991</v>
      </c>
      <c r="O8" s="2">
        <v>1078156.8399999989</v>
      </c>
      <c r="P8" s="2">
        <v>1068647.669999999</v>
      </c>
      <c r="Q8" s="3">
        <v>1055323.48</v>
      </c>
      <c r="R8" s="2">
        <v>1033040.54</v>
      </c>
      <c r="S8" s="2">
        <v>1020242.32</v>
      </c>
      <c r="T8" s="3">
        <v>999448.12999999977</v>
      </c>
      <c r="U8" s="2">
        <v>974973.6100000001</v>
      </c>
      <c r="V8" s="2">
        <v>964394.18000000017</v>
      </c>
      <c r="W8" s="3">
        <v>919186.1800000004</v>
      </c>
      <c r="X8" s="2">
        <v>900105.97000000055</v>
      </c>
      <c r="Y8" s="2">
        <v>879834.2500000007</v>
      </c>
      <c r="Z8" s="3">
        <v>838314.38000000024</v>
      </c>
      <c r="AA8" s="2">
        <v>794925.11000000022</v>
      </c>
      <c r="AB8" s="2">
        <v>773843.41000000027</v>
      </c>
      <c r="AC8" s="3">
        <v>763206.30000000016</v>
      </c>
      <c r="AD8" s="2">
        <v>735151.6999999996</v>
      </c>
      <c r="AE8" s="2">
        <v>700120.72999999928</v>
      </c>
      <c r="AF8" s="3">
        <v>670813.23999999953</v>
      </c>
      <c r="AG8" s="2">
        <v>649060.25999999954</v>
      </c>
      <c r="AH8" s="2">
        <v>629751.61999999941</v>
      </c>
      <c r="AI8" s="3">
        <v>600650.52999999968</v>
      </c>
      <c r="AJ8" s="2">
        <v>572438.74</v>
      </c>
      <c r="AK8" s="2">
        <v>538565.51000000024</v>
      </c>
      <c r="AL8" s="3">
        <v>511308.45000000013</v>
      </c>
      <c r="AM8" s="2">
        <v>485644.22000000009</v>
      </c>
      <c r="AN8" s="2">
        <v>463769.65000000008</v>
      </c>
      <c r="AO8" s="3">
        <v>445507.37000000011</v>
      </c>
      <c r="AP8" s="2">
        <v>417419.13000000018</v>
      </c>
      <c r="AQ8" s="2">
        <v>397413.3400000002</v>
      </c>
      <c r="AR8" s="3">
        <v>371578.81000000011</v>
      </c>
      <c r="AS8" s="2">
        <v>352520.66000000009</v>
      </c>
      <c r="AT8" s="2">
        <v>323593.05</v>
      </c>
      <c r="AU8" s="3">
        <v>285584.8299999999</v>
      </c>
      <c r="AV8" s="2">
        <v>268067.91999999993</v>
      </c>
      <c r="AW8" s="2">
        <v>217277.87</v>
      </c>
      <c r="AX8" s="3">
        <v>198185.67</v>
      </c>
      <c r="AY8" s="2">
        <v>163986.30999999991</v>
      </c>
      <c r="AZ8" s="2">
        <v>126249.19</v>
      </c>
      <c r="BA8" s="3">
        <v>118913.4</v>
      </c>
      <c r="BB8" s="2">
        <v>110859.53</v>
      </c>
      <c r="BC8" s="2">
        <v>95212.35</v>
      </c>
      <c r="BD8" s="3">
        <v>86956.58</v>
      </c>
      <c r="BE8" s="2">
        <v>77261.750000000015</v>
      </c>
      <c r="BF8" s="2">
        <v>60742.229999999989</v>
      </c>
      <c r="BG8" s="3">
        <v>52916.659999999989</v>
      </c>
      <c r="BH8" s="2">
        <v>34347.400000000009</v>
      </c>
      <c r="BI8" s="2">
        <v>16002.87</v>
      </c>
      <c r="BJ8" s="3">
        <v>2059.15</v>
      </c>
      <c r="BK8" s="2">
        <v>820</v>
      </c>
      <c r="BL8">
        <v>0</v>
      </c>
    </row>
    <row r="9" spans="1:64" ht="15.5" x14ac:dyDescent="0.35">
      <c r="A9" t="s">
        <v>71</v>
      </c>
      <c r="B9" s="2">
        <v>48659668.179999977</v>
      </c>
      <c r="C9" s="2">
        <v>41519621.149999999</v>
      </c>
      <c r="D9" s="2">
        <v>40373623.729999997</v>
      </c>
      <c r="E9" s="3">
        <v>39815836.729999997</v>
      </c>
      <c r="F9" s="2">
        <v>37636830.049999967</v>
      </c>
      <c r="G9" s="2">
        <v>35775661.529999971</v>
      </c>
      <c r="H9" s="3">
        <v>31650266.010000009</v>
      </c>
      <c r="I9" s="2">
        <v>30632913.640000001</v>
      </c>
      <c r="J9" s="2">
        <v>29260433.280000001</v>
      </c>
      <c r="K9" s="3">
        <v>27951983.719999999</v>
      </c>
      <c r="L9" s="2">
        <v>27360772.809999991</v>
      </c>
      <c r="M9" s="2">
        <v>26388840.799999978</v>
      </c>
      <c r="N9" s="3">
        <v>25738200.609999988</v>
      </c>
      <c r="O9" s="2">
        <v>25005883.66</v>
      </c>
      <c r="P9" s="2">
        <v>24711585.469999999</v>
      </c>
      <c r="Q9" s="3">
        <v>24026878.219999991</v>
      </c>
      <c r="R9" s="2">
        <v>23052560.02</v>
      </c>
      <c r="S9" s="2">
        <v>22602989.25</v>
      </c>
      <c r="T9" s="3">
        <v>21885922.190000001</v>
      </c>
      <c r="U9" s="2">
        <v>20946075.84</v>
      </c>
      <c r="V9" s="2">
        <v>20557282.550000001</v>
      </c>
      <c r="W9" s="3">
        <v>19268528.809999999</v>
      </c>
      <c r="X9" s="2">
        <v>18615259.440000009</v>
      </c>
      <c r="Y9" s="2">
        <v>18103609.66</v>
      </c>
      <c r="Z9" s="3">
        <v>17482872.079999998</v>
      </c>
      <c r="AA9" s="2">
        <v>15657131.270000011</v>
      </c>
      <c r="AB9" s="2">
        <v>14679700.770000011</v>
      </c>
      <c r="AC9" s="3">
        <v>14423254.510000009</v>
      </c>
      <c r="AD9" s="2">
        <v>13563432.14000001</v>
      </c>
      <c r="AE9" s="2">
        <v>12866093.420000009</v>
      </c>
      <c r="AF9" s="3">
        <v>12183737.449999999</v>
      </c>
      <c r="AG9" s="2">
        <v>11622156.380000001</v>
      </c>
      <c r="AH9" s="2">
        <v>11270249.630000001</v>
      </c>
      <c r="AI9" s="3">
        <v>11042901.58</v>
      </c>
      <c r="AJ9" s="2">
        <v>10405810.81000001</v>
      </c>
      <c r="AK9" s="2">
        <v>9096606.9200000018</v>
      </c>
      <c r="AL9" s="3">
        <v>8436536.5800000057</v>
      </c>
      <c r="AM9" s="2">
        <v>7401444.5900000026</v>
      </c>
      <c r="AN9" s="2">
        <v>6773678.660000002</v>
      </c>
      <c r="AO9" s="3">
        <v>6371357.3300000001</v>
      </c>
      <c r="AP9" s="2">
        <v>5687320.370000002</v>
      </c>
      <c r="AQ9" s="2">
        <v>5524893.1200000029</v>
      </c>
      <c r="AR9" s="3">
        <v>5133332.3200000012</v>
      </c>
      <c r="AS9" s="2">
        <v>4673951.9000000013</v>
      </c>
      <c r="AT9" s="2">
        <v>4405323.51</v>
      </c>
      <c r="AU9" s="3">
        <v>4228683.4199999981</v>
      </c>
      <c r="AV9" s="2">
        <v>3795167.359999998</v>
      </c>
      <c r="AW9" s="2">
        <v>3366851.43</v>
      </c>
      <c r="AX9" s="3">
        <v>3127456.01</v>
      </c>
      <c r="AY9" s="2">
        <v>2355188.4000000008</v>
      </c>
      <c r="AZ9" s="2">
        <v>1581944.01</v>
      </c>
      <c r="BA9" s="3">
        <v>1462025.39</v>
      </c>
      <c r="BB9" s="2">
        <v>1307266.55</v>
      </c>
      <c r="BC9" s="2">
        <v>1028186.49</v>
      </c>
      <c r="BD9" s="3">
        <v>868040.56</v>
      </c>
      <c r="BE9" s="2">
        <v>662787.18000000005</v>
      </c>
      <c r="BF9" s="2">
        <v>451547.57</v>
      </c>
      <c r="BG9" s="3">
        <v>339384.73</v>
      </c>
      <c r="BH9" s="2">
        <v>251445.53</v>
      </c>
      <c r="BI9" s="2">
        <v>178554.25</v>
      </c>
      <c r="BJ9" s="3">
        <v>128021.74</v>
      </c>
      <c r="BK9" s="2">
        <v>63417.72</v>
      </c>
      <c r="BL9">
        <v>0</v>
      </c>
    </row>
    <row r="10" spans="1:64" ht="15.5" x14ac:dyDescent="0.35">
      <c r="A10" t="s">
        <v>72</v>
      </c>
      <c r="B10" s="2">
        <v>27252230.479999989</v>
      </c>
      <c r="C10" s="2">
        <v>25187530.589999989</v>
      </c>
      <c r="D10" s="2">
        <v>24503852.93999999</v>
      </c>
      <c r="E10" s="3">
        <v>24122413.519999988</v>
      </c>
      <c r="F10" s="2">
        <v>23118387.179999989</v>
      </c>
      <c r="G10" s="2">
        <v>21963381.379999999</v>
      </c>
      <c r="H10" s="3">
        <v>19820159.120000001</v>
      </c>
      <c r="I10" s="2">
        <v>19173252.420000002</v>
      </c>
      <c r="J10" s="2">
        <v>18402414.230000019</v>
      </c>
      <c r="K10" s="3">
        <v>17690818.610000022</v>
      </c>
      <c r="L10" s="2">
        <v>17391039.06000001</v>
      </c>
      <c r="M10" s="2">
        <v>16896365.320000019</v>
      </c>
      <c r="N10" s="3">
        <v>16529355.970000019</v>
      </c>
      <c r="O10" s="2">
        <v>16322130.87000002</v>
      </c>
      <c r="P10" s="2">
        <v>16136080.640000019</v>
      </c>
      <c r="Q10" s="3">
        <v>15653576.180000011</v>
      </c>
      <c r="R10" s="2">
        <v>15191474.850000011</v>
      </c>
      <c r="S10" s="2">
        <v>14936512.280000011</v>
      </c>
      <c r="T10" s="3">
        <v>14462311.74000001</v>
      </c>
      <c r="U10" s="2">
        <v>13973874.330000009</v>
      </c>
      <c r="V10" s="2">
        <v>13712059.449999999</v>
      </c>
      <c r="W10" s="3">
        <v>13045661.170000009</v>
      </c>
      <c r="X10" s="2">
        <v>12717869.210000001</v>
      </c>
      <c r="Y10" s="2">
        <v>12355519.630000001</v>
      </c>
      <c r="Z10" s="3">
        <v>11931839.979999989</v>
      </c>
      <c r="AA10" s="2">
        <v>11535224.630000001</v>
      </c>
      <c r="AB10" s="2">
        <v>10888495.699999999</v>
      </c>
      <c r="AC10" s="3">
        <v>10703734.48</v>
      </c>
      <c r="AD10" s="2">
        <v>10108769.829999991</v>
      </c>
      <c r="AE10" s="2">
        <v>9609019.7899999935</v>
      </c>
      <c r="AF10" s="3">
        <v>9061697.9199999943</v>
      </c>
      <c r="AG10" s="2">
        <v>8548455.7100000009</v>
      </c>
      <c r="AH10" s="2">
        <v>8233029.0999999996</v>
      </c>
      <c r="AI10" s="3">
        <v>8036604.0500000007</v>
      </c>
      <c r="AJ10" s="2">
        <v>7513636.7200000035</v>
      </c>
      <c r="AK10" s="2">
        <v>6888336.6900000069</v>
      </c>
      <c r="AL10" s="3">
        <v>6406115.2000000067</v>
      </c>
      <c r="AM10" s="2">
        <v>6197090.6900000079</v>
      </c>
      <c r="AN10" s="2">
        <v>5694574.0400000066</v>
      </c>
      <c r="AO10" s="3">
        <v>5408727.4800000051</v>
      </c>
      <c r="AP10" s="2">
        <v>4899653.860000005</v>
      </c>
      <c r="AQ10" s="2">
        <v>4741988.4400000041</v>
      </c>
      <c r="AR10" s="3">
        <v>4446634.8900000025</v>
      </c>
      <c r="AS10" s="2">
        <v>4078063.22</v>
      </c>
      <c r="AT10" s="2">
        <v>3818682.15</v>
      </c>
      <c r="AU10" s="3">
        <v>3652731.52</v>
      </c>
      <c r="AV10" s="2">
        <v>3240944.0100000012</v>
      </c>
      <c r="AW10" s="2">
        <v>2859535.7400000021</v>
      </c>
      <c r="AX10" s="3">
        <v>2688986.1100000008</v>
      </c>
      <c r="AY10" s="2">
        <v>2077951.64</v>
      </c>
      <c r="AZ10" s="2">
        <v>1380139.28</v>
      </c>
      <c r="BA10" s="3">
        <v>1304980.7</v>
      </c>
      <c r="BB10" s="2">
        <v>1182062.06</v>
      </c>
      <c r="BC10" s="2">
        <v>917494.28000000014</v>
      </c>
      <c r="BD10" s="3">
        <v>790256.65000000014</v>
      </c>
      <c r="BE10" s="2">
        <v>587737.93000000005</v>
      </c>
      <c r="BF10" s="2">
        <v>381749.93</v>
      </c>
      <c r="BG10" s="3">
        <v>279719.27</v>
      </c>
      <c r="BH10" s="2">
        <v>192188.07</v>
      </c>
      <c r="BI10" s="2">
        <v>119296.79</v>
      </c>
      <c r="BJ10" s="3">
        <v>85094.720000000001</v>
      </c>
      <c r="BK10" s="2">
        <v>63209.03</v>
      </c>
      <c r="BL10">
        <v>0</v>
      </c>
    </row>
    <row r="11" spans="1:64" ht="15.5" x14ac:dyDescent="0.35">
      <c r="A11" t="s">
        <v>73</v>
      </c>
      <c r="B11" s="2">
        <v>755827.58999999985</v>
      </c>
      <c r="C11" s="2">
        <v>722254.02999999991</v>
      </c>
      <c r="D11" s="2">
        <v>714186.94999999984</v>
      </c>
      <c r="E11" s="3">
        <v>711701.94999999984</v>
      </c>
      <c r="F11" s="2">
        <v>692762.92999999982</v>
      </c>
      <c r="G11" s="2">
        <v>682902.92999999982</v>
      </c>
      <c r="H11" s="3">
        <v>647872.92999999982</v>
      </c>
      <c r="I11" s="2">
        <v>638142.92999999993</v>
      </c>
      <c r="J11" s="2">
        <v>627285.92999999982</v>
      </c>
      <c r="K11" s="3">
        <v>615042.62999999989</v>
      </c>
      <c r="L11" s="2">
        <v>607776.71999999986</v>
      </c>
      <c r="M11" s="2">
        <v>594131.71999999986</v>
      </c>
      <c r="N11" s="3">
        <v>590323.66999999981</v>
      </c>
      <c r="O11" s="2">
        <v>574413.1399999999</v>
      </c>
      <c r="P11" s="2">
        <v>570720.7799999998</v>
      </c>
      <c r="Q11" s="3">
        <v>562575.7799999998</v>
      </c>
      <c r="R11" s="2">
        <v>549934.80999999982</v>
      </c>
      <c r="S11" s="2">
        <v>539824.80999999982</v>
      </c>
      <c r="T11" s="3">
        <v>530079.80999999982</v>
      </c>
      <c r="U11" s="2">
        <v>508990.80999999982</v>
      </c>
      <c r="V11" s="2">
        <v>504840.81</v>
      </c>
      <c r="W11" s="3">
        <v>472273.25000000012</v>
      </c>
      <c r="X11" s="2">
        <v>460839.25000000012</v>
      </c>
      <c r="Y11" s="2">
        <v>450244.82000000018</v>
      </c>
      <c r="Z11" s="3">
        <v>435434.82000000012</v>
      </c>
      <c r="AA11" s="2">
        <v>411514.82000000012</v>
      </c>
      <c r="AB11" s="2">
        <v>398739.82000000012</v>
      </c>
      <c r="AC11" s="3">
        <v>394140.82000000012</v>
      </c>
      <c r="AD11" s="2">
        <v>379723.82000000012</v>
      </c>
      <c r="AE11" s="2">
        <v>367508.82000000012</v>
      </c>
      <c r="AF11" s="3">
        <v>354288.82000000012</v>
      </c>
      <c r="AG11" s="2">
        <v>344789.82000000012</v>
      </c>
      <c r="AH11" s="2">
        <v>336849.82000000012</v>
      </c>
      <c r="AI11" s="3">
        <v>325983.77000000008</v>
      </c>
      <c r="AJ11" s="2">
        <v>314414.77000000008</v>
      </c>
      <c r="AK11" s="2">
        <v>290014.77000000008</v>
      </c>
      <c r="AL11" s="3">
        <v>270924.75</v>
      </c>
      <c r="AM11" s="2">
        <v>254419.87</v>
      </c>
      <c r="AN11" s="2">
        <v>238751.28</v>
      </c>
      <c r="AO11" s="3">
        <v>229284.64</v>
      </c>
      <c r="AP11" s="2">
        <v>214554.64</v>
      </c>
      <c r="AQ11" s="2">
        <v>207857.64</v>
      </c>
      <c r="AR11" s="3">
        <v>198897.06</v>
      </c>
      <c r="AS11" s="2">
        <v>186427.06</v>
      </c>
      <c r="AT11" s="2">
        <v>153402.79</v>
      </c>
      <c r="AU11" s="3">
        <v>141023.79</v>
      </c>
      <c r="AV11" s="2">
        <v>130002.79</v>
      </c>
      <c r="AW11" s="2">
        <v>115065.79</v>
      </c>
      <c r="AX11" s="3">
        <v>107710.79</v>
      </c>
      <c r="AY11" s="2">
        <v>89345.450000000012</v>
      </c>
      <c r="AZ11" s="2">
        <v>71065.450000000012</v>
      </c>
      <c r="BA11" s="3">
        <v>68431.41</v>
      </c>
      <c r="BB11" s="2">
        <v>65176.41</v>
      </c>
      <c r="BC11" s="2">
        <v>57046.41</v>
      </c>
      <c r="BD11" s="3">
        <v>50551.41</v>
      </c>
      <c r="BE11" s="2">
        <v>43176.41</v>
      </c>
      <c r="BF11" s="2">
        <v>32106.41</v>
      </c>
      <c r="BG11" s="3">
        <v>27111.41</v>
      </c>
      <c r="BH11" s="2">
        <v>19551.41</v>
      </c>
      <c r="BI11" s="2">
        <v>8720.41</v>
      </c>
      <c r="BJ11" s="3">
        <v>2890</v>
      </c>
      <c r="BK11" s="2">
        <v>1150</v>
      </c>
      <c r="BL11">
        <v>0</v>
      </c>
    </row>
    <row r="12" spans="1:64" ht="15.5" x14ac:dyDescent="0.35">
      <c r="A12" t="s">
        <v>74</v>
      </c>
      <c r="B12" s="2">
        <v>667681691.54000294</v>
      </c>
      <c r="C12" s="2">
        <v>640121638.97000229</v>
      </c>
      <c r="D12" s="2">
        <v>632629517.17000198</v>
      </c>
      <c r="E12" s="3">
        <v>629635088.50000179</v>
      </c>
      <c r="F12" s="2">
        <v>614122653.32000136</v>
      </c>
      <c r="G12" s="2">
        <v>605309991.18000102</v>
      </c>
      <c r="H12" s="3">
        <v>579661821.51000082</v>
      </c>
      <c r="I12" s="2">
        <v>572196252.80000091</v>
      </c>
      <c r="J12" s="2">
        <v>559729105.9300009</v>
      </c>
      <c r="K12" s="3">
        <v>551092741.54000092</v>
      </c>
      <c r="L12" s="2">
        <v>543311543.49000084</v>
      </c>
      <c r="M12" s="2">
        <v>534493022.06000042</v>
      </c>
      <c r="N12" s="3">
        <v>528431157.58000028</v>
      </c>
      <c r="O12" s="2">
        <v>520967400.37000018</v>
      </c>
      <c r="P12" s="2">
        <v>516635317.81000018</v>
      </c>
      <c r="Q12" s="3">
        <v>510043931.1400001</v>
      </c>
      <c r="R12" s="2">
        <v>499869339.87000012</v>
      </c>
      <c r="S12" s="2">
        <v>493436951.69999993</v>
      </c>
      <c r="T12" s="3">
        <v>484124732.37999988</v>
      </c>
      <c r="U12" s="2">
        <v>474068454.17999983</v>
      </c>
      <c r="V12" s="2">
        <v>469147446.09999979</v>
      </c>
      <c r="W12" s="3">
        <v>447425524.66999978</v>
      </c>
      <c r="X12" s="2">
        <v>438719986.5799998</v>
      </c>
      <c r="Y12" s="2">
        <v>430181618.77999967</v>
      </c>
      <c r="Z12" s="3">
        <v>413474920.32999969</v>
      </c>
      <c r="AA12" s="2">
        <v>392887245.3999998</v>
      </c>
      <c r="AB12" s="2">
        <v>380478832.57999963</v>
      </c>
      <c r="AC12" s="3">
        <v>375481734.94999957</v>
      </c>
      <c r="AD12" s="2">
        <v>362398719.38999969</v>
      </c>
      <c r="AE12" s="2">
        <v>347264310.88999999</v>
      </c>
      <c r="AF12" s="3">
        <v>334750194.19999999</v>
      </c>
      <c r="AG12" s="2">
        <v>324889606.88999969</v>
      </c>
      <c r="AH12" s="2">
        <v>316586137.73999959</v>
      </c>
      <c r="AI12" s="3">
        <v>304530125.3799997</v>
      </c>
      <c r="AJ12" s="2">
        <v>291591712.33999991</v>
      </c>
      <c r="AK12" s="2">
        <v>274569982.48000002</v>
      </c>
      <c r="AL12" s="3">
        <v>260693712.7299999</v>
      </c>
      <c r="AM12" s="2">
        <v>246085592.80999991</v>
      </c>
      <c r="AN12" s="2">
        <v>234576783.53999999</v>
      </c>
      <c r="AO12" s="3">
        <v>226095337.47</v>
      </c>
      <c r="AP12" s="2">
        <v>211050769.90999991</v>
      </c>
      <c r="AQ12" s="2">
        <v>203509883.9899998</v>
      </c>
      <c r="AR12" s="3">
        <v>191235327.77000001</v>
      </c>
      <c r="AS12" s="2">
        <v>181078068.02000001</v>
      </c>
      <c r="AT12" s="2">
        <v>165047315.57999989</v>
      </c>
      <c r="AU12" s="3">
        <v>149653508.86999989</v>
      </c>
      <c r="AV12" s="2">
        <v>139632458.39999989</v>
      </c>
      <c r="AW12" s="2">
        <v>118563521.91</v>
      </c>
      <c r="AX12" s="3">
        <v>108393909.18000001</v>
      </c>
      <c r="AY12" s="2">
        <v>90046442.589999959</v>
      </c>
      <c r="AZ12" s="2">
        <v>69996662.970000029</v>
      </c>
      <c r="BA12" s="3">
        <v>66291906.679999992</v>
      </c>
      <c r="BB12" s="2">
        <v>62245764.209999993</v>
      </c>
      <c r="BC12" s="2">
        <v>55126555.249999993</v>
      </c>
      <c r="BD12" s="3">
        <v>50482528.11999999</v>
      </c>
      <c r="BE12" s="2">
        <v>43525663.219999976</v>
      </c>
      <c r="BF12" s="2">
        <v>33429407.729999989</v>
      </c>
      <c r="BG12" s="3">
        <v>28530434.609999988</v>
      </c>
      <c r="BH12" s="2">
        <v>19627677.710000001</v>
      </c>
      <c r="BI12" s="2">
        <v>10611807.380000001</v>
      </c>
      <c r="BJ12" s="3">
        <v>3311162.7</v>
      </c>
      <c r="BK12" s="2">
        <v>1472952.84</v>
      </c>
      <c r="BL12">
        <v>0</v>
      </c>
    </row>
    <row r="13" spans="1:64" ht="15.5" x14ac:dyDescent="0.35">
      <c r="A13" t="s">
        <v>75</v>
      </c>
      <c r="B13" s="2">
        <v>469254695.97999918</v>
      </c>
      <c r="C13" s="2">
        <v>458743876.53999913</v>
      </c>
      <c r="D13" s="2">
        <v>447761097.34999913</v>
      </c>
      <c r="E13" s="3">
        <v>438724409.61999899</v>
      </c>
      <c r="F13" s="2">
        <v>424154607.80999929</v>
      </c>
      <c r="G13" s="2">
        <v>413350597.17999929</v>
      </c>
      <c r="H13" s="3">
        <v>394658632.44999909</v>
      </c>
      <c r="I13" s="2">
        <v>384367983.22999918</v>
      </c>
      <c r="J13" s="2">
        <v>373516810.28999931</v>
      </c>
      <c r="K13" s="3">
        <v>362647189.07999921</v>
      </c>
      <c r="L13" s="2">
        <v>352862756.08999932</v>
      </c>
      <c r="M13" s="2">
        <v>342493121.16999942</v>
      </c>
      <c r="N13" s="3">
        <v>333454720.04999942</v>
      </c>
      <c r="O13" s="2">
        <v>324021088.90999937</v>
      </c>
      <c r="P13" s="2">
        <v>315531649.64999938</v>
      </c>
      <c r="Q13" s="3">
        <v>305897160.41999942</v>
      </c>
      <c r="R13" s="2">
        <v>295150686.11999953</v>
      </c>
      <c r="S13" s="2">
        <v>286643214.67999947</v>
      </c>
      <c r="T13" s="3">
        <v>276938075.35999948</v>
      </c>
      <c r="U13" s="2">
        <v>267923612.84999961</v>
      </c>
      <c r="V13" s="2">
        <v>260001645.4399997</v>
      </c>
      <c r="W13" s="3">
        <v>244039033.22999999</v>
      </c>
      <c r="X13" s="2">
        <v>235382420.5100002</v>
      </c>
      <c r="Y13" s="2">
        <v>226672074.9300001</v>
      </c>
      <c r="Z13" s="3">
        <v>217484335.42000031</v>
      </c>
      <c r="AA13" s="2">
        <v>204972856.76000041</v>
      </c>
      <c r="AB13" s="2">
        <v>195007646.80000031</v>
      </c>
      <c r="AC13" s="3">
        <v>188663336.69000041</v>
      </c>
      <c r="AD13" s="2">
        <v>179349092.90000039</v>
      </c>
      <c r="AE13" s="2">
        <v>170527036.94000041</v>
      </c>
      <c r="AF13" s="3">
        <v>161545642.51000041</v>
      </c>
      <c r="AG13" s="2">
        <v>153688177.55000031</v>
      </c>
      <c r="AH13" s="2">
        <v>146685124.34000021</v>
      </c>
      <c r="AI13" s="3">
        <v>138853971.96000019</v>
      </c>
      <c r="AJ13" s="2">
        <v>130594367.3500002</v>
      </c>
      <c r="AK13" s="2">
        <v>120936175.92000011</v>
      </c>
      <c r="AL13" s="3">
        <v>112496400.20000011</v>
      </c>
      <c r="AM13" s="2">
        <v>103433815.51000009</v>
      </c>
      <c r="AN13" s="2">
        <v>96394298.020000026</v>
      </c>
      <c r="AO13" s="3">
        <v>91027793.51000002</v>
      </c>
      <c r="AP13" s="2">
        <v>83409609.670000046</v>
      </c>
      <c r="AQ13" s="2">
        <v>78869689.190000072</v>
      </c>
      <c r="AR13" s="3">
        <v>72467931.320000067</v>
      </c>
      <c r="AS13" s="2">
        <v>66660831.969999999</v>
      </c>
      <c r="AT13" s="2">
        <v>59060393.229999989</v>
      </c>
      <c r="AU13" s="3">
        <v>54345354.259999961</v>
      </c>
      <c r="AV13" s="2">
        <v>49467808.00999999</v>
      </c>
      <c r="AW13" s="2">
        <v>44228608.299999997</v>
      </c>
      <c r="AX13" s="3">
        <v>39620127.549999982</v>
      </c>
      <c r="AY13" s="2">
        <v>33694218.419999972</v>
      </c>
      <c r="AZ13" s="2">
        <v>27648753.059999969</v>
      </c>
      <c r="BA13" s="3">
        <v>25817593.539999969</v>
      </c>
      <c r="BB13" s="2">
        <v>23889005.119999971</v>
      </c>
      <c r="BC13" s="2">
        <v>21063297.349999979</v>
      </c>
      <c r="BD13" s="3">
        <v>18823080.77999999</v>
      </c>
      <c r="BE13" s="2">
        <v>15697037.88999998</v>
      </c>
      <c r="BF13" s="2">
        <v>11854276.41</v>
      </c>
      <c r="BG13" s="3">
        <v>9536970.109999992</v>
      </c>
      <c r="BH13" s="2">
        <v>6499795.3000000007</v>
      </c>
      <c r="BI13" s="2">
        <v>3221725.38</v>
      </c>
      <c r="BJ13" s="3">
        <v>1194585.56</v>
      </c>
      <c r="BK13" s="2">
        <v>464390.02000000008</v>
      </c>
      <c r="BL13">
        <v>0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71</v>
      </c>
      <c r="D15" s="2">
        <v>15</v>
      </c>
      <c r="E15" s="3">
        <v>7</v>
      </c>
      <c r="F15" s="2">
        <v>36</v>
      </c>
      <c r="G15" s="2">
        <v>21</v>
      </c>
      <c r="H15" s="3">
        <v>52</v>
      </c>
      <c r="I15" s="2">
        <v>16</v>
      </c>
      <c r="J15" s="2">
        <v>18</v>
      </c>
      <c r="K15" s="3">
        <v>23</v>
      </c>
      <c r="L15" s="2">
        <v>13</v>
      </c>
      <c r="M15" s="2">
        <v>16</v>
      </c>
      <c r="N15" s="3">
        <v>10</v>
      </c>
      <c r="O15" s="2">
        <v>15</v>
      </c>
      <c r="P15" s="2">
        <v>5</v>
      </c>
      <c r="Q15" s="3">
        <v>15</v>
      </c>
      <c r="R15" s="2">
        <v>22</v>
      </c>
      <c r="S15" s="2">
        <v>10</v>
      </c>
      <c r="T15" s="3">
        <v>13</v>
      </c>
      <c r="U15" s="2">
        <v>13</v>
      </c>
      <c r="V15" s="2">
        <v>9</v>
      </c>
      <c r="W15" s="3">
        <v>36</v>
      </c>
      <c r="X15" s="2">
        <v>17</v>
      </c>
      <c r="Y15" s="2">
        <v>15</v>
      </c>
      <c r="Z15" s="3">
        <v>14</v>
      </c>
      <c r="AA15" s="2">
        <v>38</v>
      </c>
      <c r="AB15" s="2">
        <v>21</v>
      </c>
      <c r="AC15" s="3">
        <v>7</v>
      </c>
      <c r="AD15" s="2">
        <v>24</v>
      </c>
      <c r="AE15" s="2">
        <v>21</v>
      </c>
      <c r="AF15" s="3">
        <v>19</v>
      </c>
      <c r="AG15" s="2">
        <v>16</v>
      </c>
      <c r="AH15" s="2">
        <v>13</v>
      </c>
      <c r="AI15" s="3">
        <v>16</v>
      </c>
      <c r="AJ15" s="2">
        <v>18</v>
      </c>
      <c r="AK15" s="2">
        <v>23</v>
      </c>
      <c r="AL15" s="3">
        <v>32</v>
      </c>
      <c r="AM15" s="2">
        <v>16</v>
      </c>
      <c r="AN15" s="2">
        <v>17</v>
      </c>
      <c r="AO15" s="3">
        <v>12</v>
      </c>
      <c r="AP15" s="2">
        <v>23</v>
      </c>
      <c r="AQ15" s="2">
        <v>5</v>
      </c>
      <c r="AR15" s="3">
        <v>14</v>
      </c>
      <c r="AS15" s="2">
        <v>12</v>
      </c>
      <c r="AT15" s="2">
        <v>22</v>
      </c>
      <c r="AU15" s="3">
        <v>11</v>
      </c>
      <c r="AV15" s="2">
        <v>16</v>
      </c>
      <c r="AW15" s="2">
        <v>15</v>
      </c>
      <c r="AX15" s="3">
        <v>13</v>
      </c>
      <c r="AY15" s="2">
        <v>15</v>
      </c>
      <c r="AZ15" s="2">
        <v>19</v>
      </c>
      <c r="BA15" s="3">
        <v>3</v>
      </c>
      <c r="BB15" s="2">
        <v>6</v>
      </c>
      <c r="BC15" s="2">
        <v>14</v>
      </c>
      <c r="BD15" s="3">
        <v>9</v>
      </c>
      <c r="BE15" s="2">
        <v>13</v>
      </c>
      <c r="BF15" s="2">
        <v>17</v>
      </c>
      <c r="BG15" s="3">
        <v>9</v>
      </c>
      <c r="BH15" s="2">
        <v>11</v>
      </c>
      <c r="BI15" s="2">
        <v>14</v>
      </c>
      <c r="BJ15" s="3">
        <v>7</v>
      </c>
      <c r="BK15" s="2">
        <v>3</v>
      </c>
      <c r="BL15">
        <v>2</v>
      </c>
    </row>
    <row r="16" spans="1:64" ht="15.5" x14ac:dyDescent="0.35">
      <c r="A16" t="s">
        <v>78</v>
      </c>
      <c r="B16" s="2">
        <v>0</v>
      </c>
      <c r="C16" s="2">
        <v>4</v>
      </c>
      <c r="D16" s="2">
        <v>2</v>
      </c>
      <c r="E16" s="3">
        <v>0</v>
      </c>
      <c r="F16" s="2">
        <v>5</v>
      </c>
      <c r="G16" s="2">
        <v>4</v>
      </c>
      <c r="H16" s="3">
        <v>5</v>
      </c>
      <c r="I16" s="2">
        <v>4</v>
      </c>
      <c r="J16" s="2">
        <v>9</v>
      </c>
      <c r="K16" s="3">
        <v>3</v>
      </c>
      <c r="L16" s="2">
        <v>7</v>
      </c>
      <c r="M16" s="2">
        <v>8</v>
      </c>
      <c r="N16" s="3">
        <v>1</v>
      </c>
      <c r="O16" s="2">
        <v>1</v>
      </c>
      <c r="P16" s="2">
        <v>4</v>
      </c>
      <c r="Q16" s="3">
        <v>3</v>
      </c>
      <c r="R16" s="2">
        <v>3</v>
      </c>
      <c r="S16" s="2">
        <v>3</v>
      </c>
      <c r="T16" s="3">
        <v>5</v>
      </c>
      <c r="U16" s="2">
        <v>14</v>
      </c>
      <c r="V16" s="2">
        <v>1</v>
      </c>
      <c r="W16" s="3">
        <v>7</v>
      </c>
      <c r="X16" s="2">
        <v>4</v>
      </c>
      <c r="Y16" s="2">
        <v>5</v>
      </c>
      <c r="Z16" s="3">
        <v>6</v>
      </c>
      <c r="AA16" s="2">
        <v>4</v>
      </c>
      <c r="AB16" s="2">
        <v>3</v>
      </c>
      <c r="AC16" s="3">
        <v>3</v>
      </c>
      <c r="AD16" s="2">
        <v>5</v>
      </c>
      <c r="AE16" s="2">
        <v>9</v>
      </c>
      <c r="AF16" s="3">
        <v>6</v>
      </c>
      <c r="AG16" s="2">
        <v>2</v>
      </c>
      <c r="AH16" s="2">
        <v>5</v>
      </c>
      <c r="AI16" s="3">
        <v>9</v>
      </c>
      <c r="AJ16" s="2">
        <v>4</v>
      </c>
      <c r="AK16" s="2">
        <v>4</v>
      </c>
      <c r="AL16" s="3">
        <v>4</v>
      </c>
      <c r="AM16" s="2">
        <v>3</v>
      </c>
      <c r="AN16" s="2">
        <v>3</v>
      </c>
      <c r="AO16" s="3">
        <v>5</v>
      </c>
      <c r="AP16" s="2">
        <v>7</v>
      </c>
      <c r="AQ16" s="2">
        <v>6</v>
      </c>
      <c r="AR16" s="3">
        <v>7</v>
      </c>
      <c r="AS16" s="2">
        <v>3</v>
      </c>
      <c r="AT16" s="2">
        <v>10</v>
      </c>
      <c r="AU16" s="3">
        <v>16</v>
      </c>
      <c r="AV16" s="2">
        <v>2</v>
      </c>
      <c r="AW16" s="2">
        <v>8</v>
      </c>
      <c r="AX16" s="3">
        <v>3</v>
      </c>
      <c r="AY16" s="2">
        <v>9</v>
      </c>
      <c r="AZ16" s="2">
        <v>8</v>
      </c>
      <c r="BA16" s="3">
        <v>4</v>
      </c>
      <c r="BB16" s="2">
        <v>2</v>
      </c>
      <c r="BC16" s="2">
        <v>3</v>
      </c>
      <c r="BD16" s="3">
        <v>1</v>
      </c>
      <c r="BE16" s="2">
        <v>1</v>
      </c>
      <c r="BF16" s="2">
        <v>3</v>
      </c>
      <c r="BG16" s="3">
        <v>0</v>
      </c>
      <c r="BH16" s="2">
        <v>3</v>
      </c>
      <c r="BI16" s="2">
        <v>1</v>
      </c>
      <c r="BJ16" s="3">
        <v>6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16"/>
  <sheetViews>
    <sheetView workbookViewId="0">
      <selection activeCell="C5" sqref="C5"/>
    </sheetView>
  </sheetViews>
  <sheetFormatPr defaultRowHeight="14.5" x14ac:dyDescent="0.35"/>
  <cols>
    <col min="1" max="1" width="16.6328125" bestFit="1" customWidth="1"/>
    <col min="2" max="4" width="16" bestFit="1" customWidth="1"/>
    <col min="5" max="5" width="15" bestFit="1" customWidth="1"/>
    <col min="6" max="7" width="16" bestFit="1" customWidth="1"/>
    <col min="8" max="8" width="15" bestFit="1" customWidth="1"/>
    <col min="9" max="10" width="16" bestFit="1" customWidth="1"/>
    <col min="11" max="11" width="15" bestFit="1" customWidth="1"/>
    <col min="12" max="13" width="16" bestFit="1" customWidth="1"/>
    <col min="14" max="14" width="15" bestFit="1" customWidth="1"/>
    <col min="15" max="16" width="16" bestFit="1" customWidth="1"/>
    <col min="17" max="17" width="15" bestFit="1" customWidth="1"/>
    <col min="18" max="19" width="16" bestFit="1" customWidth="1"/>
    <col min="20" max="20" width="15" bestFit="1" customWidth="1"/>
    <col min="21" max="22" width="16" bestFit="1" customWidth="1"/>
    <col min="23" max="23" width="15" bestFit="1" customWidth="1"/>
    <col min="24" max="25" width="16" bestFit="1" customWidth="1"/>
    <col min="26" max="26" width="15" bestFit="1" customWidth="1"/>
    <col min="27" max="28" width="16" bestFit="1" customWidth="1"/>
    <col min="29" max="29" width="15" bestFit="1" customWidth="1"/>
    <col min="30" max="31" width="16" bestFit="1" customWidth="1"/>
    <col min="32" max="32" width="15" bestFit="1" customWidth="1"/>
    <col min="33" max="34" width="16" bestFit="1" customWidth="1"/>
    <col min="35" max="35" width="13.54296875" bestFit="1" customWidth="1"/>
    <col min="36" max="37" width="14.453125" bestFit="1" customWidth="1"/>
    <col min="38" max="38" width="13.54296875" bestFit="1" customWidth="1"/>
    <col min="39" max="40" width="14.453125" bestFit="1" customWidth="1"/>
    <col min="41" max="41" width="13.54296875" bestFit="1" customWidth="1"/>
    <col min="42" max="43" width="14.453125" bestFit="1" customWidth="1"/>
    <col min="44" max="44" width="13.54296875" bestFit="1" customWidth="1"/>
    <col min="45" max="46" width="14.453125" bestFit="1" customWidth="1"/>
    <col min="47" max="47" width="13.54296875" bestFit="1" customWidth="1"/>
    <col min="48" max="49" width="14.453125" bestFit="1" customWidth="1"/>
    <col min="50" max="50" width="13.54296875" bestFit="1" customWidth="1"/>
    <col min="51" max="52" width="14.453125" bestFit="1" customWidth="1"/>
    <col min="53" max="53" width="13.54296875" bestFit="1" customWidth="1"/>
    <col min="54" max="55" width="14.453125" bestFit="1" customWidth="1"/>
    <col min="56" max="56" width="13.54296875" bestFit="1" customWidth="1"/>
    <col min="57" max="57" width="14.453125" bestFit="1" customWidth="1"/>
    <col min="58" max="58" width="13.36328125" bestFit="1" customWidth="1"/>
    <col min="59" max="59" width="12.453125" bestFit="1" customWidth="1"/>
    <col min="60" max="61" width="13.36328125" bestFit="1" customWidth="1"/>
    <col min="62" max="62" width="12.453125" bestFit="1" customWidth="1"/>
    <col min="63" max="63" width="13.36328125" bestFit="1" customWidth="1"/>
    <col min="64" max="64" width="11.816406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7653</v>
      </c>
      <c r="C2" s="2">
        <v>6789</v>
      </c>
      <c r="D2" s="2">
        <v>6603</v>
      </c>
      <c r="E2" s="3">
        <v>6395</v>
      </c>
      <c r="F2" s="2">
        <v>6202</v>
      </c>
      <c r="G2" s="2">
        <v>6008</v>
      </c>
      <c r="H2" s="3">
        <v>5858</v>
      </c>
      <c r="I2" s="2">
        <v>5667</v>
      </c>
      <c r="J2" s="2">
        <v>5374</v>
      </c>
      <c r="K2" s="3">
        <v>5163</v>
      </c>
      <c r="L2" s="2">
        <v>4994</v>
      </c>
      <c r="M2" s="2">
        <v>4717</v>
      </c>
      <c r="N2" s="3">
        <v>4530</v>
      </c>
      <c r="O2" s="2">
        <v>4327</v>
      </c>
      <c r="P2" s="2">
        <v>4221</v>
      </c>
      <c r="Q2" s="3">
        <v>4078</v>
      </c>
      <c r="R2" s="2">
        <v>3918</v>
      </c>
      <c r="S2" s="2">
        <v>3734</v>
      </c>
      <c r="T2" s="3">
        <v>3582</v>
      </c>
      <c r="U2" s="2">
        <v>3407</v>
      </c>
      <c r="V2" s="2">
        <v>3128</v>
      </c>
      <c r="W2" s="3">
        <v>2958</v>
      </c>
      <c r="X2" s="2">
        <v>2785</v>
      </c>
      <c r="Y2" s="2">
        <v>2582</v>
      </c>
      <c r="Z2" s="3">
        <v>2423</v>
      </c>
      <c r="AA2" s="2">
        <v>2297</v>
      </c>
      <c r="AB2" s="2">
        <v>2181</v>
      </c>
      <c r="AC2" s="3">
        <v>2105</v>
      </c>
      <c r="AD2" s="2">
        <v>2018</v>
      </c>
      <c r="AE2" s="2">
        <v>1903</v>
      </c>
      <c r="AF2" s="3">
        <v>1809</v>
      </c>
      <c r="AG2" s="2">
        <v>1708</v>
      </c>
      <c r="AH2" s="2">
        <v>1567</v>
      </c>
      <c r="AI2" s="3">
        <v>1480</v>
      </c>
      <c r="AJ2" s="2">
        <v>1373</v>
      </c>
      <c r="AK2" s="2">
        <v>1257</v>
      </c>
      <c r="AL2" s="3">
        <v>1110</v>
      </c>
      <c r="AM2" s="2">
        <v>1033</v>
      </c>
      <c r="AN2" s="2">
        <v>966</v>
      </c>
      <c r="AO2" s="3">
        <v>929</v>
      </c>
      <c r="AP2" s="2">
        <v>896</v>
      </c>
      <c r="AQ2" s="2">
        <v>846</v>
      </c>
      <c r="AR2" s="3">
        <v>787</v>
      </c>
      <c r="AS2" s="2">
        <v>731</v>
      </c>
      <c r="AT2" s="2">
        <v>679</v>
      </c>
      <c r="AU2" s="3">
        <v>560</v>
      </c>
      <c r="AV2" s="2">
        <v>442</v>
      </c>
      <c r="AW2" s="2">
        <v>386</v>
      </c>
      <c r="AX2" s="3">
        <v>345</v>
      </c>
      <c r="AY2" s="2">
        <v>303</v>
      </c>
      <c r="AZ2" s="2">
        <v>279</v>
      </c>
      <c r="BA2" s="3">
        <v>261</v>
      </c>
      <c r="BB2" s="2">
        <v>242</v>
      </c>
      <c r="BC2" s="2">
        <v>220</v>
      </c>
      <c r="BD2" s="3">
        <v>195</v>
      </c>
      <c r="BE2" s="2">
        <v>172</v>
      </c>
      <c r="BF2" s="2">
        <v>142</v>
      </c>
      <c r="BG2" s="3">
        <v>97</v>
      </c>
      <c r="BH2" s="2">
        <v>55</v>
      </c>
      <c r="BI2" s="2">
        <v>28</v>
      </c>
      <c r="BJ2" s="3">
        <v>9</v>
      </c>
      <c r="BK2" s="2">
        <v>9</v>
      </c>
      <c r="BL2">
        <v>9</v>
      </c>
    </row>
    <row r="3" spans="1:64" ht="15.5" x14ac:dyDescent="0.35">
      <c r="A3" t="s">
        <v>65</v>
      </c>
      <c r="B3" s="2">
        <v>1748</v>
      </c>
      <c r="C3" s="2">
        <v>1700</v>
      </c>
      <c r="D3" s="2">
        <v>1683</v>
      </c>
      <c r="E3" s="3">
        <v>1680</v>
      </c>
      <c r="F3" s="2">
        <v>1668</v>
      </c>
      <c r="G3" s="2">
        <v>1642</v>
      </c>
      <c r="H3" s="3">
        <v>1606</v>
      </c>
      <c r="I3" s="2">
        <v>1593</v>
      </c>
      <c r="J3" s="2">
        <v>1581</v>
      </c>
      <c r="K3" s="3">
        <v>1545</v>
      </c>
      <c r="L3" s="2">
        <v>1508</v>
      </c>
      <c r="M3" s="2">
        <v>1464</v>
      </c>
      <c r="N3" s="3">
        <v>1417</v>
      </c>
      <c r="O3" s="2">
        <v>1388</v>
      </c>
      <c r="P3" s="2">
        <v>1368</v>
      </c>
      <c r="Q3" s="3">
        <v>1361</v>
      </c>
      <c r="R3" s="2">
        <v>1338</v>
      </c>
      <c r="S3" s="2">
        <v>1310</v>
      </c>
      <c r="T3" s="3">
        <v>1221</v>
      </c>
      <c r="U3" s="2">
        <v>1208</v>
      </c>
      <c r="V3" s="2">
        <v>1183</v>
      </c>
      <c r="W3" s="3">
        <v>1168</v>
      </c>
      <c r="X3" s="2">
        <v>1148</v>
      </c>
      <c r="Y3" s="2">
        <v>1130</v>
      </c>
      <c r="Z3" s="3">
        <v>1110</v>
      </c>
      <c r="AA3" s="2">
        <v>1087</v>
      </c>
      <c r="AB3" s="2">
        <v>1081</v>
      </c>
      <c r="AC3" s="3">
        <v>1044</v>
      </c>
      <c r="AD3" s="2">
        <v>1008</v>
      </c>
      <c r="AE3" s="2">
        <v>975</v>
      </c>
      <c r="AF3" s="3">
        <v>948</v>
      </c>
      <c r="AG3" s="2">
        <v>892</v>
      </c>
      <c r="AH3" s="2">
        <v>796</v>
      </c>
      <c r="AI3" s="3">
        <v>720</v>
      </c>
      <c r="AJ3" s="2">
        <v>539</v>
      </c>
      <c r="AK3" s="2">
        <v>472</v>
      </c>
      <c r="AL3" s="3">
        <v>340</v>
      </c>
      <c r="AM3" s="2">
        <v>334</v>
      </c>
      <c r="AN3" s="2">
        <v>324</v>
      </c>
      <c r="AO3" s="3">
        <v>323</v>
      </c>
      <c r="AP3" s="2">
        <v>319</v>
      </c>
      <c r="AQ3" s="2">
        <v>305</v>
      </c>
      <c r="AR3" s="3">
        <v>276</v>
      </c>
      <c r="AS3" s="2">
        <v>263</v>
      </c>
      <c r="AT3" s="2">
        <v>254</v>
      </c>
      <c r="AU3" s="3">
        <v>215</v>
      </c>
      <c r="AV3" s="2">
        <v>188</v>
      </c>
      <c r="AW3" s="2">
        <v>186</v>
      </c>
      <c r="AX3" s="3">
        <v>164</v>
      </c>
      <c r="AY3" s="2">
        <v>161</v>
      </c>
      <c r="AZ3" s="2">
        <v>146</v>
      </c>
      <c r="BA3" s="3">
        <v>142</v>
      </c>
      <c r="BB3" s="2">
        <v>129</v>
      </c>
      <c r="BC3" s="2">
        <v>124</v>
      </c>
      <c r="BD3" s="3">
        <v>121</v>
      </c>
      <c r="BE3" s="2">
        <v>51</v>
      </c>
      <c r="BF3" s="2">
        <v>18</v>
      </c>
      <c r="BG3" s="3">
        <v>18</v>
      </c>
      <c r="BH3" s="2">
        <v>17</v>
      </c>
      <c r="BI3" s="2">
        <v>16</v>
      </c>
      <c r="BJ3" s="3">
        <v>15</v>
      </c>
      <c r="BK3" s="2">
        <v>15</v>
      </c>
      <c r="BL3">
        <v>15</v>
      </c>
    </row>
    <row r="4" spans="1:64" ht="15.5" x14ac:dyDescent="0.35">
      <c r="A4" t="s">
        <v>66</v>
      </c>
      <c r="B4" s="2">
        <v>1</v>
      </c>
      <c r="C4" s="2">
        <v>1</v>
      </c>
      <c r="D4" s="2">
        <v>1</v>
      </c>
      <c r="E4" s="3">
        <v>1</v>
      </c>
      <c r="F4" s="2">
        <v>1</v>
      </c>
      <c r="G4" s="2">
        <v>1</v>
      </c>
      <c r="H4" s="3">
        <v>1</v>
      </c>
      <c r="I4" s="2">
        <v>1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105469746.73999991</v>
      </c>
      <c r="C5" s="2">
        <v>96030610.380000025</v>
      </c>
      <c r="D5" s="2">
        <v>93751568.339999989</v>
      </c>
      <c r="E5" s="3">
        <v>91535497.400000095</v>
      </c>
      <c r="F5" s="2">
        <v>89801239.960000098</v>
      </c>
      <c r="G5" s="2">
        <v>87600098.760000169</v>
      </c>
      <c r="H5" s="3">
        <v>85499849.419999883</v>
      </c>
      <c r="I5" s="2">
        <v>83332881.659999862</v>
      </c>
      <c r="J5" s="2">
        <v>80493842.990000024</v>
      </c>
      <c r="K5" s="3">
        <v>77276183.949999943</v>
      </c>
      <c r="L5" s="2">
        <v>74149554.8699999</v>
      </c>
      <c r="M5" s="2">
        <v>71169027.670000017</v>
      </c>
      <c r="N5" s="3">
        <v>68546568.710000157</v>
      </c>
      <c r="O5" s="2">
        <v>66161963.90000014</v>
      </c>
      <c r="P5" s="2">
        <v>64683921.300000086</v>
      </c>
      <c r="Q5" s="3">
        <v>63200901.130000129</v>
      </c>
      <c r="R5" s="2">
        <v>61258429.180000164</v>
      </c>
      <c r="S5" s="2">
        <v>58924232.500000037</v>
      </c>
      <c r="T5" s="3">
        <v>56572635.460000053</v>
      </c>
      <c r="U5" s="2">
        <v>54332389.079999991</v>
      </c>
      <c r="V5" s="2">
        <v>51532710.189999983</v>
      </c>
      <c r="W5" s="3">
        <v>48918008.87000002</v>
      </c>
      <c r="X5" s="2">
        <v>45883269.289999962</v>
      </c>
      <c r="Y5" s="2">
        <v>43282910.35999988</v>
      </c>
      <c r="Z5" s="3">
        <v>40705333.599999942</v>
      </c>
      <c r="AA5" s="2">
        <v>38159907.100000016</v>
      </c>
      <c r="AB5" s="2">
        <v>36586401.810000092</v>
      </c>
      <c r="AC5" s="3">
        <v>35252991.950000063</v>
      </c>
      <c r="AD5" s="2">
        <v>33949391.020000078</v>
      </c>
      <c r="AE5" s="2">
        <v>31871612.280000061</v>
      </c>
      <c r="AF5" s="3">
        <v>30278287.749999952</v>
      </c>
      <c r="AG5" s="2">
        <v>28001682.29999993</v>
      </c>
      <c r="AH5" s="2">
        <v>25560463.629999992</v>
      </c>
      <c r="AI5" s="3">
        <v>23943850.039999992</v>
      </c>
      <c r="AJ5" s="2">
        <v>21861132.109999981</v>
      </c>
      <c r="AK5" s="2">
        <v>19483755.69999994</v>
      </c>
      <c r="AL5" s="3">
        <v>17036956.87000002</v>
      </c>
      <c r="AM5" s="2">
        <v>15673169.740000039</v>
      </c>
      <c r="AN5" s="2">
        <v>14778581.780000061</v>
      </c>
      <c r="AO5" s="3">
        <v>14278865.86000005</v>
      </c>
      <c r="AP5" s="2">
        <v>13818509.51000005</v>
      </c>
      <c r="AQ5" s="2">
        <v>13050777.11000005</v>
      </c>
      <c r="AR5" s="3">
        <v>11800129.110000011</v>
      </c>
      <c r="AS5" s="2">
        <v>10947059.55000001</v>
      </c>
      <c r="AT5" s="2">
        <v>10247807.890000019</v>
      </c>
      <c r="AU5" s="3">
        <v>8644514.7900000084</v>
      </c>
      <c r="AV5" s="2">
        <v>7086092.6500000032</v>
      </c>
      <c r="AW5" s="2">
        <v>6407616.0899999971</v>
      </c>
      <c r="AX5" s="3">
        <v>5153832.6999999974</v>
      </c>
      <c r="AY5" s="2">
        <v>4732951.6599999983</v>
      </c>
      <c r="AZ5" s="2">
        <v>4427222.7699999996</v>
      </c>
      <c r="BA5" s="3">
        <v>4144637.6199999992</v>
      </c>
      <c r="BB5" s="2">
        <v>3802976.3399999961</v>
      </c>
      <c r="BC5" s="2">
        <v>3529284.959999999</v>
      </c>
      <c r="BD5" s="3">
        <v>3161604.859999998</v>
      </c>
      <c r="BE5" s="2">
        <v>2314544.3200000022</v>
      </c>
      <c r="BF5" s="2">
        <v>1599817.6300000011</v>
      </c>
      <c r="BG5" s="3">
        <v>1197027.52</v>
      </c>
      <c r="BH5" s="2">
        <v>740215.3600000001</v>
      </c>
      <c r="BI5" s="2">
        <v>444767.21000000008</v>
      </c>
      <c r="BJ5" s="3">
        <v>262341.68000000011</v>
      </c>
      <c r="BK5" s="2">
        <v>262341.68000000011</v>
      </c>
      <c r="BL5">
        <v>262341.68000000011</v>
      </c>
    </row>
    <row r="6" spans="1:64" ht="15.5" x14ac:dyDescent="0.35">
      <c r="A6" t="s">
        <v>68</v>
      </c>
      <c r="B6" s="2">
        <v>51416042.729999341</v>
      </c>
      <c r="C6" s="2">
        <v>47272500.359999433</v>
      </c>
      <c r="D6" s="2">
        <v>46174116.669999927</v>
      </c>
      <c r="E6" s="3">
        <v>45252773.1599999</v>
      </c>
      <c r="F6" s="2">
        <v>44448467.539999947</v>
      </c>
      <c r="G6" s="2">
        <v>43446137.399999991</v>
      </c>
      <c r="H6" s="3">
        <v>42358399.850000091</v>
      </c>
      <c r="I6" s="2">
        <v>41373621.700000077</v>
      </c>
      <c r="J6" s="2">
        <v>40052216.130000107</v>
      </c>
      <c r="K6" s="3">
        <v>38460888.280000187</v>
      </c>
      <c r="L6" s="2">
        <v>36720870.610000163</v>
      </c>
      <c r="M6" s="2">
        <v>35325764.420000061</v>
      </c>
      <c r="N6" s="3">
        <v>33975081.870000012</v>
      </c>
      <c r="O6" s="2">
        <v>32869222.81000011</v>
      </c>
      <c r="P6" s="2">
        <v>32133860.730000108</v>
      </c>
      <c r="Q6" s="3">
        <v>31469591.580000151</v>
      </c>
      <c r="R6" s="2">
        <v>30495299.82000016</v>
      </c>
      <c r="S6" s="2">
        <v>29358081.310000099</v>
      </c>
      <c r="T6" s="3">
        <v>28094301.760000098</v>
      </c>
      <c r="U6" s="2">
        <v>27025086.120000038</v>
      </c>
      <c r="V6" s="2">
        <v>25783508.330000021</v>
      </c>
      <c r="W6" s="3">
        <v>24462011.000000011</v>
      </c>
      <c r="X6" s="2">
        <v>22921538.749999959</v>
      </c>
      <c r="Y6" s="2">
        <v>21684517.629999928</v>
      </c>
      <c r="Z6" s="3">
        <v>20349530.709999919</v>
      </c>
      <c r="AA6" s="2">
        <v>19169408.059999909</v>
      </c>
      <c r="AB6" s="2">
        <v>18369408.12999991</v>
      </c>
      <c r="AC6" s="3">
        <v>17732090.69999994</v>
      </c>
      <c r="AD6" s="2">
        <v>17070679.05999992</v>
      </c>
      <c r="AE6" s="2">
        <v>16160856.99999989</v>
      </c>
      <c r="AF6" s="3">
        <v>15268878.429999949</v>
      </c>
      <c r="AG6" s="2">
        <v>13967025.01999994</v>
      </c>
      <c r="AH6" s="2">
        <v>12758322.23999998</v>
      </c>
      <c r="AI6" s="3">
        <v>11958295.869999981</v>
      </c>
      <c r="AJ6" s="2">
        <v>10852724.399999989</v>
      </c>
      <c r="AK6" s="2">
        <v>9483045.0000000317</v>
      </c>
      <c r="AL6" s="3">
        <v>8247213.8000000287</v>
      </c>
      <c r="AM6" s="2">
        <v>7620507.1100000339</v>
      </c>
      <c r="AN6" s="2">
        <v>7210387.110000032</v>
      </c>
      <c r="AO6" s="3">
        <v>6991652.7600000333</v>
      </c>
      <c r="AP6" s="2">
        <v>6774289.6400000267</v>
      </c>
      <c r="AQ6" s="2">
        <v>6416868.9800000191</v>
      </c>
      <c r="AR6" s="3">
        <v>5777766.7100000074</v>
      </c>
      <c r="AS6" s="2">
        <v>5370095.1300000045</v>
      </c>
      <c r="AT6" s="2">
        <v>5028236.1200000076</v>
      </c>
      <c r="AU6" s="3">
        <v>4255140.4799999986</v>
      </c>
      <c r="AV6" s="2">
        <v>3495705.339999998</v>
      </c>
      <c r="AW6" s="2">
        <v>3192887.4699999979</v>
      </c>
      <c r="AX6" s="3">
        <v>2417560.8499999959</v>
      </c>
      <c r="AY6" s="2">
        <v>2253190.1099999971</v>
      </c>
      <c r="AZ6" s="2">
        <v>2103152.3499999982</v>
      </c>
      <c r="BA6" s="3">
        <v>1986424.2699999991</v>
      </c>
      <c r="BB6" s="2">
        <v>1807637.52</v>
      </c>
      <c r="BC6" s="2">
        <v>1671102.5600000019</v>
      </c>
      <c r="BD6" s="3">
        <v>1492314.4600000021</v>
      </c>
      <c r="BE6" s="2">
        <v>1048814.179999999</v>
      </c>
      <c r="BF6" s="2">
        <v>657096.54999999946</v>
      </c>
      <c r="BG6" s="3">
        <v>494452.79999999987</v>
      </c>
      <c r="BH6" s="2">
        <v>301430.24</v>
      </c>
      <c r="BI6" s="2">
        <v>188631.97</v>
      </c>
      <c r="BJ6" s="3">
        <v>107894.37</v>
      </c>
      <c r="BK6" s="2">
        <v>107894.37</v>
      </c>
      <c r="BL6">
        <v>107894.37</v>
      </c>
    </row>
    <row r="7" spans="1:64" ht="15.5" x14ac:dyDescent="0.35">
      <c r="A7" t="s">
        <v>69</v>
      </c>
      <c r="B7" s="2">
        <v>24544371.290000141</v>
      </c>
      <c r="C7" s="2">
        <v>22944288.66000006</v>
      </c>
      <c r="D7" s="2">
        <v>22518100.150000051</v>
      </c>
      <c r="E7" s="3">
        <v>22155634.270000029</v>
      </c>
      <c r="F7" s="2">
        <v>21790991.69000002</v>
      </c>
      <c r="G7" s="2">
        <v>21350713.230000041</v>
      </c>
      <c r="H7" s="3">
        <v>20864911.360000052</v>
      </c>
      <c r="I7" s="2">
        <v>20383361.990000069</v>
      </c>
      <c r="J7" s="2">
        <v>19720164.42000002</v>
      </c>
      <c r="K7" s="3">
        <v>19053634.70000001</v>
      </c>
      <c r="L7" s="2">
        <v>18363598.329999998</v>
      </c>
      <c r="M7" s="2">
        <v>17664539.40000001</v>
      </c>
      <c r="N7" s="3">
        <v>17057414.139999971</v>
      </c>
      <c r="O7" s="2">
        <v>16526051.599999961</v>
      </c>
      <c r="P7" s="2">
        <v>16181353.319999959</v>
      </c>
      <c r="Q7" s="3">
        <v>15826027.18999997</v>
      </c>
      <c r="R7" s="2">
        <v>15363705.919999991</v>
      </c>
      <c r="S7" s="2">
        <v>14800133.25000005</v>
      </c>
      <c r="T7" s="3">
        <v>14304806.370000049</v>
      </c>
      <c r="U7" s="2">
        <v>13772126.83000006</v>
      </c>
      <c r="V7" s="2">
        <v>13150559.750000071</v>
      </c>
      <c r="W7" s="3">
        <v>12564408.450000079</v>
      </c>
      <c r="X7" s="2">
        <v>11823408.240000069</v>
      </c>
      <c r="Y7" s="2">
        <v>11215359.010000059</v>
      </c>
      <c r="Z7" s="3">
        <v>10640728.47000007</v>
      </c>
      <c r="AA7" s="2">
        <v>9979408.8200000394</v>
      </c>
      <c r="AB7" s="2">
        <v>9586974.3200000413</v>
      </c>
      <c r="AC7" s="3">
        <v>9207661.3000000548</v>
      </c>
      <c r="AD7" s="2">
        <v>8878443.2000000458</v>
      </c>
      <c r="AE7" s="2">
        <v>8376814.9400000293</v>
      </c>
      <c r="AF7" s="3">
        <v>7974441.7900000243</v>
      </c>
      <c r="AG7" s="2">
        <v>7408414.6200000178</v>
      </c>
      <c r="AH7" s="2">
        <v>6807522.8300000066</v>
      </c>
      <c r="AI7" s="3">
        <v>6371719.7699999874</v>
      </c>
      <c r="AJ7" s="2">
        <v>5866427.9099999918</v>
      </c>
      <c r="AK7" s="2">
        <v>5299077.9899999946</v>
      </c>
      <c r="AL7" s="3">
        <v>4714671.2300000051</v>
      </c>
      <c r="AM7" s="2">
        <v>4353675.5800000038</v>
      </c>
      <c r="AN7" s="2">
        <v>4092757.4300000072</v>
      </c>
      <c r="AO7" s="3">
        <v>3953054.8300000071</v>
      </c>
      <c r="AP7" s="2">
        <v>3825029.6700000088</v>
      </c>
      <c r="AQ7" s="2">
        <v>3606022.76</v>
      </c>
      <c r="AR7" s="3">
        <v>3255199.99</v>
      </c>
      <c r="AS7" s="2">
        <v>3004120.1000000052</v>
      </c>
      <c r="AT7" s="2">
        <v>2804988.430000003</v>
      </c>
      <c r="AU7" s="3">
        <v>2339552.5000000028</v>
      </c>
      <c r="AV7" s="2">
        <v>1922147.65</v>
      </c>
      <c r="AW7" s="2">
        <v>1749383.9199999981</v>
      </c>
      <c r="AX7" s="3">
        <v>1457932.6799999981</v>
      </c>
      <c r="AY7" s="2">
        <v>1322130.2099999981</v>
      </c>
      <c r="AZ7" s="2">
        <v>1238006.9499999969</v>
      </c>
      <c r="BA7" s="3">
        <v>1155884.2199999969</v>
      </c>
      <c r="BB7" s="2">
        <v>1064189.899999999</v>
      </c>
      <c r="BC7" s="2">
        <v>987210.34999999881</v>
      </c>
      <c r="BD7" s="3">
        <v>883498.79999999958</v>
      </c>
      <c r="BE7" s="2">
        <v>680535.88000000047</v>
      </c>
      <c r="BF7" s="2">
        <v>493525.06999999977</v>
      </c>
      <c r="BG7" s="3">
        <v>369729.93</v>
      </c>
      <c r="BH7" s="2">
        <v>231803.1999999999</v>
      </c>
      <c r="BI7" s="2">
        <v>141503.81999999989</v>
      </c>
      <c r="BJ7" s="3">
        <v>84127.01999999996</v>
      </c>
      <c r="BK7" s="2">
        <v>84127.01999999996</v>
      </c>
      <c r="BL7">
        <v>84127.01999999996</v>
      </c>
    </row>
    <row r="8" spans="1:64" ht="15.5" x14ac:dyDescent="0.35">
      <c r="A8" t="s">
        <v>70</v>
      </c>
      <c r="B8" s="2">
        <v>6084594.9200000679</v>
      </c>
      <c r="C8" s="2">
        <v>5528055.640000049</v>
      </c>
      <c r="D8" s="2">
        <v>5407186.740000044</v>
      </c>
      <c r="E8" s="3">
        <v>5284117.6400000416</v>
      </c>
      <c r="F8" s="2">
        <v>5170706.3000000427</v>
      </c>
      <c r="G8" s="2">
        <v>5024557.610000046</v>
      </c>
      <c r="H8" s="3">
        <v>4903747.0800000355</v>
      </c>
      <c r="I8" s="2">
        <v>4771300.0200000284</v>
      </c>
      <c r="J8" s="2">
        <v>4604619.2300000349</v>
      </c>
      <c r="K8" s="3">
        <v>4411671.9700000035</v>
      </c>
      <c r="L8" s="2">
        <v>4258656.5400000084</v>
      </c>
      <c r="M8" s="2">
        <v>4088382.3600000092</v>
      </c>
      <c r="N8" s="3">
        <v>3936169.0800000071</v>
      </c>
      <c r="O8" s="2">
        <v>3770079.7000000039</v>
      </c>
      <c r="P8" s="2">
        <v>3685202.3700000029</v>
      </c>
      <c r="Q8" s="3">
        <v>3603629.4700000039</v>
      </c>
      <c r="R8" s="2">
        <v>3497231.3600000041</v>
      </c>
      <c r="S8" s="2">
        <v>3370153.7</v>
      </c>
      <c r="T8" s="3">
        <v>3249499.4900000039</v>
      </c>
      <c r="U8" s="2">
        <v>3105905.0600000019</v>
      </c>
      <c r="V8" s="2">
        <v>2961013.260000003</v>
      </c>
      <c r="W8" s="3">
        <v>2819672.36</v>
      </c>
      <c r="X8" s="2">
        <v>2641671.6199999992</v>
      </c>
      <c r="Y8" s="2">
        <v>2528300.1099999952</v>
      </c>
      <c r="Z8" s="3">
        <v>2392326.2599999998</v>
      </c>
      <c r="AA8" s="2">
        <v>2252218.9999999991</v>
      </c>
      <c r="AB8" s="2">
        <v>2168769.2599999942</v>
      </c>
      <c r="AC8" s="3">
        <v>2091656.7599999909</v>
      </c>
      <c r="AD8" s="2">
        <v>2013337.749999987</v>
      </c>
      <c r="AE8" s="2">
        <v>1896700.909999988</v>
      </c>
      <c r="AF8" s="3">
        <v>1805977.2999999891</v>
      </c>
      <c r="AG8" s="2">
        <v>1705282.0199999879</v>
      </c>
      <c r="AH8" s="2">
        <v>1575169.739999993</v>
      </c>
      <c r="AI8" s="3">
        <v>1469343.8799999941</v>
      </c>
      <c r="AJ8" s="2">
        <v>1355378.349999998</v>
      </c>
      <c r="AK8" s="2">
        <v>1235913.829999998</v>
      </c>
      <c r="AL8" s="3">
        <v>1112022.68</v>
      </c>
      <c r="AM8" s="2">
        <v>1031574.499999999</v>
      </c>
      <c r="AN8" s="2">
        <v>974417.60999999859</v>
      </c>
      <c r="AO8" s="3">
        <v>942860.48999999894</v>
      </c>
      <c r="AP8" s="2">
        <v>918075.84999999916</v>
      </c>
      <c r="AQ8" s="2">
        <v>868661.62999999931</v>
      </c>
      <c r="AR8" s="3">
        <v>789317.84999999846</v>
      </c>
      <c r="AS8" s="2">
        <v>742179.67999999784</v>
      </c>
      <c r="AT8" s="2">
        <v>695644.0499999976</v>
      </c>
      <c r="AU8" s="3">
        <v>595487.77999999782</v>
      </c>
      <c r="AV8" s="2">
        <v>494046.93999999942</v>
      </c>
      <c r="AW8" s="2">
        <v>459848.15999999968</v>
      </c>
      <c r="AX8" s="3">
        <v>399401.91999999993</v>
      </c>
      <c r="AY8" s="2">
        <v>371011.88999999978</v>
      </c>
      <c r="AZ8" s="2">
        <v>350808.34999999969</v>
      </c>
      <c r="BA8" s="3">
        <v>331651.46999999962</v>
      </c>
      <c r="BB8" s="2">
        <v>307844.41999999981</v>
      </c>
      <c r="BC8" s="2">
        <v>295715.43999999971</v>
      </c>
      <c r="BD8" s="3">
        <v>274033.11</v>
      </c>
      <c r="BE8" s="2">
        <v>164803.01999999999</v>
      </c>
      <c r="BF8" s="2">
        <v>122469.3099999999</v>
      </c>
      <c r="BG8" s="3">
        <v>102754.51</v>
      </c>
      <c r="BH8" s="2">
        <v>72740.070000000007</v>
      </c>
      <c r="BI8" s="2">
        <v>51992.98000000001</v>
      </c>
      <c r="BJ8" s="3">
        <v>41579.06</v>
      </c>
      <c r="BK8" s="2">
        <v>41579.06</v>
      </c>
      <c r="BL8">
        <v>41579.06</v>
      </c>
    </row>
    <row r="9" spans="1:64" ht="15.5" x14ac:dyDescent="0.35">
      <c r="A9" t="s">
        <v>71</v>
      </c>
      <c r="B9" s="2">
        <v>425132904.43999898</v>
      </c>
      <c r="C9" s="2">
        <v>337150117.85999942</v>
      </c>
      <c r="D9" s="2">
        <v>320535275.9799993</v>
      </c>
      <c r="E9" s="3">
        <v>302164606.04999977</v>
      </c>
      <c r="F9" s="2">
        <v>289576605.99000019</v>
      </c>
      <c r="G9" s="2">
        <v>274608126.68999982</v>
      </c>
      <c r="H9" s="3">
        <v>263924762.58999979</v>
      </c>
      <c r="I9" s="2">
        <v>250832724.66999981</v>
      </c>
      <c r="J9" s="2">
        <v>233746304.1300002</v>
      </c>
      <c r="K9" s="3">
        <v>216803003.0600003</v>
      </c>
      <c r="L9" s="2">
        <v>205140529</v>
      </c>
      <c r="M9" s="2">
        <v>189867428.55999991</v>
      </c>
      <c r="N9" s="3">
        <v>178190955.37999991</v>
      </c>
      <c r="O9" s="2">
        <v>165932747.32000011</v>
      </c>
      <c r="P9" s="2">
        <v>160179462.19000009</v>
      </c>
      <c r="Q9" s="3">
        <v>153297796.16000021</v>
      </c>
      <c r="R9" s="2">
        <v>145646986.2899999</v>
      </c>
      <c r="S9" s="2">
        <v>136310879.34999979</v>
      </c>
      <c r="T9" s="3">
        <v>129109467.4299999</v>
      </c>
      <c r="U9" s="2">
        <v>119358018.98999991</v>
      </c>
      <c r="V9" s="2">
        <v>106809211.62</v>
      </c>
      <c r="W9" s="3">
        <v>96465409.960000008</v>
      </c>
      <c r="X9" s="2">
        <v>87647875.99000001</v>
      </c>
      <c r="Y9" s="2">
        <v>79907622.149999917</v>
      </c>
      <c r="Z9" s="3">
        <v>73418919.119999871</v>
      </c>
      <c r="AA9" s="2">
        <v>63849802.10999991</v>
      </c>
      <c r="AB9" s="2">
        <v>59838603.150000043</v>
      </c>
      <c r="AC9" s="3">
        <v>56694852.930000022</v>
      </c>
      <c r="AD9" s="2">
        <v>53891787.849999987</v>
      </c>
      <c r="AE9" s="2">
        <v>46250059.730000027</v>
      </c>
      <c r="AF9" s="3">
        <v>43397603.49000001</v>
      </c>
      <c r="AG9" s="2">
        <v>40345506.639999993</v>
      </c>
      <c r="AH9" s="2">
        <v>35745974.480000012</v>
      </c>
      <c r="AI9" s="3">
        <v>33499680.550000031</v>
      </c>
      <c r="AJ9" s="2">
        <v>30754175.230000012</v>
      </c>
      <c r="AK9" s="2">
        <v>28436243.75</v>
      </c>
      <c r="AL9" s="3">
        <v>25515982.920000002</v>
      </c>
      <c r="AM9" s="2">
        <v>20284196.209999979</v>
      </c>
      <c r="AN9" s="2">
        <v>18269395.919999968</v>
      </c>
      <c r="AO9" s="3">
        <v>16939304.359999981</v>
      </c>
      <c r="AP9" s="2">
        <v>15948420.38999998</v>
      </c>
      <c r="AQ9" s="2">
        <v>14708119.979999989</v>
      </c>
      <c r="AR9" s="3">
        <v>13144120.639999989</v>
      </c>
      <c r="AS9" s="2">
        <v>11655363.92999999</v>
      </c>
      <c r="AT9" s="2">
        <v>10639087.94999999</v>
      </c>
      <c r="AU9" s="3">
        <v>8127953.3799999952</v>
      </c>
      <c r="AV9" s="2">
        <v>5889574.2999999961</v>
      </c>
      <c r="AW9" s="2">
        <v>5118102.4799999958</v>
      </c>
      <c r="AX9" s="3">
        <v>4427919.120000002</v>
      </c>
      <c r="AY9" s="2">
        <v>3556540.3200000031</v>
      </c>
      <c r="AZ9" s="2">
        <v>3098126.810000001</v>
      </c>
      <c r="BA9" s="3">
        <v>2511843.7400000021</v>
      </c>
      <c r="BB9" s="2">
        <v>2142283.5899999989</v>
      </c>
      <c r="BC9" s="2">
        <v>1840474.2599999991</v>
      </c>
      <c r="BD9" s="3">
        <v>1521359.64</v>
      </c>
      <c r="BE9" s="2">
        <v>1253870.459999999</v>
      </c>
      <c r="BF9" s="2">
        <v>926277.96000000054</v>
      </c>
      <c r="BG9" s="3">
        <v>599015.82999999984</v>
      </c>
      <c r="BH9" s="2">
        <v>333886.29999999987</v>
      </c>
      <c r="BI9" s="2">
        <v>173187.17</v>
      </c>
      <c r="BJ9" s="3">
        <v>79091.210000000006</v>
      </c>
      <c r="BK9" s="2">
        <v>79091.210000000006</v>
      </c>
      <c r="BL9">
        <v>79091.210000000006</v>
      </c>
    </row>
    <row r="10" spans="1:64" ht="15.5" x14ac:dyDescent="0.35">
      <c r="A10" t="s">
        <v>72</v>
      </c>
      <c r="B10" s="2">
        <v>258280060.20999989</v>
      </c>
      <c r="C10" s="2">
        <v>220025298.03999969</v>
      </c>
      <c r="D10" s="2">
        <v>212292573.83999979</v>
      </c>
      <c r="E10" s="3">
        <v>202272934.15999979</v>
      </c>
      <c r="F10" s="2">
        <v>195932341.59</v>
      </c>
      <c r="G10" s="2">
        <v>187825206.49000001</v>
      </c>
      <c r="H10" s="3">
        <v>182450927.10000011</v>
      </c>
      <c r="I10" s="2">
        <v>175540179.49000019</v>
      </c>
      <c r="J10" s="2">
        <v>166348450.08000031</v>
      </c>
      <c r="K10" s="3">
        <v>158130037.35000029</v>
      </c>
      <c r="L10" s="2">
        <v>151853629.28000021</v>
      </c>
      <c r="M10" s="2">
        <v>142717089.07000029</v>
      </c>
      <c r="N10" s="3">
        <v>135121287.16999999</v>
      </c>
      <c r="O10" s="2">
        <v>127461954.5699998</v>
      </c>
      <c r="P10" s="2">
        <v>123958670.8499999</v>
      </c>
      <c r="Q10" s="3">
        <v>119750305.8999998</v>
      </c>
      <c r="R10" s="2">
        <v>114674252.88999981</v>
      </c>
      <c r="S10" s="2">
        <v>108427913.5699998</v>
      </c>
      <c r="T10" s="3">
        <v>103394624.7999998</v>
      </c>
      <c r="U10" s="2">
        <v>96890007.519999862</v>
      </c>
      <c r="V10" s="2">
        <v>87286914.249999866</v>
      </c>
      <c r="W10" s="3">
        <v>79530663.22999987</v>
      </c>
      <c r="X10" s="2">
        <v>73414874.71999979</v>
      </c>
      <c r="Y10" s="2">
        <v>67768227.749999776</v>
      </c>
      <c r="Z10" s="3">
        <v>63182176.580000013</v>
      </c>
      <c r="AA10" s="2">
        <v>55545775.470000051</v>
      </c>
      <c r="AB10" s="2">
        <v>52386763.400000051</v>
      </c>
      <c r="AC10" s="3">
        <v>49696184.520000063</v>
      </c>
      <c r="AD10" s="2">
        <v>47209134.660000049</v>
      </c>
      <c r="AE10" s="2">
        <v>41029163.789999999</v>
      </c>
      <c r="AF10" s="3">
        <v>38555489.119999997</v>
      </c>
      <c r="AG10" s="2">
        <v>35815181.090000033</v>
      </c>
      <c r="AH10" s="2">
        <v>32085236.150000051</v>
      </c>
      <c r="AI10" s="3">
        <v>30137879.790000059</v>
      </c>
      <c r="AJ10" s="2">
        <v>27762220.560000021</v>
      </c>
      <c r="AK10" s="2">
        <v>25640242.370000001</v>
      </c>
      <c r="AL10" s="3">
        <v>23092805.41</v>
      </c>
      <c r="AM10" s="2">
        <v>18495345.039999969</v>
      </c>
      <c r="AN10" s="2">
        <v>16948982.779999971</v>
      </c>
      <c r="AO10" s="3">
        <v>15745483.179999979</v>
      </c>
      <c r="AP10" s="2">
        <v>14999655.929999979</v>
      </c>
      <c r="AQ10" s="2">
        <v>13810664.78999998</v>
      </c>
      <c r="AR10" s="3">
        <v>12465664.35999999</v>
      </c>
      <c r="AS10" s="2">
        <v>11162805.70999999</v>
      </c>
      <c r="AT10" s="2">
        <v>10198029.589999991</v>
      </c>
      <c r="AU10" s="3">
        <v>7812310.1799999988</v>
      </c>
      <c r="AV10" s="2">
        <v>5648044.0099999951</v>
      </c>
      <c r="AW10" s="2">
        <v>4920399.1199999973</v>
      </c>
      <c r="AX10" s="3">
        <v>4249472.5100000016</v>
      </c>
      <c r="AY10" s="2">
        <v>3432495.7200000011</v>
      </c>
      <c r="AZ10" s="2">
        <v>2992415.7800000012</v>
      </c>
      <c r="BA10" s="3">
        <v>2439116.620000002</v>
      </c>
      <c r="BB10" s="2">
        <v>2080355.889999998</v>
      </c>
      <c r="BC10" s="2">
        <v>1785226.079999998</v>
      </c>
      <c r="BD10" s="3">
        <v>1505222.65</v>
      </c>
      <c r="BE10" s="2">
        <v>1238672.4999999991</v>
      </c>
      <c r="BF10" s="2">
        <v>916415.48000000056</v>
      </c>
      <c r="BG10" s="3">
        <v>594014.04999999993</v>
      </c>
      <c r="BH10" s="2">
        <v>330796.93999999989</v>
      </c>
      <c r="BI10" s="2">
        <v>171350.38</v>
      </c>
      <c r="BJ10" s="3">
        <v>79091.210000000006</v>
      </c>
      <c r="BK10" s="2">
        <v>79091.210000000006</v>
      </c>
      <c r="BL10">
        <v>79091.210000000006</v>
      </c>
    </row>
    <row r="11" spans="1:64" ht="15.5" x14ac:dyDescent="0.35">
      <c r="A11" t="s">
        <v>73</v>
      </c>
      <c r="B11" s="2">
        <v>4678316.6799999177</v>
      </c>
      <c r="C11" s="2">
        <v>4163712.269999885</v>
      </c>
      <c r="D11" s="2">
        <v>4049175.1899998859</v>
      </c>
      <c r="E11" s="3">
        <v>3862055.3799998839</v>
      </c>
      <c r="F11" s="2">
        <v>3778365.0199998841</v>
      </c>
      <c r="G11" s="2">
        <v>3682987.7199998922</v>
      </c>
      <c r="H11" s="3">
        <v>3605085.109999896</v>
      </c>
      <c r="I11" s="2">
        <v>3506015.679999914</v>
      </c>
      <c r="J11" s="2">
        <v>3366401.179999921</v>
      </c>
      <c r="K11" s="3">
        <v>3238232.789999899</v>
      </c>
      <c r="L11" s="2">
        <v>3148228.8299999041</v>
      </c>
      <c r="M11" s="2">
        <v>2951819.7499999129</v>
      </c>
      <c r="N11" s="3">
        <v>2845542.7499999148</v>
      </c>
      <c r="O11" s="2">
        <v>2724916.0399998981</v>
      </c>
      <c r="P11" s="2">
        <v>2668468.1799999238</v>
      </c>
      <c r="Q11" s="3">
        <v>2579988.459999931</v>
      </c>
      <c r="R11" s="2">
        <v>2485916.649999931</v>
      </c>
      <c r="S11" s="2">
        <v>2387018.0399999521</v>
      </c>
      <c r="T11" s="3">
        <v>2270189.699999969</v>
      </c>
      <c r="U11" s="2">
        <v>2185644.9099999811</v>
      </c>
      <c r="V11" s="2">
        <v>2058629.6299999789</v>
      </c>
      <c r="W11" s="3">
        <v>1977203.8799999801</v>
      </c>
      <c r="X11" s="2">
        <v>1865513.229999989</v>
      </c>
      <c r="Y11" s="2">
        <v>1702362.329999995</v>
      </c>
      <c r="Z11" s="3">
        <v>1601259.1799999899</v>
      </c>
      <c r="AA11" s="2">
        <v>1533038.109999991</v>
      </c>
      <c r="AB11" s="2">
        <v>1459329.3499999959</v>
      </c>
      <c r="AC11" s="3">
        <v>1412398.699999996</v>
      </c>
      <c r="AD11" s="2">
        <v>1362696.2799999979</v>
      </c>
      <c r="AE11" s="2">
        <v>1303835.339999998</v>
      </c>
      <c r="AF11" s="3">
        <v>1260454.1799999941</v>
      </c>
      <c r="AG11" s="2">
        <v>1200170.330000001</v>
      </c>
      <c r="AH11" s="2">
        <v>1108211.910000005</v>
      </c>
      <c r="AI11" s="3">
        <v>1048081.150000006</v>
      </c>
      <c r="AJ11" s="2">
        <v>959400.4400000067</v>
      </c>
      <c r="AK11" s="2">
        <v>883386.02000000631</v>
      </c>
      <c r="AL11" s="3">
        <v>736769.97000000614</v>
      </c>
      <c r="AM11" s="2">
        <v>690637.12000000698</v>
      </c>
      <c r="AN11" s="2">
        <v>649167.25000000419</v>
      </c>
      <c r="AO11" s="3">
        <v>633556.71000000369</v>
      </c>
      <c r="AP11" s="2">
        <v>616548.01000000315</v>
      </c>
      <c r="AQ11" s="2">
        <v>585485.70000000251</v>
      </c>
      <c r="AR11" s="3">
        <v>552851.88000000198</v>
      </c>
      <c r="AS11" s="2">
        <v>522041.8800000021</v>
      </c>
      <c r="AT11" s="2">
        <v>493176.79000000231</v>
      </c>
      <c r="AU11" s="3">
        <v>425901.94000000192</v>
      </c>
      <c r="AV11" s="2">
        <v>354052.3900000017</v>
      </c>
      <c r="AW11" s="2">
        <v>311887.06000000099</v>
      </c>
      <c r="AX11" s="3">
        <v>271802.05000000069</v>
      </c>
      <c r="AY11" s="2">
        <v>247729.96000000069</v>
      </c>
      <c r="AZ11" s="2">
        <v>228350.84000000069</v>
      </c>
      <c r="BA11" s="3">
        <v>218797.97000000061</v>
      </c>
      <c r="BB11" s="2">
        <v>204118.3000000006</v>
      </c>
      <c r="BC11" s="2">
        <v>191339.2700000006</v>
      </c>
      <c r="BD11" s="3">
        <v>172735.67000000051</v>
      </c>
      <c r="BE11" s="2">
        <v>121535.9699999999</v>
      </c>
      <c r="BF11" s="2">
        <v>85582.969999999972</v>
      </c>
      <c r="BG11" s="3">
        <v>57381.809999999939</v>
      </c>
      <c r="BH11" s="2">
        <v>37440.070000000007</v>
      </c>
      <c r="BI11" s="2">
        <v>16355.78000000001</v>
      </c>
      <c r="BJ11" s="3">
        <v>9965.9500000000044</v>
      </c>
      <c r="BK11" s="2">
        <v>9965.9500000000044</v>
      </c>
      <c r="BL11">
        <v>9965.9500000000044</v>
      </c>
    </row>
    <row r="12" spans="1:64" ht="15.5" x14ac:dyDescent="0.35">
      <c r="A12" t="s">
        <v>74</v>
      </c>
      <c r="B12" s="2">
        <v>3852901973.900022</v>
      </c>
      <c r="C12" s="2">
        <v>3558346602.639997</v>
      </c>
      <c r="D12" s="2">
        <v>3480801579.2700038</v>
      </c>
      <c r="E12" s="3">
        <v>3407854126.0500078</v>
      </c>
      <c r="F12" s="2">
        <v>3344296133.6900058</v>
      </c>
      <c r="G12" s="2">
        <v>3268666143.9400058</v>
      </c>
      <c r="H12" s="3">
        <v>3194338986.3000088</v>
      </c>
      <c r="I12" s="2">
        <v>3118241393.640007</v>
      </c>
      <c r="J12" s="2">
        <v>3013102437.8400049</v>
      </c>
      <c r="K12" s="3">
        <v>2905073298.4900069</v>
      </c>
      <c r="L12" s="2">
        <v>2797576583.5000091</v>
      </c>
      <c r="M12" s="2">
        <v>2689416407.1600099</v>
      </c>
      <c r="N12" s="3">
        <v>2594945945.7700119</v>
      </c>
      <c r="O12" s="2">
        <v>2506623632.320003</v>
      </c>
      <c r="P12" s="2">
        <v>2453739907.9300022</v>
      </c>
      <c r="Q12" s="3">
        <v>2400689571.6800008</v>
      </c>
      <c r="R12" s="2">
        <v>2332247921.9100041</v>
      </c>
      <c r="S12" s="2">
        <v>2250581317.150023</v>
      </c>
      <c r="T12" s="3">
        <v>2174670328.7700171</v>
      </c>
      <c r="U12" s="2">
        <v>2097203403.940017</v>
      </c>
      <c r="V12" s="2">
        <v>2004594664.1000049</v>
      </c>
      <c r="W12" s="3">
        <v>1914170187.570003</v>
      </c>
      <c r="X12" s="2">
        <v>1804930629.530005</v>
      </c>
      <c r="Y12" s="2">
        <v>1714405371.8000059</v>
      </c>
      <c r="Z12" s="3">
        <v>1627081844.98</v>
      </c>
      <c r="AA12" s="2">
        <v>1530052964.2600031</v>
      </c>
      <c r="AB12" s="2">
        <v>1471515922.1900041</v>
      </c>
      <c r="AC12" s="3">
        <v>1418531878.910002</v>
      </c>
      <c r="AD12" s="2">
        <v>1370083270.3200021</v>
      </c>
      <c r="AE12" s="2">
        <v>1297549505.930001</v>
      </c>
      <c r="AF12" s="3">
        <v>1235386341.930001</v>
      </c>
      <c r="AG12" s="2">
        <v>1150913929.369997</v>
      </c>
      <c r="AH12" s="2">
        <v>1061310934.1099989</v>
      </c>
      <c r="AI12" s="3">
        <v>997325493.07999742</v>
      </c>
      <c r="AJ12" s="2">
        <v>919324745.92999876</v>
      </c>
      <c r="AK12" s="2">
        <v>829987743.2299974</v>
      </c>
      <c r="AL12" s="3">
        <v>739118662.70999849</v>
      </c>
      <c r="AM12" s="2">
        <v>684448583.16999936</v>
      </c>
      <c r="AN12" s="2">
        <v>646054651.44999969</v>
      </c>
      <c r="AO12" s="3">
        <v>625514168.7299999</v>
      </c>
      <c r="AP12" s="2">
        <v>605824753.02999997</v>
      </c>
      <c r="AQ12" s="2">
        <v>573402254.08999956</v>
      </c>
      <c r="AR12" s="3">
        <v>520724262.14999932</v>
      </c>
      <c r="AS12" s="2">
        <v>482422354.02999938</v>
      </c>
      <c r="AT12" s="2">
        <v>452433950.86999929</v>
      </c>
      <c r="AU12" s="3">
        <v>381438602.63999921</v>
      </c>
      <c r="AV12" s="2">
        <v>311030526.1299991</v>
      </c>
      <c r="AW12" s="2">
        <v>284132581.51999933</v>
      </c>
      <c r="AX12" s="3">
        <v>233703689.38999891</v>
      </c>
      <c r="AY12" s="2">
        <v>212856877.52999941</v>
      </c>
      <c r="AZ12" s="2">
        <v>199360747.0999997</v>
      </c>
      <c r="BA12" s="3">
        <v>187291507.17999959</v>
      </c>
      <c r="BB12" s="2">
        <v>172044499.95999959</v>
      </c>
      <c r="BC12" s="2">
        <v>159545658.20999971</v>
      </c>
      <c r="BD12" s="3">
        <v>142899796.02999991</v>
      </c>
      <c r="BE12" s="2">
        <v>106409221.0000001</v>
      </c>
      <c r="BF12" s="2">
        <v>74234504.850000024</v>
      </c>
      <c r="BG12" s="3">
        <v>55163862.130000047</v>
      </c>
      <c r="BH12" s="2">
        <v>34558424.119999997</v>
      </c>
      <c r="BI12" s="2">
        <v>21536008.629999999</v>
      </c>
      <c r="BJ12" s="3">
        <v>13014846.35</v>
      </c>
      <c r="BK12" s="2">
        <v>13014846.35</v>
      </c>
      <c r="BL12">
        <v>13014846.35</v>
      </c>
    </row>
    <row r="13" spans="1:64" ht="15.5" x14ac:dyDescent="0.35">
      <c r="A13" t="s">
        <v>75</v>
      </c>
      <c r="B13" s="2">
        <v>2697154537.6499991</v>
      </c>
      <c r="C13" s="2">
        <v>2582019471.2099972</v>
      </c>
      <c r="D13" s="2">
        <v>2503091039.3199978</v>
      </c>
      <c r="E13" s="3">
        <v>2424864711.7099991</v>
      </c>
      <c r="F13" s="2">
        <v>2349432153.3200002</v>
      </c>
      <c r="G13" s="2">
        <v>2272680569.3999991</v>
      </c>
      <c r="H13" s="3">
        <v>2196523227.1700001</v>
      </c>
      <c r="I13" s="2">
        <v>2117849032.209996</v>
      </c>
      <c r="J13" s="2">
        <v>2025509911.260005</v>
      </c>
      <c r="K13" s="3">
        <v>1936624725.2900071</v>
      </c>
      <c r="L13" s="2">
        <v>1856064376.2200079</v>
      </c>
      <c r="M13" s="2">
        <v>1767868417.150001</v>
      </c>
      <c r="N13" s="3">
        <v>1692365963.6499989</v>
      </c>
      <c r="O13" s="2">
        <v>1619693146.339999</v>
      </c>
      <c r="P13" s="2">
        <v>1563508323.700001</v>
      </c>
      <c r="Q13" s="3">
        <v>1504011696.4000001</v>
      </c>
      <c r="R13" s="2">
        <v>1439833541.960001</v>
      </c>
      <c r="S13" s="2">
        <v>1370289498.620002</v>
      </c>
      <c r="T13" s="3">
        <v>1309840213.1600039</v>
      </c>
      <c r="U13" s="2">
        <v>1245877112.8400049</v>
      </c>
      <c r="V13" s="2">
        <v>1174088447.8499999</v>
      </c>
      <c r="W13" s="3">
        <v>1110256636.72</v>
      </c>
      <c r="X13" s="2">
        <v>1035579777.540002</v>
      </c>
      <c r="Y13" s="2">
        <v>970483981.48000193</v>
      </c>
      <c r="Z13" s="3">
        <v>912812202.2300024</v>
      </c>
      <c r="AA13" s="2">
        <v>843443331.57000256</v>
      </c>
      <c r="AB13" s="2">
        <v>799191620.09000289</v>
      </c>
      <c r="AC13" s="3">
        <v>755958563.30000353</v>
      </c>
      <c r="AD13" s="2">
        <v>717129829.66000485</v>
      </c>
      <c r="AE13" s="2">
        <v>666930746.61000443</v>
      </c>
      <c r="AF13" s="3">
        <v>628351549.83000159</v>
      </c>
      <c r="AG13" s="2">
        <v>581004623.96000695</v>
      </c>
      <c r="AH13" s="2">
        <v>530186998.81000471</v>
      </c>
      <c r="AI13" s="3">
        <v>489831255.290003</v>
      </c>
      <c r="AJ13" s="2">
        <v>449359307.64000309</v>
      </c>
      <c r="AK13" s="2">
        <v>406414348.41000122</v>
      </c>
      <c r="AL13" s="3">
        <v>363746564.41000003</v>
      </c>
      <c r="AM13" s="2">
        <v>334697558.94999921</v>
      </c>
      <c r="AN13" s="2">
        <v>309282344.43999881</v>
      </c>
      <c r="AO13" s="3">
        <v>292867576.90999818</v>
      </c>
      <c r="AP13" s="2">
        <v>277957793.62999803</v>
      </c>
      <c r="AQ13" s="2">
        <v>257058571.41999799</v>
      </c>
      <c r="AR13" s="3">
        <v>229840054.97999841</v>
      </c>
      <c r="AS13" s="2">
        <v>208425153.2799997</v>
      </c>
      <c r="AT13" s="2">
        <v>190584728.63999969</v>
      </c>
      <c r="AU13" s="3">
        <v>157188513.2900013</v>
      </c>
      <c r="AV13" s="2">
        <v>128530676.3800008</v>
      </c>
      <c r="AW13" s="2">
        <v>113638475.21000031</v>
      </c>
      <c r="AX13" s="3">
        <v>98367662.580000401</v>
      </c>
      <c r="AY13" s="2">
        <v>86063360.830000043</v>
      </c>
      <c r="AZ13" s="2">
        <v>79383780.620000035</v>
      </c>
      <c r="BA13" s="3">
        <v>72092204.939999968</v>
      </c>
      <c r="BB13" s="2">
        <v>65699905.70999971</v>
      </c>
      <c r="BC13" s="2">
        <v>59652379.139999807</v>
      </c>
      <c r="BD13" s="3">
        <v>52217771.219999887</v>
      </c>
      <c r="BE13" s="2">
        <v>44386373.110000037</v>
      </c>
      <c r="BF13" s="2">
        <v>35402092.600000009</v>
      </c>
      <c r="BG13" s="3">
        <v>25400511.399999991</v>
      </c>
      <c r="BH13" s="2">
        <v>15864431.50999999</v>
      </c>
      <c r="BI13" s="2">
        <v>9350698.8600000013</v>
      </c>
      <c r="BJ13" s="3">
        <v>5546285.6600000029</v>
      </c>
      <c r="BK13" s="2">
        <v>5438391.2900000038</v>
      </c>
      <c r="BL13">
        <v>5330496.9200000037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864</v>
      </c>
      <c r="D15" s="2">
        <v>186</v>
      </c>
      <c r="E15" s="3">
        <v>208</v>
      </c>
      <c r="F15" s="2">
        <v>193</v>
      </c>
      <c r="G15" s="2">
        <v>194</v>
      </c>
      <c r="H15" s="3">
        <v>150</v>
      </c>
      <c r="I15" s="2">
        <v>191</v>
      </c>
      <c r="J15" s="2">
        <v>293</v>
      </c>
      <c r="K15" s="3">
        <v>211</v>
      </c>
      <c r="L15" s="2">
        <v>169</v>
      </c>
      <c r="M15" s="2">
        <v>277</v>
      </c>
      <c r="N15" s="3">
        <v>187</v>
      </c>
      <c r="O15" s="2">
        <v>203</v>
      </c>
      <c r="P15" s="2">
        <v>106</v>
      </c>
      <c r="Q15" s="3">
        <v>143</v>
      </c>
      <c r="R15" s="2">
        <v>160</v>
      </c>
      <c r="S15" s="2">
        <v>184</v>
      </c>
      <c r="T15" s="3">
        <v>152</v>
      </c>
      <c r="U15" s="2">
        <v>175</v>
      </c>
      <c r="V15" s="2">
        <v>279</v>
      </c>
      <c r="W15" s="3">
        <v>170</v>
      </c>
      <c r="X15" s="2">
        <v>173</v>
      </c>
      <c r="Y15" s="2">
        <v>203</v>
      </c>
      <c r="Z15" s="3">
        <v>159</v>
      </c>
      <c r="AA15" s="2">
        <v>126</v>
      </c>
      <c r="AB15" s="2">
        <v>116</v>
      </c>
      <c r="AC15" s="3">
        <v>76</v>
      </c>
      <c r="AD15" s="2">
        <v>87</v>
      </c>
      <c r="AE15" s="2">
        <v>115</v>
      </c>
      <c r="AF15" s="3">
        <v>94</v>
      </c>
      <c r="AG15" s="2">
        <v>101</v>
      </c>
      <c r="AH15" s="2">
        <v>141</v>
      </c>
      <c r="AI15" s="3">
        <v>87</v>
      </c>
      <c r="AJ15" s="2">
        <v>107</v>
      </c>
      <c r="AK15" s="2">
        <v>116</v>
      </c>
      <c r="AL15" s="3">
        <v>147</v>
      </c>
      <c r="AM15" s="2">
        <v>77</v>
      </c>
      <c r="AN15" s="2">
        <v>67</v>
      </c>
      <c r="AO15" s="3">
        <v>37</v>
      </c>
      <c r="AP15" s="2">
        <v>33</v>
      </c>
      <c r="AQ15" s="2">
        <v>50</v>
      </c>
      <c r="AR15" s="3">
        <v>59</v>
      </c>
      <c r="AS15" s="2">
        <v>56</v>
      </c>
      <c r="AT15" s="2">
        <v>52</v>
      </c>
      <c r="AU15" s="3">
        <v>119</v>
      </c>
      <c r="AV15" s="2">
        <v>118</v>
      </c>
      <c r="AW15" s="2">
        <v>56</v>
      </c>
      <c r="AX15" s="3">
        <v>41</v>
      </c>
      <c r="AY15" s="2">
        <v>42</v>
      </c>
      <c r="AZ15" s="2">
        <v>24</v>
      </c>
      <c r="BA15" s="3">
        <v>18</v>
      </c>
      <c r="BB15" s="2">
        <v>19</v>
      </c>
      <c r="BC15" s="2">
        <v>22</v>
      </c>
      <c r="BD15" s="3">
        <v>25</v>
      </c>
      <c r="BE15" s="2">
        <v>23</v>
      </c>
      <c r="BF15" s="2">
        <v>30</v>
      </c>
      <c r="BG15" s="3">
        <v>45</v>
      </c>
      <c r="BH15" s="2">
        <v>42</v>
      </c>
      <c r="BI15" s="2">
        <v>27</v>
      </c>
      <c r="BJ15" s="3">
        <v>19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48</v>
      </c>
      <c r="D16" s="2">
        <v>17</v>
      </c>
      <c r="E16" s="3">
        <v>3</v>
      </c>
      <c r="F16" s="2">
        <v>12</v>
      </c>
      <c r="G16" s="2">
        <v>26</v>
      </c>
      <c r="H16" s="3">
        <v>36</v>
      </c>
      <c r="I16" s="2">
        <v>13</v>
      </c>
      <c r="J16" s="2">
        <v>12</v>
      </c>
      <c r="K16" s="3">
        <v>36</v>
      </c>
      <c r="L16" s="2">
        <v>37</v>
      </c>
      <c r="M16" s="2">
        <v>44</v>
      </c>
      <c r="N16" s="3">
        <v>47</v>
      </c>
      <c r="O16" s="2">
        <v>29</v>
      </c>
      <c r="P16" s="2">
        <v>20</v>
      </c>
      <c r="Q16" s="3">
        <v>7</v>
      </c>
      <c r="R16" s="2">
        <v>23</v>
      </c>
      <c r="S16" s="2">
        <v>28</v>
      </c>
      <c r="T16" s="3">
        <v>89</v>
      </c>
      <c r="U16" s="2">
        <v>13</v>
      </c>
      <c r="V16" s="2">
        <v>25</v>
      </c>
      <c r="W16" s="3">
        <v>15</v>
      </c>
      <c r="X16" s="2">
        <v>20</v>
      </c>
      <c r="Y16" s="2">
        <v>18</v>
      </c>
      <c r="Z16" s="3">
        <v>20</v>
      </c>
      <c r="AA16" s="2">
        <v>23</v>
      </c>
      <c r="AB16" s="2">
        <v>6</v>
      </c>
      <c r="AC16" s="3">
        <v>37</v>
      </c>
      <c r="AD16" s="2">
        <v>36</v>
      </c>
      <c r="AE16" s="2">
        <v>33</v>
      </c>
      <c r="AF16" s="3">
        <v>27</v>
      </c>
      <c r="AG16" s="2">
        <v>56</v>
      </c>
      <c r="AH16" s="2">
        <v>96</v>
      </c>
      <c r="AI16" s="3">
        <v>76</v>
      </c>
      <c r="AJ16" s="2">
        <v>181</v>
      </c>
      <c r="AK16" s="2">
        <v>67</v>
      </c>
      <c r="AL16" s="3">
        <v>132</v>
      </c>
      <c r="AM16" s="2">
        <v>6</v>
      </c>
      <c r="AN16" s="2">
        <v>10</v>
      </c>
      <c r="AO16" s="3">
        <v>1</v>
      </c>
      <c r="AP16" s="2">
        <v>4</v>
      </c>
      <c r="AQ16" s="2">
        <v>14</v>
      </c>
      <c r="AR16" s="3">
        <v>29</v>
      </c>
      <c r="AS16" s="2">
        <v>13</v>
      </c>
      <c r="AT16" s="2">
        <v>9</v>
      </c>
      <c r="AU16" s="3">
        <v>39</v>
      </c>
      <c r="AV16" s="2">
        <v>27</v>
      </c>
      <c r="AW16" s="2">
        <v>2</v>
      </c>
      <c r="AX16" s="3">
        <v>22</v>
      </c>
      <c r="AY16" s="2">
        <v>3</v>
      </c>
      <c r="AZ16" s="2">
        <v>15</v>
      </c>
      <c r="BA16" s="3">
        <v>4</v>
      </c>
      <c r="BB16" s="2">
        <v>13</v>
      </c>
      <c r="BC16" s="2">
        <v>5</v>
      </c>
      <c r="BD16" s="3">
        <v>3</v>
      </c>
      <c r="BE16" s="2">
        <v>70</v>
      </c>
      <c r="BF16" s="2">
        <v>33</v>
      </c>
      <c r="BG16" s="3">
        <v>0</v>
      </c>
      <c r="BH16" s="2">
        <v>1</v>
      </c>
      <c r="BI16" s="2">
        <v>1</v>
      </c>
      <c r="BJ16" s="3">
        <v>1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16"/>
  <sheetViews>
    <sheetView workbookViewId="0">
      <selection activeCell="K19" sqref="K19"/>
    </sheetView>
  </sheetViews>
  <sheetFormatPr defaultRowHeight="14.5" x14ac:dyDescent="0.35"/>
  <cols>
    <col min="1" max="1" width="16.6328125" bestFit="1" customWidth="1"/>
    <col min="2" max="4" width="14.453125" bestFit="1" customWidth="1"/>
    <col min="5" max="5" width="13.54296875" bestFit="1" customWidth="1"/>
    <col min="6" max="7" width="14.453125" bestFit="1" customWidth="1"/>
    <col min="8" max="8" width="13.54296875" bestFit="1" customWidth="1"/>
    <col min="9" max="10" width="14.453125" bestFit="1" customWidth="1"/>
    <col min="11" max="11" width="13.54296875" bestFit="1" customWidth="1"/>
    <col min="12" max="13" width="14.453125" bestFit="1" customWidth="1"/>
    <col min="14" max="14" width="13.54296875" bestFit="1" customWidth="1"/>
    <col min="15" max="16" width="14.453125" bestFit="1" customWidth="1"/>
    <col min="17" max="17" width="13.54296875" bestFit="1" customWidth="1"/>
    <col min="18" max="19" width="14.453125" bestFit="1" customWidth="1"/>
    <col min="20" max="20" width="13.54296875" bestFit="1" customWidth="1"/>
    <col min="21" max="22" width="14.453125" bestFit="1" customWidth="1"/>
    <col min="23" max="23" width="13.54296875" bestFit="1" customWidth="1"/>
    <col min="24" max="25" width="14.453125" bestFit="1" customWidth="1"/>
    <col min="26" max="26" width="13.54296875" bestFit="1" customWidth="1"/>
    <col min="27" max="28" width="14.453125" bestFit="1" customWidth="1"/>
    <col min="29" max="29" width="13.54296875" bestFit="1" customWidth="1"/>
    <col min="30" max="31" width="14.453125" bestFit="1" customWidth="1"/>
    <col min="32" max="32" width="13.54296875" bestFit="1" customWidth="1"/>
    <col min="33" max="34" width="14.453125" bestFit="1" customWidth="1"/>
    <col min="35" max="35" width="13.54296875" bestFit="1" customWidth="1"/>
    <col min="36" max="37" width="14.453125" bestFit="1" customWidth="1"/>
    <col min="38" max="38" width="13.54296875" bestFit="1" customWidth="1"/>
    <col min="39" max="40" width="14.453125" bestFit="1" customWidth="1"/>
    <col min="41" max="41" width="13.54296875" bestFit="1" customWidth="1"/>
    <col min="42" max="43" width="14.453125" bestFit="1" customWidth="1"/>
    <col min="44" max="44" width="12.453125" bestFit="1" customWidth="1"/>
    <col min="45" max="46" width="13.36328125" bestFit="1" customWidth="1"/>
    <col min="47" max="47" width="12.453125" bestFit="1" customWidth="1"/>
    <col min="48" max="49" width="13.36328125" bestFit="1" customWidth="1"/>
    <col min="50" max="50" width="12.453125" bestFit="1" customWidth="1"/>
    <col min="51" max="52" width="13.36328125" bestFit="1" customWidth="1"/>
    <col min="53" max="53" width="12.453125" bestFit="1" customWidth="1"/>
    <col min="54" max="55" width="13.36328125" bestFit="1" customWidth="1"/>
    <col min="56" max="56" width="12.453125" bestFit="1" customWidth="1"/>
    <col min="57" max="58" width="13.36328125" bestFit="1" customWidth="1"/>
    <col min="59" max="59" width="12.453125" bestFit="1" customWidth="1"/>
    <col min="60" max="60" width="13.36328125" bestFit="1" customWidth="1"/>
    <col min="61" max="61" width="12.1796875" bestFit="1" customWidth="1"/>
    <col min="62" max="62" width="11.453125" bestFit="1" customWidth="1"/>
    <col min="63" max="63" width="12.1796875" bestFit="1" customWidth="1"/>
    <col min="64" max="64" width="10.816406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497</v>
      </c>
      <c r="C2" s="2">
        <v>458</v>
      </c>
      <c r="D2" s="2">
        <v>454</v>
      </c>
      <c r="E2" s="3">
        <v>444</v>
      </c>
      <c r="F2" s="2">
        <v>438</v>
      </c>
      <c r="G2" s="2">
        <v>426</v>
      </c>
      <c r="H2" s="3">
        <v>420</v>
      </c>
      <c r="I2" s="2">
        <v>409</v>
      </c>
      <c r="J2" s="2">
        <v>403</v>
      </c>
      <c r="K2" s="3">
        <v>398</v>
      </c>
      <c r="L2" s="2">
        <v>392</v>
      </c>
      <c r="M2" s="2">
        <v>382</v>
      </c>
      <c r="N2" s="3">
        <v>377</v>
      </c>
      <c r="O2" s="2">
        <v>370</v>
      </c>
      <c r="P2" s="2">
        <v>363</v>
      </c>
      <c r="Q2" s="3">
        <v>358</v>
      </c>
      <c r="R2" s="2">
        <v>356</v>
      </c>
      <c r="S2" s="2">
        <v>349</v>
      </c>
      <c r="T2" s="3">
        <v>341</v>
      </c>
      <c r="U2" s="2">
        <v>317</v>
      </c>
      <c r="V2" s="2">
        <v>305</v>
      </c>
      <c r="W2" s="3">
        <v>299</v>
      </c>
      <c r="X2" s="2">
        <v>293</v>
      </c>
      <c r="Y2" s="2">
        <v>250</v>
      </c>
      <c r="Z2" s="3">
        <v>239</v>
      </c>
      <c r="AA2" s="2">
        <v>201</v>
      </c>
      <c r="AB2" s="2">
        <v>182</v>
      </c>
      <c r="AC2" s="3">
        <v>167</v>
      </c>
      <c r="AD2" s="2">
        <v>165</v>
      </c>
      <c r="AE2" s="2">
        <v>161</v>
      </c>
      <c r="AF2" s="3">
        <v>157</v>
      </c>
      <c r="AG2" s="2">
        <v>155</v>
      </c>
      <c r="AH2" s="2">
        <v>147</v>
      </c>
      <c r="AI2" s="3">
        <v>138</v>
      </c>
      <c r="AJ2" s="2">
        <v>132</v>
      </c>
      <c r="AK2" s="2">
        <v>118</v>
      </c>
      <c r="AL2" s="3">
        <v>117</v>
      </c>
      <c r="AM2" s="2">
        <v>108</v>
      </c>
      <c r="AN2" s="2">
        <v>105</v>
      </c>
      <c r="AO2" s="3">
        <v>104</v>
      </c>
      <c r="AP2" s="2">
        <v>103</v>
      </c>
      <c r="AQ2" s="2">
        <v>99</v>
      </c>
      <c r="AR2" s="3">
        <v>86</v>
      </c>
      <c r="AS2" s="2">
        <v>74</v>
      </c>
      <c r="AT2" s="2">
        <v>71</v>
      </c>
      <c r="AU2" s="3">
        <v>61</v>
      </c>
      <c r="AV2" s="2">
        <v>58</v>
      </c>
      <c r="AW2" s="2">
        <v>54</v>
      </c>
      <c r="AX2" s="3">
        <v>50</v>
      </c>
      <c r="AY2" s="2">
        <v>49</v>
      </c>
      <c r="AZ2" s="2">
        <v>44</v>
      </c>
      <c r="BA2" s="3">
        <v>37</v>
      </c>
      <c r="BB2" s="2">
        <v>36</v>
      </c>
      <c r="BC2" s="2">
        <v>33</v>
      </c>
      <c r="BD2" s="3">
        <v>29</v>
      </c>
      <c r="BE2" s="2">
        <v>22</v>
      </c>
      <c r="BF2" s="2">
        <v>14</v>
      </c>
      <c r="BG2" s="3">
        <v>13</v>
      </c>
      <c r="BH2" s="2">
        <v>7</v>
      </c>
      <c r="BI2" s="2">
        <v>3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287</v>
      </c>
      <c r="C3" s="2">
        <v>286</v>
      </c>
      <c r="D3" s="2">
        <v>286</v>
      </c>
      <c r="E3" s="3">
        <v>284</v>
      </c>
      <c r="F3" s="2">
        <v>284</v>
      </c>
      <c r="G3" s="2">
        <v>284</v>
      </c>
      <c r="H3" s="3">
        <v>279</v>
      </c>
      <c r="I3" s="2">
        <v>279</v>
      </c>
      <c r="J3" s="2">
        <v>279</v>
      </c>
      <c r="K3" s="3">
        <v>274</v>
      </c>
      <c r="L3" s="2">
        <v>250</v>
      </c>
      <c r="M3" s="2">
        <v>247</v>
      </c>
      <c r="N3" s="3">
        <v>247</v>
      </c>
      <c r="O3" s="2">
        <v>236</v>
      </c>
      <c r="P3" s="2">
        <v>236</v>
      </c>
      <c r="Q3" s="3">
        <v>235</v>
      </c>
      <c r="R3" s="2">
        <v>229</v>
      </c>
      <c r="S3" s="2">
        <v>212</v>
      </c>
      <c r="T3" s="3">
        <v>212</v>
      </c>
      <c r="U3" s="2">
        <v>199</v>
      </c>
      <c r="V3" s="2">
        <v>194</v>
      </c>
      <c r="W3" s="3">
        <v>193</v>
      </c>
      <c r="X3" s="2">
        <v>185</v>
      </c>
      <c r="Y3" s="2">
        <v>179</v>
      </c>
      <c r="Z3" s="3">
        <v>172</v>
      </c>
      <c r="AA3" s="2">
        <v>164</v>
      </c>
      <c r="AB3" s="2">
        <v>159</v>
      </c>
      <c r="AC3" s="3">
        <v>156</v>
      </c>
      <c r="AD3" s="2">
        <v>153</v>
      </c>
      <c r="AE3" s="2">
        <v>134</v>
      </c>
      <c r="AF3" s="3">
        <v>131</v>
      </c>
      <c r="AG3" s="2">
        <v>119</v>
      </c>
      <c r="AH3" s="2">
        <v>118</v>
      </c>
      <c r="AI3" s="3">
        <v>117</v>
      </c>
      <c r="AJ3" s="2">
        <v>108</v>
      </c>
      <c r="AK3" s="2">
        <v>82</v>
      </c>
      <c r="AL3" s="3">
        <v>76</v>
      </c>
      <c r="AM3" s="2">
        <v>68</v>
      </c>
      <c r="AN3" s="2">
        <v>68</v>
      </c>
      <c r="AO3" s="3">
        <v>60</v>
      </c>
      <c r="AP3" s="2">
        <v>57</v>
      </c>
      <c r="AQ3" s="2">
        <v>54</v>
      </c>
      <c r="AR3" s="3">
        <v>39</v>
      </c>
      <c r="AS3" s="2">
        <v>38</v>
      </c>
      <c r="AT3" s="2">
        <v>34</v>
      </c>
      <c r="AU3" s="3">
        <v>30</v>
      </c>
      <c r="AV3" s="2">
        <v>28</v>
      </c>
      <c r="AW3" s="2">
        <v>23</v>
      </c>
      <c r="AX3" s="3">
        <v>21</v>
      </c>
      <c r="AY3" s="2">
        <v>18</v>
      </c>
      <c r="AZ3" s="2">
        <v>11</v>
      </c>
      <c r="BA3" s="3">
        <v>11</v>
      </c>
      <c r="BB3" s="2">
        <v>11</v>
      </c>
      <c r="BC3" s="2">
        <v>11</v>
      </c>
      <c r="BD3" s="3">
        <v>11</v>
      </c>
      <c r="BE3" s="2">
        <v>11</v>
      </c>
      <c r="BF3" s="2">
        <v>9</v>
      </c>
      <c r="BG3" s="3">
        <v>7</v>
      </c>
      <c r="BH3" s="2">
        <v>7</v>
      </c>
      <c r="BI3" s="2">
        <v>5</v>
      </c>
      <c r="BJ3" s="3">
        <v>4</v>
      </c>
      <c r="BK3" s="2">
        <v>3</v>
      </c>
      <c r="BL3">
        <v>3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15289625.23</v>
      </c>
      <c r="C5" s="2">
        <v>14825089.800000001</v>
      </c>
      <c r="D5" s="2">
        <v>14765783.470000001</v>
      </c>
      <c r="E5" s="3">
        <v>14648978.140000001</v>
      </c>
      <c r="F5" s="2">
        <v>14588662.529999999</v>
      </c>
      <c r="G5" s="2">
        <v>14431742.390000001</v>
      </c>
      <c r="H5" s="3">
        <v>14305136.060000001</v>
      </c>
      <c r="I5" s="2">
        <v>14163221.939999999</v>
      </c>
      <c r="J5" s="2">
        <v>14098749.119999999</v>
      </c>
      <c r="K5" s="3">
        <v>13711850.199999999</v>
      </c>
      <c r="L5" s="2">
        <v>13099416.580000009</v>
      </c>
      <c r="M5" s="2">
        <v>12838695.33000003</v>
      </c>
      <c r="N5" s="3">
        <v>12801561.26000003</v>
      </c>
      <c r="O5" s="2">
        <v>12312828.33000003</v>
      </c>
      <c r="P5" s="2">
        <v>12181525.160000021</v>
      </c>
      <c r="Q5" s="3">
        <v>12082398.96000002</v>
      </c>
      <c r="R5" s="2">
        <v>11945078.720000019</v>
      </c>
      <c r="S5" s="2">
        <v>11537967.970000019</v>
      </c>
      <c r="T5" s="3">
        <v>11421454.050000019</v>
      </c>
      <c r="U5" s="2">
        <v>9541718.0300000124</v>
      </c>
      <c r="V5" s="2">
        <v>9144792.0000000149</v>
      </c>
      <c r="W5" s="3">
        <v>9019495.3900000155</v>
      </c>
      <c r="X5" s="2">
        <v>8606673.180000009</v>
      </c>
      <c r="Y5" s="2">
        <v>8081290.0200000033</v>
      </c>
      <c r="Z5" s="3">
        <v>7744776.1600000029</v>
      </c>
      <c r="AA5" s="2">
        <v>6621190.1999999974</v>
      </c>
      <c r="AB5" s="2">
        <v>6346051.6599999983</v>
      </c>
      <c r="AC5" s="3">
        <v>6174692.759999997</v>
      </c>
      <c r="AD5" s="2">
        <v>6109262.3899999959</v>
      </c>
      <c r="AE5" s="2">
        <v>5592620.3499999959</v>
      </c>
      <c r="AF5" s="3">
        <v>5444517.5999999968</v>
      </c>
      <c r="AG5" s="2">
        <v>5339902.0799999973</v>
      </c>
      <c r="AH5" s="2">
        <v>5203773.1599999983</v>
      </c>
      <c r="AI5" s="3">
        <v>5066256.7499999972</v>
      </c>
      <c r="AJ5" s="2">
        <v>4703925.5799999954</v>
      </c>
      <c r="AK5" s="2">
        <v>4062938.83</v>
      </c>
      <c r="AL5" s="3">
        <v>3800750.72</v>
      </c>
      <c r="AM5" s="2">
        <v>3570119.75</v>
      </c>
      <c r="AN5" s="2">
        <v>3433019.9500000011</v>
      </c>
      <c r="AO5" s="3">
        <v>3090363.6900000009</v>
      </c>
      <c r="AP5" s="2">
        <v>3027456.34</v>
      </c>
      <c r="AQ5" s="2">
        <v>2947489</v>
      </c>
      <c r="AR5" s="3">
        <v>2371546.290000001</v>
      </c>
      <c r="AS5" s="2">
        <v>1694561.27</v>
      </c>
      <c r="AT5" s="2">
        <v>1606222.67</v>
      </c>
      <c r="AU5" s="3">
        <v>1382616.6</v>
      </c>
      <c r="AV5" s="2">
        <v>1314914.71</v>
      </c>
      <c r="AW5" s="2">
        <v>1201163.95</v>
      </c>
      <c r="AX5" s="3">
        <v>994316.6399999999</v>
      </c>
      <c r="AY5" s="2">
        <v>937940.82999999984</v>
      </c>
      <c r="AZ5" s="2">
        <v>744569.55999999982</v>
      </c>
      <c r="BA5" s="3">
        <v>655532.02999999991</v>
      </c>
      <c r="BB5" s="2">
        <v>649562.17999999993</v>
      </c>
      <c r="BC5" s="2">
        <v>600339.22999999986</v>
      </c>
      <c r="BD5" s="3">
        <v>552770.82999999996</v>
      </c>
      <c r="BE5" s="2">
        <v>481472.87999999989</v>
      </c>
      <c r="BF5" s="2">
        <v>367756.06999999989</v>
      </c>
      <c r="BG5" s="3">
        <v>301488.24999999988</v>
      </c>
      <c r="BH5" s="2">
        <v>231164.09</v>
      </c>
      <c r="BI5" s="2">
        <v>165436.22</v>
      </c>
      <c r="BJ5" s="3">
        <v>120746.32</v>
      </c>
      <c r="BK5" s="2">
        <v>93739.45</v>
      </c>
      <c r="BL5">
        <v>93739.45</v>
      </c>
    </row>
    <row r="6" spans="1:64" ht="15.5" x14ac:dyDescent="0.35">
      <c r="A6" t="s">
        <v>68</v>
      </c>
      <c r="B6" s="2">
        <v>8322684.099999995</v>
      </c>
      <c r="C6" s="2">
        <v>8109495.3199999956</v>
      </c>
      <c r="D6" s="2">
        <v>8086478.3199999956</v>
      </c>
      <c r="E6" s="3">
        <v>8033318.8499999968</v>
      </c>
      <c r="F6" s="2">
        <v>8005207.7699999968</v>
      </c>
      <c r="G6" s="2">
        <v>7933329.7399999956</v>
      </c>
      <c r="H6" s="3">
        <v>7881435.3299999973</v>
      </c>
      <c r="I6" s="2">
        <v>7815536.0899999971</v>
      </c>
      <c r="J6" s="2">
        <v>7788699.4199999981</v>
      </c>
      <c r="K6" s="3">
        <v>7511415.9399999976</v>
      </c>
      <c r="L6" s="2">
        <v>7234691.8499999968</v>
      </c>
      <c r="M6" s="2">
        <v>7072521.8899999969</v>
      </c>
      <c r="N6" s="3">
        <v>7059173.9899999956</v>
      </c>
      <c r="O6" s="2">
        <v>6718430.7499999925</v>
      </c>
      <c r="P6" s="2">
        <v>6649040.979999993</v>
      </c>
      <c r="Q6" s="3">
        <v>6588875.0699999928</v>
      </c>
      <c r="R6" s="2">
        <v>6514363.399999992</v>
      </c>
      <c r="S6" s="2">
        <v>6268886.2699999921</v>
      </c>
      <c r="T6" s="3">
        <v>6222197.4999999925</v>
      </c>
      <c r="U6" s="2">
        <v>5223907.8399999877</v>
      </c>
      <c r="V6" s="2">
        <v>4989848.7599999858</v>
      </c>
      <c r="W6" s="3">
        <v>4927676.079999988</v>
      </c>
      <c r="X6" s="2">
        <v>4675110.4499999862</v>
      </c>
      <c r="Y6" s="2">
        <v>4394553.9699999886</v>
      </c>
      <c r="Z6" s="3">
        <v>4201467.5899999905</v>
      </c>
      <c r="AA6" s="2">
        <v>3640946.6599999978</v>
      </c>
      <c r="AB6" s="2">
        <v>3501875.1500000008</v>
      </c>
      <c r="AC6" s="3">
        <v>3420883.6500000018</v>
      </c>
      <c r="AD6" s="2">
        <v>3388271.6500000008</v>
      </c>
      <c r="AE6" s="2">
        <v>3051324.8200000031</v>
      </c>
      <c r="AF6" s="3">
        <v>2965417.5300000031</v>
      </c>
      <c r="AG6" s="2">
        <v>2904552.2500000009</v>
      </c>
      <c r="AH6" s="2">
        <v>2827251.8300000019</v>
      </c>
      <c r="AI6" s="3">
        <v>2769064.6100000022</v>
      </c>
      <c r="AJ6" s="2">
        <v>2574442.0200000028</v>
      </c>
      <c r="AK6" s="2">
        <v>2175261.92</v>
      </c>
      <c r="AL6" s="3">
        <v>2019076.84</v>
      </c>
      <c r="AM6" s="2">
        <v>1900243.46</v>
      </c>
      <c r="AN6" s="2">
        <v>1833350.72</v>
      </c>
      <c r="AO6" s="3">
        <v>1620429.8099999989</v>
      </c>
      <c r="AP6" s="2">
        <v>1578451.919999999</v>
      </c>
      <c r="AQ6" s="2">
        <v>1540959.189999999</v>
      </c>
      <c r="AR6" s="3">
        <v>1229154.78</v>
      </c>
      <c r="AS6" s="2">
        <v>869241.56000000029</v>
      </c>
      <c r="AT6" s="2">
        <v>815995.09000000043</v>
      </c>
      <c r="AU6" s="3">
        <v>702353.27000000025</v>
      </c>
      <c r="AV6" s="2">
        <v>664991.49000000011</v>
      </c>
      <c r="AW6" s="2">
        <v>603800.35000000021</v>
      </c>
      <c r="AX6" s="3">
        <v>475496.89000000007</v>
      </c>
      <c r="AY6" s="2">
        <v>447251.45000000013</v>
      </c>
      <c r="AZ6" s="2">
        <v>337930.97</v>
      </c>
      <c r="BA6" s="3">
        <v>299303.06999999989</v>
      </c>
      <c r="BB6" s="2">
        <v>297341.96999999991</v>
      </c>
      <c r="BC6" s="2">
        <v>278079.34000000003</v>
      </c>
      <c r="BD6" s="3">
        <v>258775.0799999999</v>
      </c>
      <c r="BE6" s="2">
        <v>234372.9599999999</v>
      </c>
      <c r="BF6" s="2">
        <v>185660.84999999989</v>
      </c>
      <c r="BG6" s="3">
        <v>152682.37</v>
      </c>
      <c r="BH6" s="2">
        <v>122480.27</v>
      </c>
      <c r="BI6" s="2">
        <v>88618.240000000005</v>
      </c>
      <c r="BJ6" s="3">
        <v>66722.81</v>
      </c>
      <c r="BK6" s="2">
        <v>52333.93</v>
      </c>
      <c r="BL6">
        <v>52333.93</v>
      </c>
    </row>
    <row r="7" spans="1:64" ht="15.5" x14ac:dyDescent="0.35">
      <c r="A7" t="s">
        <v>69</v>
      </c>
      <c r="B7" s="2">
        <v>3915212.9099999908</v>
      </c>
      <c r="C7" s="2">
        <v>3832874.7099999911</v>
      </c>
      <c r="D7" s="2">
        <v>3820388.46999999</v>
      </c>
      <c r="E7" s="3">
        <v>3787833.50999999</v>
      </c>
      <c r="F7" s="2">
        <v>3770635.129999991</v>
      </c>
      <c r="G7" s="2">
        <v>3732194.8499999898</v>
      </c>
      <c r="H7" s="3">
        <v>3709446.9299999909</v>
      </c>
      <c r="I7" s="2">
        <v>3669163.7899999912</v>
      </c>
      <c r="J7" s="2">
        <v>3655212.7899999921</v>
      </c>
      <c r="K7" s="3">
        <v>3585934.4699999918</v>
      </c>
      <c r="L7" s="2">
        <v>3341290.5799999912</v>
      </c>
      <c r="M7" s="2">
        <v>3295017.189999992</v>
      </c>
      <c r="N7" s="3">
        <v>3284588.4999999921</v>
      </c>
      <c r="O7" s="2">
        <v>3198011.8299999931</v>
      </c>
      <c r="P7" s="2">
        <v>3177445.499999993</v>
      </c>
      <c r="Q7" s="3">
        <v>3157751.079999994</v>
      </c>
      <c r="R7" s="2">
        <v>3112022.3199999938</v>
      </c>
      <c r="S7" s="2">
        <v>2992965.1499999962</v>
      </c>
      <c r="T7" s="3">
        <v>2970298.2299999958</v>
      </c>
      <c r="U7" s="2">
        <v>2486857.099999995</v>
      </c>
      <c r="V7" s="2">
        <v>2400704.0499999961</v>
      </c>
      <c r="W7" s="3">
        <v>2364223.6499999962</v>
      </c>
      <c r="X7" s="2">
        <v>2250704.2299999949</v>
      </c>
      <c r="Y7" s="2">
        <v>2125748.8299999968</v>
      </c>
      <c r="Z7" s="3">
        <v>2032914.299999997</v>
      </c>
      <c r="AA7" s="2">
        <v>1728925.87</v>
      </c>
      <c r="AB7" s="2">
        <v>1652798.22</v>
      </c>
      <c r="AC7" s="3">
        <v>1611092.0099999979</v>
      </c>
      <c r="AD7" s="2">
        <v>1592357.8599999989</v>
      </c>
      <c r="AE7" s="2">
        <v>1463580.8599999989</v>
      </c>
      <c r="AF7" s="3">
        <v>1419252.0499999991</v>
      </c>
      <c r="AG7" s="2">
        <v>1388299.11</v>
      </c>
      <c r="AH7" s="2">
        <v>1349297.81</v>
      </c>
      <c r="AI7" s="3">
        <v>1311256.649999999</v>
      </c>
      <c r="AJ7" s="2">
        <v>1217196.3299999989</v>
      </c>
      <c r="AK7" s="2">
        <v>1057173.44</v>
      </c>
      <c r="AL7" s="3">
        <v>974840.24000000034</v>
      </c>
      <c r="AM7" s="2">
        <v>909235.22000000009</v>
      </c>
      <c r="AN7" s="2">
        <v>875850.79999999993</v>
      </c>
      <c r="AO7" s="3">
        <v>786518.68000000017</v>
      </c>
      <c r="AP7" s="2">
        <v>772543.53</v>
      </c>
      <c r="AQ7" s="2">
        <v>748938.87</v>
      </c>
      <c r="AR7" s="3">
        <v>616365.16999999981</v>
      </c>
      <c r="AS7" s="2">
        <v>469872.42999999988</v>
      </c>
      <c r="AT7" s="2">
        <v>449601.28000000003</v>
      </c>
      <c r="AU7" s="3">
        <v>395111.49999999988</v>
      </c>
      <c r="AV7" s="2">
        <v>379943.39999999991</v>
      </c>
      <c r="AW7" s="2">
        <v>348605.11999999988</v>
      </c>
      <c r="AX7" s="3">
        <v>297398.74999999988</v>
      </c>
      <c r="AY7" s="2">
        <v>279044.90000000002</v>
      </c>
      <c r="AZ7" s="2">
        <v>224151.32</v>
      </c>
      <c r="BA7" s="3">
        <v>200662.75000000009</v>
      </c>
      <c r="BB7" s="2">
        <v>198794.44000000009</v>
      </c>
      <c r="BC7" s="2">
        <v>184325.19</v>
      </c>
      <c r="BD7" s="3">
        <v>170889.60000000001</v>
      </c>
      <c r="BE7" s="2">
        <v>147055.41</v>
      </c>
      <c r="BF7" s="2">
        <v>115225.56</v>
      </c>
      <c r="BG7" s="3">
        <v>93575.349999999977</v>
      </c>
      <c r="BH7" s="2">
        <v>74482.81</v>
      </c>
      <c r="BI7" s="2">
        <v>55227.23000000001</v>
      </c>
      <c r="BJ7" s="3">
        <v>40468.5</v>
      </c>
      <c r="BK7" s="2">
        <v>30810.51</v>
      </c>
      <c r="BL7">
        <v>30810.51</v>
      </c>
    </row>
    <row r="8" spans="1:64" ht="15.5" x14ac:dyDescent="0.35">
      <c r="A8" t="s">
        <v>70</v>
      </c>
      <c r="B8" s="2">
        <v>1088677.2600000021</v>
      </c>
      <c r="C8" s="2">
        <v>1057224.0300000019</v>
      </c>
      <c r="D8" s="2">
        <v>1053458.120000002</v>
      </c>
      <c r="E8" s="3">
        <v>1045411.310000001</v>
      </c>
      <c r="F8" s="2">
        <v>1043136.680000001</v>
      </c>
      <c r="G8" s="2">
        <v>1029536.540000002</v>
      </c>
      <c r="H8" s="3">
        <v>1003379.510000002</v>
      </c>
      <c r="I8" s="2">
        <v>993961.25000000151</v>
      </c>
      <c r="J8" s="2">
        <v>985559.71000000159</v>
      </c>
      <c r="K8" s="3">
        <v>965776.04000000155</v>
      </c>
      <c r="L8" s="2">
        <v>904003.96000000159</v>
      </c>
      <c r="M8" s="2">
        <v>886798.33000000136</v>
      </c>
      <c r="N8" s="3">
        <v>884177.36000000138</v>
      </c>
      <c r="O8" s="2">
        <v>844443.21000000159</v>
      </c>
      <c r="P8" s="2">
        <v>838681.84000000148</v>
      </c>
      <c r="Q8" s="3">
        <v>833240.2700000013</v>
      </c>
      <c r="R8" s="2">
        <v>822403.03000000142</v>
      </c>
      <c r="S8" s="2">
        <v>792940.97000000137</v>
      </c>
      <c r="T8" s="3">
        <v>783548.37000000151</v>
      </c>
      <c r="U8" s="2">
        <v>657046.65000000107</v>
      </c>
      <c r="V8" s="2">
        <v>637527.44000000099</v>
      </c>
      <c r="W8" s="3">
        <v>627011.14000000083</v>
      </c>
      <c r="X8" s="2">
        <v>596341.55000000098</v>
      </c>
      <c r="Y8" s="2">
        <v>569763.06000000006</v>
      </c>
      <c r="Z8" s="3">
        <v>547765.99</v>
      </c>
      <c r="AA8" s="2">
        <v>465445.50000000029</v>
      </c>
      <c r="AB8" s="2">
        <v>449289.74000000022</v>
      </c>
      <c r="AC8" s="3">
        <v>440392.95000000019</v>
      </c>
      <c r="AD8" s="2">
        <v>435808.76000000018</v>
      </c>
      <c r="AE8" s="2">
        <v>398631.19000000012</v>
      </c>
      <c r="AF8" s="3">
        <v>389789.39000000007</v>
      </c>
      <c r="AG8" s="2">
        <v>381242.93000000011</v>
      </c>
      <c r="AH8" s="2">
        <v>372288.24</v>
      </c>
      <c r="AI8" s="3">
        <v>362932.56999999989</v>
      </c>
      <c r="AJ8" s="2">
        <v>335007.3899999999</v>
      </c>
      <c r="AK8" s="2">
        <v>289886.93999999989</v>
      </c>
      <c r="AL8" s="3">
        <v>270071.03999999998</v>
      </c>
      <c r="AM8" s="2">
        <v>253102.07</v>
      </c>
      <c r="AN8" s="2">
        <v>242486.03</v>
      </c>
      <c r="AO8" s="3">
        <v>215556.88</v>
      </c>
      <c r="AP8" s="2">
        <v>211971.88</v>
      </c>
      <c r="AQ8" s="2">
        <v>206049.51</v>
      </c>
      <c r="AR8" s="3">
        <v>167133.01999999999</v>
      </c>
      <c r="AS8" s="2">
        <v>119132.16</v>
      </c>
      <c r="AT8" s="2">
        <v>115311.34</v>
      </c>
      <c r="AU8" s="3">
        <v>101121.37</v>
      </c>
      <c r="AV8" s="2">
        <v>95480.739999999976</v>
      </c>
      <c r="AW8" s="2">
        <v>87633.599999999991</v>
      </c>
      <c r="AX8" s="3">
        <v>73919.399999999994</v>
      </c>
      <c r="AY8" s="2">
        <v>68448.87999999999</v>
      </c>
      <c r="AZ8" s="2">
        <v>52154.95</v>
      </c>
      <c r="BA8" s="3">
        <v>48803.66</v>
      </c>
      <c r="BB8" s="2">
        <v>48563.68</v>
      </c>
      <c r="BC8" s="2">
        <v>45396.13</v>
      </c>
      <c r="BD8" s="3">
        <v>42602.96</v>
      </c>
      <c r="BE8" s="2">
        <v>37585.530000000013</v>
      </c>
      <c r="BF8" s="2">
        <v>31484.65</v>
      </c>
      <c r="BG8" s="3">
        <v>24858.78</v>
      </c>
      <c r="BH8" s="2">
        <v>21576.239999999991</v>
      </c>
      <c r="BI8" s="2">
        <v>16743.04</v>
      </c>
      <c r="BJ8" s="3">
        <v>13135.01</v>
      </c>
      <c r="BK8" s="2">
        <v>10175.01</v>
      </c>
      <c r="BL8">
        <v>10175.01</v>
      </c>
    </row>
    <row r="9" spans="1:64" ht="15.5" x14ac:dyDescent="0.35">
      <c r="A9" t="s">
        <v>71</v>
      </c>
      <c r="B9" s="2">
        <v>30161056.389999978</v>
      </c>
      <c r="C9" s="2">
        <v>25939837.149999961</v>
      </c>
      <c r="D9" s="2">
        <v>25612608.08999997</v>
      </c>
      <c r="E9" s="3">
        <v>25114080.559999969</v>
      </c>
      <c r="F9" s="2">
        <v>24776961.08999997</v>
      </c>
      <c r="G9" s="2">
        <v>23881880.519999959</v>
      </c>
      <c r="H9" s="3">
        <v>23557706.13999996</v>
      </c>
      <c r="I9" s="2">
        <v>23146926.129999969</v>
      </c>
      <c r="J9" s="2">
        <v>22823900.719999969</v>
      </c>
      <c r="K9" s="3">
        <v>22408204.879999969</v>
      </c>
      <c r="L9" s="2">
        <v>21917307.849999979</v>
      </c>
      <c r="M9" s="2">
        <v>21262330.279999979</v>
      </c>
      <c r="N9" s="3">
        <v>21087846.179999981</v>
      </c>
      <c r="O9" s="2">
        <v>20590274.34999999</v>
      </c>
      <c r="P9" s="2">
        <v>20165483.559999991</v>
      </c>
      <c r="Q9" s="3">
        <v>19901942.999999989</v>
      </c>
      <c r="R9" s="2">
        <v>19851331.669999991</v>
      </c>
      <c r="S9" s="2">
        <v>19700313.41</v>
      </c>
      <c r="T9" s="3">
        <v>19036266.030000001</v>
      </c>
      <c r="U9" s="2">
        <v>14097758.23</v>
      </c>
      <c r="V9" s="2">
        <v>13098034.050000001</v>
      </c>
      <c r="W9" s="3">
        <v>12794525.300000001</v>
      </c>
      <c r="X9" s="2">
        <v>12507183.02</v>
      </c>
      <c r="Y9" s="2">
        <v>11156595.390000001</v>
      </c>
      <c r="Z9" s="3">
        <v>10824605.880000001</v>
      </c>
      <c r="AA9" s="2">
        <v>7462852.6099999975</v>
      </c>
      <c r="AB9" s="2">
        <v>6901414.2499999963</v>
      </c>
      <c r="AC9" s="3">
        <v>6475702.0399999963</v>
      </c>
      <c r="AD9" s="2">
        <v>6352277.3399999961</v>
      </c>
      <c r="AE9" s="2">
        <v>6257501.7699999977</v>
      </c>
      <c r="AF9" s="3">
        <v>6176267.8099999968</v>
      </c>
      <c r="AG9" s="2">
        <v>6109059.5999999968</v>
      </c>
      <c r="AH9" s="2">
        <v>5980069.7799999956</v>
      </c>
      <c r="AI9" s="3">
        <v>5510399.9299999969</v>
      </c>
      <c r="AJ9" s="2">
        <v>4860613.4999999991</v>
      </c>
      <c r="AK9" s="2">
        <v>4573361.3299999973</v>
      </c>
      <c r="AL9" s="3">
        <v>4525146.3299999991</v>
      </c>
      <c r="AM9" s="2">
        <v>4054653.4600000009</v>
      </c>
      <c r="AN9" s="2">
        <v>3474282.9700000011</v>
      </c>
      <c r="AO9" s="3">
        <v>3355284.6600000011</v>
      </c>
      <c r="AP9" s="2">
        <v>3296180.6600000011</v>
      </c>
      <c r="AQ9" s="2">
        <v>3186375.94</v>
      </c>
      <c r="AR9" s="3">
        <v>2452509.9200000009</v>
      </c>
      <c r="AS9" s="2">
        <v>1319894.96</v>
      </c>
      <c r="AT9" s="2">
        <v>1221325.6200000001</v>
      </c>
      <c r="AU9" s="3">
        <v>1078150.17</v>
      </c>
      <c r="AV9" s="2">
        <v>958102.65000000014</v>
      </c>
      <c r="AW9" s="2">
        <v>826197.3400000002</v>
      </c>
      <c r="AX9" s="3">
        <v>707040.74000000011</v>
      </c>
      <c r="AY9" s="2">
        <v>664848.74</v>
      </c>
      <c r="AZ9" s="2">
        <v>584139.14</v>
      </c>
      <c r="BA9" s="3">
        <v>405227.2099999999</v>
      </c>
      <c r="BB9" s="2">
        <v>390857.2099999999</v>
      </c>
      <c r="BC9" s="2">
        <v>309319.35999999993</v>
      </c>
      <c r="BD9" s="3">
        <v>245670.04</v>
      </c>
      <c r="BE9" s="2">
        <v>162463.54</v>
      </c>
      <c r="BF9" s="2">
        <v>72819.340000000011</v>
      </c>
      <c r="BG9" s="3">
        <v>53978.039999999994</v>
      </c>
      <c r="BH9" s="2">
        <v>12055.6</v>
      </c>
      <c r="BI9" s="2">
        <v>2510.4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17978752.98</v>
      </c>
      <c r="C10" s="2">
        <v>16001195.659999991</v>
      </c>
      <c r="D10" s="2">
        <v>15880306.11999999</v>
      </c>
      <c r="E10" s="3">
        <v>15970168.140000001</v>
      </c>
      <c r="F10" s="2">
        <v>15887917.809999989</v>
      </c>
      <c r="G10" s="2">
        <v>15336649.949999999</v>
      </c>
      <c r="H10" s="3">
        <v>15277301.289999999</v>
      </c>
      <c r="I10" s="2">
        <v>14977576.92999999</v>
      </c>
      <c r="J10" s="2">
        <v>14838472.37999999</v>
      </c>
      <c r="K10" s="3">
        <v>14722108.60999999</v>
      </c>
      <c r="L10" s="2">
        <v>14700985.52999999</v>
      </c>
      <c r="M10" s="2">
        <v>14361726.499999991</v>
      </c>
      <c r="N10" s="3">
        <v>14264209.279999999</v>
      </c>
      <c r="O10" s="2">
        <v>14000742.62999999</v>
      </c>
      <c r="P10" s="2">
        <v>13728954.479999989</v>
      </c>
      <c r="Q10" s="3">
        <v>13642548.37999999</v>
      </c>
      <c r="R10" s="2">
        <v>13592435.569999989</v>
      </c>
      <c r="S10" s="2">
        <v>13482024.139999989</v>
      </c>
      <c r="T10" s="3">
        <v>13154463.300000001</v>
      </c>
      <c r="U10" s="2">
        <v>10133428.130000001</v>
      </c>
      <c r="V10" s="2">
        <v>9508004.1299999971</v>
      </c>
      <c r="W10" s="3">
        <v>9379159.0999999959</v>
      </c>
      <c r="X10" s="2">
        <v>9190111.1899999939</v>
      </c>
      <c r="Y10" s="2">
        <v>7995457.0199999949</v>
      </c>
      <c r="Z10" s="3">
        <v>7731770.8299999936</v>
      </c>
      <c r="AA10" s="2">
        <v>5159301.2199999942</v>
      </c>
      <c r="AB10" s="2">
        <v>4771706.1999999965</v>
      </c>
      <c r="AC10" s="3">
        <v>4363681.1499999994</v>
      </c>
      <c r="AD10" s="2">
        <v>4252441.7199999988</v>
      </c>
      <c r="AE10" s="2">
        <v>4175323.6999999988</v>
      </c>
      <c r="AF10" s="3">
        <v>4095231.6999999988</v>
      </c>
      <c r="AG10" s="2">
        <v>4030132.1399999992</v>
      </c>
      <c r="AH10" s="2">
        <v>3910403.4099999992</v>
      </c>
      <c r="AI10" s="3">
        <v>3510397.3199999989</v>
      </c>
      <c r="AJ10" s="2">
        <v>3056405.77</v>
      </c>
      <c r="AK10" s="2">
        <v>2808644.9800000009</v>
      </c>
      <c r="AL10" s="3">
        <v>2782094.4700000011</v>
      </c>
      <c r="AM10" s="2">
        <v>2384300.8400000008</v>
      </c>
      <c r="AN10" s="2">
        <v>2258781.3600000008</v>
      </c>
      <c r="AO10" s="3">
        <v>2189841.1500000008</v>
      </c>
      <c r="AP10" s="2">
        <v>2141940.8900000011</v>
      </c>
      <c r="AQ10" s="2">
        <v>2032136.1700000011</v>
      </c>
      <c r="AR10" s="3">
        <v>1532347.65</v>
      </c>
      <c r="AS10" s="2">
        <v>1247666.94</v>
      </c>
      <c r="AT10" s="2">
        <v>1171099.58</v>
      </c>
      <c r="AU10" s="3">
        <v>1040571.39</v>
      </c>
      <c r="AV10" s="2">
        <v>936094.57000000007</v>
      </c>
      <c r="AW10" s="2">
        <v>815784.3600000001</v>
      </c>
      <c r="AX10" s="3">
        <v>696627.76</v>
      </c>
      <c r="AY10" s="2">
        <v>657318.21</v>
      </c>
      <c r="AZ10" s="2">
        <v>576970.97</v>
      </c>
      <c r="BA10" s="3">
        <v>398806.0799999999</v>
      </c>
      <c r="BB10" s="2">
        <v>384867.97999999992</v>
      </c>
      <c r="BC10" s="2">
        <v>309319.35999999993</v>
      </c>
      <c r="BD10" s="3">
        <v>245670.04</v>
      </c>
      <c r="BE10" s="2">
        <v>162463.54</v>
      </c>
      <c r="BF10" s="2">
        <v>72819.340000000011</v>
      </c>
      <c r="BG10" s="3">
        <v>53978.039999999994</v>
      </c>
      <c r="BH10" s="2">
        <v>12055.6</v>
      </c>
      <c r="BI10" s="2">
        <v>2510.4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343391.32000000082</v>
      </c>
      <c r="C11" s="2">
        <v>315326.57000000047</v>
      </c>
      <c r="D11" s="2">
        <v>312072.05000000063</v>
      </c>
      <c r="E11" s="3">
        <v>305680.27000000048</v>
      </c>
      <c r="F11" s="2">
        <v>302532.00000000058</v>
      </c>
      <c r="G11" s="2">
        <v>297824.98000000051</v>
      </c>
      <c r="H11" s="3">
        <v>282962.1200000004</v>
      </c>
      <c r="I11" s="2">
        <v>279742.99000000028</v>
      </c>
      <c r="J11" s="2">
        <v>278398.46000000031</v>
      </c>
      <c r="K11" s="3">
        <v>275363.86000000028</v>
      </c>
      <c r="L11" s="2">
        <v>262644.04000000039</v>
      </c>
      <c r="M11" s="2">
        <v>256254.5400000005</v>
      </c>
      <c r="N11" s="3">
        <v>254873.98000000051</v>
      </c>
      <c r="O11" s="2">
        <v>250410.93000000049</v>
      </c>
      <c r="P11" s="2">
        <v>245673.39000000051</v>
      </c>
      <c r="Q11" s="3">
        <v>243255.1300000005</v>
      </c>
      <c r="R11" s="2">
        <v>239104.73000000059</v>
      </c>
      <c r="S11" s="2">
        <v>232770.98000000059</v>
      </c>
      <c r="T11" s="3">
        <v>226106.5800000006</v>
      </c>
      <c r="U11" s="2">
        <v>214777.97000000061</v>
      </c>
      <c r="V11" s="2">
        <v>208591.67000000051</v>
      </c>
      <c r="W11" s="3">
        <v>203690.91000000059</v>
      </c>
      <c r="X11" s="2">
        <v>197640.87000000049</v>
      </c>
      <c r="Y11" s="2">
        <v>181259.11000000039</v>
      </c>
      <c r="Z11" s="3">
        <v>176262.79000000039</v>
      </c>
      <c r="AA11" s="2">
        <v>161538.8100000002</v>
      </c>
      <c r="AB11" s="2">
        <v>153877.50000000009</v>
      </c>
      <c r="AC11" s="3">
        <v>148970.16000000009</v>
      </c>
      <c r="AD11" s="2">
        <v>147174.03000000009</v>
      </c>
      <c r="AE11" s="2">
        <v>141718.8900000001</v>
      </c>
      <c r="AF11" s="3">
        <v>139550.20000000001</v>
      </c>
      <c r="AG11" s="2">
        <v>135826.88</v>
      </c>
      <c r="AH11" s="2">
        <v>133263.97</v>
      </c>
      <c r="AI11" s="3">
        <v>128129.22</v>
      </c>
      <c r="AJ11" s="2">
        <v>124639.39</v>
      </c>
      <c r="AK11" s="2">
        <v>110820.53</v>
      </c>
      <c r="AL11" s="3">
        <v>108895.2</v>
      </c>
      <c r="AM11" s="2">
        <v>101942.74</v>
      </c>
      <c r="AN11" s="2">
        <v>100962.26</v>
      </c>
      <c r="AO11" s="3">
        <v>98072.249999999971</v>
      </c>
      <c r="AP11" s="2">
        <v>97218.939999999973</v>
      </c>
      <c r="AQ11" s="2">
        <v>94719.999999999971</v>
      </c>
      <c r="AR11" s="3">
        <v>83714.029999999955</v>
      </c>
      <c r="AS11" s="2">
        <v>78904.02999999997</v>
      </c>
      <c r="AT11" s="2">
        <v>75299.049999999959</v>
      </c>
      <c r="AU11" s="3">
        <v>57194.199999999983</v>
      </c>
      <c r="AV11" s="2">
        <v>55397.539999999972</v>
      </c>
      <c r="AW11" s="2">
        <v>50194.899999999972</v>
      </c>
      <c r="AX11" s="3">
        <v>46336.45999999997</v>
      </c>
      <c r="AY11" s="2">
        <v>45546.45999999997</v>
      </c>
      <c r="AZ11" s="2">
        <v>41153.979999999967</v>
      </c>
      <c r="BA11" s="3">
        <v>34060.709999999992</v>
      </c>
      <c r="BB11" s="2">
        <v>33597.249999999993</v>
      </c>
      <c r="BC11" s="2">
        <v>30802.68</v>
      </c>
      <c r="BD11" s="3">
        <v>27860.06</v>
      </c>
      <c r="BE11" s="2">
        <v>22904</v>
      </c>
      <c r="BF11" s="2">
        <v>13276.27</v>
      </c>
      <c r="BG11" s="3">
        <v>12031.27</v>
      </c>
      <c r="BH11" s="2">
        <v>5456.27</v>
      </c>
      <c r="BI11" s="2">
        <v>2337.31</v>
      </c>
      <c r="BJ11" s="3">
        <v>420</v>
      </c>
      <c r="BK11" s="2">
        <v>420</v>
      </c>
      <c r="BL11">
        <v>420</v>
      </c>
    </row>
    <row r="12" spans="1:64" ht="15.5" x14ac:dyDescent="0.35">
      <c r="A12" t="s">
        <v>74</v>
      </c>
      <c r="B12" s="2">
        <v>605537881.49000001</v>
      </c>
      <c r="C12" s="2">
        <v>588415656.25999963</v>
      </c>
      <c r="D12" s="2">
        <v>586659177.1899997</v>
      </c>
      <c r="E12" s="3">
        <v>581896557.26999974</v>
      </c>
      <c r="F12" s="2">
        <v>579552054.27999973</v>
      </c>
      <c r="G12" s="2">
        <v>573837683.26999962</v>
      </c>
      <c r="H12" s="3">
        <v>568974357.95999968</v>
      </c>
      <c r="I12" s="2">
        <v>563609667.26999986</v>
      </c>
      <c r="J12" s="2">
        <v>561200985.24999988</v>
      </c>
      <c r="K12" s="3">
        <v>549414193.02999997</v>
      </c>
      <c r="L12" s="2">
        <v>515212564.23000032</v>
      </c>
      <c r="M12" s="2">
        <v>506773112.86000031</v>
      </c>
      <c r="N12" s="3">
        <v>505383623.36000031</v>
      </c>
      <c r="O12" s="2">
        <v>489520316.55000031</v>
      </c>
      <c r="P12" s="2">
        <v>486360406.18000019</v>
      </c>
      <c r="Q12" s="3">
        <v>483300556.49000019</v>
      </c>
      <c r="R12" s="2">
        <v>477053282.97000009</v>
      </c>
      <c r="S12" s="2">
        <v>459551614.60000008</v>
      </c>
      <c r="T12" s="3">
        <v>455840895.93000013</v>
      </c>
      <c r="U12" s="2">
        <v>385774918.92000008</v>
      </c>
      <c r="V12" s="2">
        <v>371270971.83000022</v>
      </c>
      <c r="W12" s="3">
        <v>366131537.30000007</v>
      </c>
      <c r="X12" s="2">
        <v>349242660.63000011</v>
      </c>
      <c r="Y12" s="2">
        <v>330445412.47000003</v>
      </c>
      <c r="Z12" s="3">
        <v>316727530.88999999</v>
      </c>
      <c r="AA12" s="2">
        <v>272544929.69999993</v>
      </c>
      <c r="AB12" s="2">
        <v>261448798.91999999</v>
      </c>
      <c r="AC12" s="3">
        <v>255273991.75</v>
      </c>
      <c r="AD12" s="2">
        <v>252532733.27000001</v>
      </c>
      <c r="AE12" s="2">
        <v>231879385.16999999</v>
      </c>
      <c r="AF12" s="3">
        <v>225308813.81999999</v>
      </c>
      <c r="AG12" s="2">
        <v>220400421.68000001</v>
      </c>
      <c r="AH12" s="2">
        <v>214682798.41999999</v>
      </c>
      <c r="AI12" s="3">
        <v>209240808.41999999</v>
      </c>
      <c r="AJ12" s="2">
        <v>195015763.16999999</v>
      </c>
      <c r="AK12" s="2">
        <v>169087126.15999991</v>
      </c>
      <c r="AL12" s="3">
        <v>156646440.08999991</v>
      </c>
      <c r="AM12" s="2">
        <v>146406855.92999989</v>
      </c>
      <c r="AN12" s="2">
        <v>141108829.99999991</v>
      </c>
      <c r="AO12" s="3">
        <v>126925207.77</v>
      </c>
      <c r="AP12" s="2">
        <v>124445156.88</v>
      </c>
      <c r="AQ12" s="2">
        <v>120940477.13</v>
      </c>
      <c r="AR12" s="3">
        <v>99503798.519999996</v>
      </c>
      <c r="AS12" s="2">
        <v>75513339.820000023</v>
      </c>
      <c r="AT12" s="2">
        <v>71936351.930000022</v>
      </c>
      <c r="AU12" s="3">
        <v>63344888.419999987</v>
      </c>
      <c r="AV12" s="2">
        <v>60743764.399999999</v>
      </c>
      <c r="AW12" s="2">
        <v>55502691.850000001</v>
      </c>
      <c r="AX12" s="3">
        <v>46544538.640000001</v>
      </c>
      <c r="AY12" s="2">
        <v>43829277.490000002</v>
      </c>
      <c r="AZ12" s="2">
        <v>35301511.030000009</v>
      </c>
      <c r="BA12" s="3">
        <v>31303925.370000008</v>
      </c>
      <c r="BB12" s="2">
        <v>31015948.120000008</v>
      </c>
      <c r="BC12" s="2">
        <v>28827598.56000001</v>
      </c>
      <c r="BD12" s="3">
        <v>26741209.660000011</v>
      </c>
      <c r="BE12" s="2">
        <v>23349577.149999999</v>
      </c>
      <c r="BF12" s="2">
        <v>18234531.079999998</v>
      </c>
      <c r="BG12" s="3">
        <v>14921591.779999999</v>
      </c>
      <c r="BH12" s="2">
        <v>11783797.98</v>
      </c>
      <c r="BI12" s="2">
        <v>8788239.5800000001</v>
      </c>
      <c r="BJ12" s="3">
        <v>6567505.1699999999</v>
      </c>
      <c r="BK12" s="2">
        <v>5087505.17</v>
      </c>
      <c r="BL12">
        <v>5087505.17</v>
      </c>
    </row>
    <row r="13" spans="1:64" ht="15.5" x14ac:dyDescent="0.35">
      <c r="A13" t="s">
        <v>75</v>
      </c>
      <c r="B13" s="2">
        <v>435666021.15999973</v>
      </c>
      <c r="C13" s="2">
        <v>430004641.33999968</v>
      </c>
      <c r="D13" s="2">
        <v>420706798.77999967</v>
      </c>
      <c r="E13" s="3">
        <v>409963285.5599997</v>
      </c>
      <c r="F13" s="2">
        <v>400531272.69999969</v>
      </c>
      <c r="G13" s="2">
        <v>389504500.47999978</v>
      </c>
      <c r="H13" s="3">
        <v>380068460.65999979</v>
      </c>
      <c r="I13" s="2">
        <v>368964815.55999982</v>
      </c>
      <c r="J13" s="2">
        <v>359841823.2699998</v>
      </c>
      <c r="K13" s="3">
        <v>350374048.78999972</v>
      </c>
      <c r="L13" s="2">
        <v>321557428.94000018</v>
      </c>
      <c r="M13" s="2">
        <v>311938490.33000022</v>
      </c>
      <c r="N13" s="3">
        <v>303987235.30000019</v>
      </c>
      <c r="O13" s="2">
        <v>294076495.00000018</v>
      </c>
      <c r="P13" s="2">
        <v>286059139.17000031</v>
      </c>
      <c r="Q13" s="3">
        <v>278075696.10000032</v>
      </c>
      <c r="R13" s="2">
        <v>268661876.30000031</v>
      </c>
      <c r="S13" s="2">
        <v>255584039.23000041</v>
      </c>
      <c r="T13" s="3">
        <v>247886551.98000041</v>
      </c>
      <c r="U13" s="2">
        <v>211683535.9800002</v>
      </c>
      <c r="V13" s="2">
        <v>202588891.5500004</v>
      </c>
      <c r="W13" s="3">
        <v>195072281.31000021</v>
      </c>
      <c r="X13" s="2">
        <v>184914444.91</v>
      </c>
      <c r="Y13" s="2">
        <v>172622473.6099999</v>
      </c>
      <c r="Z13" s="3">
        <v>162942747.11999989</v>
      </c>
      <c r="AA13" s="2">
        <v>139662660.78999981</v>
      </c>
      <c r="AB13" s="2">
        <v>131218710.4599998</v>
      </c>
      <c r="AC13" s="3">
        <v>125053900.14999969</v>
      </c>
      <c r="AD13" s="2">
        <v>120390563.4599997</v>
      </c>
      <c r="AE13" s="2">
        <v>111442009.87999959</v>
      </c>
      <c r="AF13" s="3">
        <v>105302845.54999959</v>
      </c>
      <c r="AG13" s="2">
        <v>100855719.6699997</v>
      </c>
      <c r="AH13" s="2">
        <v>95238598.759999663</v>
      </c>
      <c r="AI13" s="3">
        <v>89668735.849999696</v>
      </c>
      <c r="AJ13" s="2">
        <v>82329593.629999667</v>
      </c>
      <c r="AK13" s="2">
        <v>73485313.129999831</v>
      </c>
      <c r="AL13" s="3">
        <v>66426110.120000057</v>
      </c>
      <c r="AM13" s="2">
        <v>60890007.310000151</v>
      </c>
      <c r="AN13" s="2">
        <v>57688852.790000163</v>
      </c>
      <c r="AO13" s="3">
        <v>51849948.740000173</v>
      </c>
      <c r="AP13" s="2">
        <v>49924957.360000171</v>
      </c>
      <c r="AQ13" s="2">
        <v>46754894.34000016</v>
      </c>
      <c r="AR13" s="3">
        <v>38962292.059999987</v>
      </c>
      <c r="AS13" s="2">
        <v>32163407.049999978</v>
      </c>
      <c r="AT13" s="2">
        <v>30414150.729999971</v>
      </c>
      <c r="AU13" s="3">
        <v>26926696.27</v>
      </c>
      <c r="AV13" s="2">
        <v>25687487.63000001</v>
      </c>
      <c r="AW13" s="2">
        <v>23470072.059999991</v>
      </c>
      <c r="AX13" s="3">
        <v>21210133.27</v>
      </c>
      <c r="AY13" s="2">
        <v>19723740.079999991</v>
      </c>
      <c r="AZ13" s="2">
        <v>16446835.640000001</v>
      </c>
      <c r="BA13" s="3">
        <v>14436699.109999999</v>
      </c>
      <c r="BB13" s="2">
        <v>13967084.789999999</v>
      </c>
      <c r="BC13" s="2">
        <v>12635436.73</v>
      </c>
      <c r="BD13" s="3">
        <v>11414387.43</v>
      </c>
      <c r="BE13" s="2">
        <v>9216087.9500000011</v>
      </c>
      <c r="BF13" s="2">
        <v>6753204.2400000058</v>
      </c>
      <c r="BG13" s="3">
        <v>5541332.6900000032</v>
      </c>
      <c r="BH13" s="2">
        <v>4058334.26</v>
      </c>
      <c r="BI13" s="2">
        <v>2952375.8</v>
      </c>
      <c r="BJ13" s="3">
        <v>1934853.52</v>
      </c>
      <c r="BK13" s="2">
        <v>1424130.07</v>
      </c>
      <c r="BL13">
        <v>1371796.14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39</v>
      </c>
      <c r="D15" s="2">
        <v>4</v>
      </c>
      <c r="E15" s="3">
        <v>10</v>
      </c>
      <c r="F15" s="2">
        <v>6</v>
      </c>
      <c r="G15" s="2">
        <v>12</v>
      </c>
      <c r="H15" s="3">
        <v>6</v>
      </c>
      <c r="I15" s="2">
        <v>11</v>
      </c>
      <c r="J15" s="2">
        <v>6</v>
      </c>
      <c r="K15" s="3">
        <v>5</v>
      </c>
      <c r="L15" s="2">
        <v>6</v>
      </c>
      <c r="M15" s="2">
        <v>10</v>
      </c>
      <c r="N15" s="3">
        <v>5</v>
      </c>
      <c r="O15" s="2">
        <v>7</v>
      </c>
      <c r="P15" s="2">
        <v>7</v>
      </c>
      <c r="Q15" s="3">
        <v>5</v>
      </c>
      <c r="R15" s="2">
        <v>2</v>
      </c>
      <c r="S15" s="2">
        <v>7</v>
      </c>
      <c r="T15" s="3">
        <v>8</v>
      </c>
      <c r="U15" s="2">
        <v>24</v>
      </c>
      <c r="V15" s="2">
        <v>12</v>
      </c>
      <c r="W15" s="3">
        <v>6</v>
      </c>
      <c r="X15" s="2">
        <v>6</v>
      </c>
      <c r="Y15" s="2">
        <v>43</v>
      </c>
      <c r="Z15" s="3">
        <v>11</v>
      </c>
      <c r="AA15" s="2">
        <v>38</v>
      </c>
      <c r="AB15" s="2">
        <v>19</v>
      </c>
      <c r="AC15" s="3">
        <v>15</v>
      </c>
      <c r="AD15" s="2">
        <v>2</v>
      </c>
      <c r="AE15" s="2">
        <v>4</v>
      </c>
      <c r="AF15" s="3">
        <v>4</v>
      </c>
      <c r="AG15" s="2">
        <v>2</v>
      </c>
      <c r="AH15" s="2">
        <v>8</v>
      </c>
      <c r="AI15" s="3">
        <v>9</v>
      </c>
      <c r="AJ15" s="2">
        <v>6</v>
      </c>
      <c r="AK15" s="2">
        <v>14</v>
      </c>
      <c r="AL15" s="3">
        <v>1</v>
      </c>
      <c r="AM15" s="2">
        <v>9</v>
      </c>
      <c r="AN15" s="2">
        <v>3</v>
      </c>
      <c r="AO15" s="3">
        <v>1</v>
      </c>
      <c r="AP15" s="2">
        <v>1</v>
      </c>
      <c r="AQ15" s="2">
        <v>4</v>
      </c>
      <c r="AR15" s="3">
        <v>13</v>
      </c>
      <c r="AS15" s="2">
        <v>12</v>
      </c>
      <c r="AT15" s="2">
        <v>3</v>
      </c>
      <c r="AU15" s="3">
        <v>10</v>
      </c>
      <c r="AV15" s="2">
        <v>3</v>
      </c>
      <c r="AW15" s="2">
        <v>4</v>
      </c>
      <c r="AX15" s="3">
        <v>4</v>
      </c>
      <c r="AY15" s="2">
        <v>1</v>
      </c>
      <c r="AZ15" s="2">
        <v>5</v>
      </c>
      <c r="BA15" s="3">
        <v>7</v>
      </c>
      <c r="BB15" s="2">
        <v>1</v>
      </c>
      <c r="BC15" s="2">
        <v>3</v>
      </c>
      <c r="BD15" s="3">
        <v>4</v>
      </c>
      <c r="BE15" s="2">
        <v>7</v>
      </c>
      <c r="BF15" s="2">
        <v>8</v>
      </c>
      <c r="BG15" s="3">
        <v>1</v>
      </c>
      <c r="BH15" s="2">
        <v>6</v>
      </c>
      <c r="BI15" s="2">
        <v>4</v>
      </c>
      <c r="BJ15" s="3">
        <v>3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1</v>
      </c>
      <c r="D16" s="2">
        <v>0</v>
      </c>
      <c r="E16" s="3">
        <v>2</v>
      </c>
      <c r="F16" s="2">
        <v>0</v>
      </c>
      <c r="G16" s="2">
        <v>0</v>
      </c>
      <c r="H16" s="3">
        <v>5</v>
      </c>
      <c r="I16" s="2">
        <v>0</v>
      </c>
      <c r="J16" s="2">
        <v>0</v>
      </c>
      <c r="K16" s="3">
        <v>5</v>
      </c>
      <c r="L16" s="2">
        <v>24</v>
      </c>
      <c r="M16" s="2">
        <v>3</v>
      </c>
      <c r="N16" s="3">
        <v>0</v>
      </c>
      <c r="O16" s="2">
        <v>11</v>
      </c>
      <c r="P16" s="2">
        <v>0</v>
      </c>
      <c r="Q16" s="3">
        <v>1</v>
      </c>
      <c r="R16" s="2">
        <v>6</v>
      </c>
      <c r="S16" s="2">
        <v>17</v>
      </c>
      <c r="T16" s="3">
        <v>0</v>
      </c>
      <c r="U16" s="2">
        <v>13</v>
      </c>
      <c r="V16" s="2">
        <v>5</v>
      </c>
      <c r="W16" s="3">
        <v>1</v>
      </c>
      <c r="X16" s="2">
        <v>8</v>
      </c>
      <c r="Y16" s="2">
        <v>6</v>
      </c>
      <c r="Z16" s="3">
        <v>7</v>
      </c>
      <c r="AA16" s="2">
        <v>8</v>
      </c>
      <c r="AB16" s="2">
        <v>5</v>
      </c>
      <c r="AC16" s="3">
        <v>3</v>
      </c>
      <c r="AD16" s="2">
        <v>3</v>
      </c>
      <c r="AE16" s="2">
        <v>19</v>
      </c>
      <c r="AF16" s="3">
        <v>3</v>
      </c>
      <c r="AG16" s="2">
        <v>12</v>
      </c>
      <c r="AH16" s="2">
        <v>1</v>
      </c>
      <c r="AI16" s="3">
        <v>1</v>
      </c>
      <c r="AJ16" s="2">
        <v>9</v>
      </c>
      <c r="AK16" s="2">
        <v>26</v>
      </c>
      <c r="AL16" s="3">
        <v>6</v>
      </c>
      <c r="AM16" s="2">
        <v>8</v>
      </c>
      <c r="AN16" s="2">
        <v>0</v>
      </c>
      <c r="AO16" s="3">
        <v>8</v>
      </c>
      <c r="AP16" s="2">
        <v>3</v>
      </c>
      <c r="AQ16" s="2">
        <v>3</v>
      </c>
      <c r="AR16" s="3">
        <v>15</v>
      </c>
      <c r="AS16" s="2">
        <v>1</v>
      </c>
      <c r="AT16" s="2">
        <v>4</v>
      </c>
      <c r="AU16" s="3">
        <v>4</v>
      </c>
      <c r="AV16" s="2">
        <v>2</v>
      </c>
      <c r="AW16" s="2">
        <v>5</v>
      </c>
      <c r="AX16" s="3">
        <v>2</v>
      </c>
      <c r="AY16" s="2">
        <v>3</v>
      </c>
      <c r="AZ16" s="2">
        <v>7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2</v>
      </c>
      <c r="BG16" s="3">
        <v>2</v>
      </c>
      <c r="BH16" s="2">
        <v>0</v>
      </c>
      <c r="BI16" s="2">
        <v>2</v>
      </c>
      <c r="BJ16" s="3">
        <v>1</v>
      </c>
      <c r="BK16" s="2">
        <v>1</v>
      </c>
      <c r="BL1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3BD7-2708-4AF6-B731-5DD6B9490157}">
  <dimension ref="A1:DA35"/>
  <sheetViews>
    <sheetView topLeftCell="A10" workbookViewId="0">
      <selection activeCell="H45" sqref="H45"/>
    </sheetView>
  </sheetViews>
  <sheetFormatPr defaultRowHeight="14.5" x14ac:dyDescent="0.35"/>
  <cols>
    <col min="1" max="1" width="20" bestFit="1" customWidth="1"/>
    <col min="2" max="2" width="14" bestFit="1" customWidth="1"/>
    <col min="3" max="3" width="11.26953125" style="13" bestFit="1" customWidth="1"/>
    <col min="4" max="4" width="9.54296875" bestFit="1" customWidth="1"/>
    <col min="5" max="5" width="10.54296875" bestFit="1" customWidth="1"/>
    <col min="6" max="6" width="15.26953125" bestFit="1" customWidth="1"/>
    <col min="7" max="7" width="11.81640625" bestFit="1" customWidth="1"/>
    <col min="8" max="8" width="15.453125" bestFit="1" customWidth="1"/>
    <col min="9" max="9" width="9.81640625" bestFit="1" customWidth="1"/>
    <col min="10" max="10" width="13.26953125" bestFit="1" customWidth="1"/>
    <col min="11" max="11" width="13.54296875" bestFit="1" customWidth="1"/>
    <col min="12" max="12" width="18.7265625" bestFit="1" customWidth="1"/>
    <col min="13" max="13" width="13.26953125" bestFit="1" customWidth="1"/>
    <col min="14" max="14" width="16.26953125" bestFit="1" customWidth="1"/>
    <col min="15" max="15" width="12.26953125" bestFit="1" customWidth="1"/>
    <col min="16" max="16" width="12.453125" bestFit="1" customWidth="1"/>
    <col min="17" max="17" width="18.7265625" bestFit="1" customWidth="1"/>
    <col min="18" max="18" width="5.453125" hidden="1" customWidth="1"/>
    <col min="19" max="19" width="9" hidden="1" customWidth="1"/>
    <col min="20" max="20" width="12" hidden="1" customWidth="1"/>
    <col min="21" max="21" width="5.453125" hidden="1" customWidth="1"/>
    <col min="22" max="22" width="8.54296875" hidden="1" customWidth="1"/>
    <col min="23" max="23" width="12" hidden="1" customWidth="1"/>
    <col min="24" max="24" width="5.453125" hidden="1" customWidth="1"/>
    <col min="25" max="25" width="8.54296875" hidden="1" customWidth="1"/>
    <col min="26" max="26" width="12" hidden="1" customWidth="1"/>
    <col min="27" max="27" width="5.453125" hidden="1" customWidth="1"/>
    <col min="28" max="28" width="16.26953125" hidden="1" customWidth="1"/>
    <col min="29" max="29" width="12" hidden="1" customWidth="1"/>
    <col min="30" max="30" width="12.26953125" hidden="1" customWidth="1"/>
    <col min="31" max="31" width="13.453125" hidden="1" customWidth="1"/>
    <col min="32" max="32" width="17.453125" hidden="1" customWidth="1"/>
    <col min="33" max="33" width="20.7265625" hidden="1" customWidth="1"/>
    <col min="34" max="34" width="28.81640625" hidden="1" customWidth="1"/>
    <col min="35" max="35" width="5.453125" hidden="1" customWidth="1"/>
    <col min="36" max="36" width="16.26953125" hidden="1" customWidth="1"/>
    <col min="37" max="37" width="8.54296875" hidden="1" customWidth="1"/>
    <col min="38" max="38" width="12.26953125" hidden="1" customWidth="1"/>
    <col min="39" max="39" width="13.453125" hidden="1" customWidth="1"/>
    <col min="40" max="40" width="17.453125" hidden="1" customWidth="1"/>
    <col min="41" max="41" width="20.7265625" hidden="1" customWidth="1"/>
    <col min="42" max="42" width="24.453125" hidden="1" customWidth="1"/>
    <col min="43" max="43" width="5.453125" hidden="1" customWidth="1"/>
    <col min="44" max="44" width="16.26953125" hidden="1" customWidth="1"/>
    <col min="45" max="45" width="8.54296875" hidden="1" customWidth="1"/>
    <col min="46" max="46" width="14.26953125" hidden="1" customWidth="1"/>
    <col min="47" max="47" width="13.453125" hidden="1" customWidth="1"/>
    <col min="48" max="48" width="17.453125" hidden="1" customWidth="1"/>
    <col min="49" max="49" width="20.7265625" hidden="1" customWidth="1"/>
    <col min="50" max="50" width="24.453125" hidden="1" customWidth="1"/>
    <col min="51" max="51" width="5.453125" bestFit="1" customWidth="1"/>
    <col min="52" max="52" width="16.26953125" bestFit="1" customWidth="1"/>
    <col min="53" max="53" width="8.54296875" customWidth="1"/>
    <col min="54" max="54" width="14.26953125" bestFit="1" customWidth="1"/>
    <col min="55" max="55" width="13.453125" bestFit="1" customWidth="1"/>
    <col min="56" max="56" width="17.453125" bestFit="1" customWidth="1"/>
    <col min="57" max="57" width="20.7265625" bestFit="1" customWidth="1"/>
    <col min="58" max="58" width="24.453125" bestFit="1" customWidth="1"/>
    <col min="59" max="59" width="5.453125" bestFit="1" customWidth="1"/>
    <col min="60" max="60" width="16.26953125" bestFit="1" customWidth="1"/>
    <col min="61" max="61" width="8.54296875" customWidth="1"/>
    <col min="62" max="62" width="14.26953125" bestFit="1" customWidth="1"/>
    <col min="63" max="63" width="13.453125" bestFit="1" customWidth="1"/>
    <col min="64" max="64" width="17.453125" bestFit="1" customWidth="1"/>
    <col min="65" max="65" width="20.7265625" bestFit="1" customWidth="1"/>
    <col min="66" max="66" width="24.453125" bestFit="1" customWidth="1"/>
    <col min="67" max="67" width="5.453125" bestFit="1" customWidth="1"/>
    <col min="68" max="68" width="16.26953125" bestFit="1" customWidth="1"/>
    <col min="69" max="69" width="8.54296875" customWidth="1"/>
    <col min="70" max="70" width="14.26953125" bestFit="1" customWidth="1"/>
    <col min="71" max="71" width="13.453125" bestFit="1" customWidth="1"/>
    <col min="72" max="72" width="17.453125" bestFit="1" customWidth="1"/>
    <col min="73" max="73" width="20.7265625" bestFit="1" customWidth="1"/>
    <col min="74" max="74" width="24.453125" bestFit="1" customWidth="1"/>
    <col min="75" max="75" width="5.453125" bestFit="1" customWidth="1"/>
    <col min="76" max="76" width="16.26953125" bestFit="1" customWidth="1"/>
    <col min="77" max="77" width="8.54296875" customWidth="1"/>
    <col min="78" max="78" width="14.26953125" bestFit="1" customWidth="1"/>
    <col min="79" max="79" width="13.453125" bestFit="1" customWidth="1"/>
    <col min="80" max="80" width="17.453125" bestFit="1" customWidth="1"/>
    <col min="81" max="81" width="20.7265625" bestFit="1" customWidth="1"/>
    <col min="82" max="82" width="24.453125" bestFit="1" customWidth="1"/>
    <col min="83" max="83" width="5.453125" bestFit="1" customWidth="1"/>
    <col min="84" max="84" width="16.26953125" bestFit="1" customWidth="1"/>
    <col min="85" max="85" width="8.54296875" customWidth="1"/>
    <col min="86" max="86" width="14.26953125" bestFit="1" customWidth="1"/>
    <col min="87" max="87" width="13.453125" bestFit="1" customWidth="1"/>
    <col min="88" max="88" width="17.453125" bestFit="1" customWidth="1"/>
    <col min="89" max="89" width="20.7265625" bestFit="1" customWidth="1"/>
    <col min="90" max="90" width="24.453125" bestFit="1" customWidth="1"/>
    <col min="91" max="91" width="5.453125" bestFit="1" customWidth="1"/>
    <col min="92" max="92" width="16.26953125" bestFit="1" customWidth="1"/>
    <col min="93" max="93" width="8.54296875" customWidth="1"/>
    <col min="94" max="94" width="14.26953125" bestFit="1" customWidth="1"/>
    <col min="95" max="95" width="13.453125" bestFit="1" customWidth="1"/>
    <col min="96" max="96" width="17.453125" bestFit="1" customWidth="1"/>
    <col min="97" max="97" width="20.7265625" bestFit="1" customWidth="1"/>
    <col min="98" max="98" width="24.453125" bestFit="1" customWidth="1"/>
    <col min="100" max="100" width="20" bestFit="1" customWidth="1"/>
    <col min="101" max="101" width="24.81640625" bestFit="1" customWidth="1"/>
    <col min="102" max="102" width="14.453125" customWidth="1"/>
    <col min="103" max="103" width="18.7265625" bestFit="1" customWidth="1"/>
    <col min="104" max="104" width="14.26953125" bestFit="1" customWidth="1"/>
    <col min="105" max="105" width="24.81640625" bestFit="1" customWidth="1"/>
  </cols>
  <sheetData>
    <row r="1" spans="1:105" x14ac:dyDescent="0.35">
      <c r="Q1" s="14" t="s">
        <v>150</v>
      </c>
      <c r="AA1" s="13"/>
      <c r="AI1" s="13"/>
      <c r="AQ1" s="13"/>
      <c r="AY1" s="13"/>
      <c r="BG1" s="13">
        <v>2</v>
      </c>
      <c r="BO1" s="13">
        <f>BG1+2</f>
        <v>4</v>
      </c>
      <c r="BW1" s="13">
        <f>BO1+1</f>
        <v>5</v>
      </c>
      <c r="CE1" s="13">
        <f>BW1+1</f>
        <v>6</v>
      </c>
      <c r="CM1" s="13">
        <f>CE1+1</f>
        <v>7</v>
      </c>
    </row>
    <row r="2" spans="1:105" s="13" customFormat="1" x14ac:dyDescent="0.35">
      <c r="D2" s="15" t="s">
        <v>146</v>
      </c>
      <c r="E2" s="15"/>
      <c r="R2" s="15" t="s">
        <v>151</v>
      </c>
      <c r="S2" s="15"/>
      <c r="T2" s="15"/>
      <c r="U2" s="15" t="s">
        <v>152</v>
      </c>
      <c r="V2" s="15"/>
      <c r="W2" s="15"/>
      <c r="X2" s="15" t="s">
        <v>153</v>
      </c>
      <c r="Y2" s="15"/>
      <c r="AA2" s="15" t="s">
        <v>154</v>
      </c>
      <c r="AB2" s="15"/>
      <c r="AC2" s="15"/>
      <c r="AD2" s="15"/>
      <c r="AE2" s="15"/>
      <c r="AF2" s="15"/>
      <c r="AG2" s="15"/>
      <c r="AH2" s="15"/>
      <c r="AI2" s="15" t="s">
        <v>137</v>
      </c>
      <c r="AJ2" s="15"/>
      <c r="AK2" s="15"/>
      <c r="AL2" s="15"/>
      <c r="AM2" s="15"/>
      <c r="AN2" s="15"/>
      <c r="AO2" s="15"/>
      <c r="AP2" s="15"/>
      <c r="AQ2" s="15" t="s">
        <v>138</v>
      </c>
      <c r="AR2" s="15"/>
      <c r="AS2" s="15"/>
      <c r="AT2" s="15"/>
      <c r="AU2" s="15"/>
      <c r="AV2" s="15"/>
      <c r="AW2" s="15"/>
      <c r="AX2" s="15"/>
      <c r="AY2" s="15" t="s">
        <v>139</v>
      </c>
      <c r="AZ2" s="15"/>
      <c r="BA2" s="15"/>
      <c r="BB2" s="15"/>
      <c r="BC2" s="15"/>
      <c r="BD2" s="15"/>
      <c r="BE2" s="15"/>
      <c r="BF2" s="15"/>
      <c r="BG2" s="15" t="s">
        <v>140</v>
      </c>
      <c r="BH2" s="15"/>
      <c r="BI2" s="15"/>
      <c r="BJ2" s="15"/>
      <c r="BK2" s="15"/>
      <c r="BL2" s="15"/>
      <c r="BM2" s="15"/>
      <c r="BN2" s="15"/>
      <c r="BO2" s="15" t="s">
        <v>141</v>
      </c>
      <c r="BP2" s="15"/>
      <c r="BQ2" s="15"/>
      <c r="BR2" s="15"/>
      <c r="BS2" s="15"/>
      <c r="BT2" s="15"/>
      <c r="BU2" s="15"/>
      <c r="BV2" s="15"/>
      <c r="BW2" s="15" t="s">
        <v>142</v>
      </c>
      <c r="BX2" s="15"/>
      <c r="BY2" s="15"/>
      <c r="BZ2" s="15"/>
      <c r="CA2" s="15"/>
      <c r="CB2" s="15"/>
      <c r="CC2" s="15"/>
      <c r="CD2" s="15"/>
      <c r="CE2" s="15" t="s">
        <v>143</v>
      </c>
      <c r="CF2" s="15"/>
      <c r="CG2" s="15"/>
      <c r="CH2" s="15"/>
      <c r="CI2" s="15"/>
      <c r="CJ2" s="15"/>
      <c r="CK2" s="15"/>
      <c r="CL2" s="15"/>
      <c r="CM2" s="15" t="s">
        <v>144</v>
      </c>
      <c r="CN2" s="15"/>
      <c r="CO2" s="15"/>
      <c r="CP2" s="15"/>
      <c r="CQ2" s="15"/>
      <c r="CR2" s="15"/>
      <c r="CS2" s="15"/>
      <c r="CT2" s="15"/>
    </row>
    <row r="3" spans="1:105" s="13" customFormat="1" x14ac:dyDescent="0.35">
      <c r="A3" s="13" t="s">
        <v>155</v>
      </c>
      <c r="B3" s="13" t="s">
        <v>156</v>
      </c>
      <c r="C3" s="13" t="s">
        <v>157</v>
      </c>
      <c r="D3" s="13" t="s">
        <v>158</v>
      </c>
      <c r="E3" s="13" t="s">
        <v>159</v>
      </c>
      <c r="F3" s="13" t="s">
        <v>160</v>
      </c>
      <c r="G3" s="13" t="s">
        <v>161</v>
      </c>
      <c r="H3" s="13" t="s">
        <v>162</v>
      </c>
      <c r="I3" s="13" t="s">
        <v>163</v>
      </c>
      <c r="J3" s="13" t="s">
        <v>164</v>
      </c>
      <c r="K3" s="13" t="s">
        <v>165</v>
      </c>
      <c r="L3" s="13" t="s">
        <v>166</v>
      </c>
      <c r="M3" s="13" t="s">
        <v>167</v>
      </c>
      <c r="N3" s="13" t="s">
        <v>168</v>
      </c>
      <c r="O3" s="13" t="s">
        <v>169</v>
      </c>
      <c r="P3" s="13" t="s">
        <v>170</v>
      </c>
      <c r="Q3" s="13" t="s">
        <v>171</v>
      </c>
      <c r="R3" s="13" t="s">
        <v>172</v>
      </c>
      <c r="S3" s="13" t="s">
        <v>101</v>
      </c>
      <c r="T3" s="13" t="s">
        <v>173</v>
      </c>
      <c r="U3" s="13" t="s">
        <v>172</v>
      </c>
      <c r="V3" s="13" t="s">
        <v>101</v>
      </c>
      <c r="W3" s="13" t="s">
        <v>173</v>
      </c>
      <c r="X3" s="13" t="s">
        <v>172</v>
      </c>
      <c r="Y3" s="13" t="s">
        <v>101</v>
      </c>
      <c r="Z3" s="13" t="s">
        <v>173</v>
      </c>
      <c r="AA3" s="13" t="s">
        <v>172</v>
      </c>
      <c r="AB3" s="13" t="s">
        <v>174</v>
      </c>
      <c r="AC3" s="13" t="s">
        <v>173</v>
      </c>
      <c r="AD3" s="13" t="s">
        <v>175</v>
      </c>
      <c r="AE3" s="13" t="s">
        <v>176</v>
      </c>
      <c r="AF3" s="13" t="s">
        <v>177</v>
      </c>
      <c r="AG3" s="13" t="s">
        <v>178</v>
      </c>
      <c r="AH3" s="13" t="s">
        <v>179</v>
      </c>
      <c r="AI3" s="13" t="s">
        <v>172</v>
      </c>
      <c r="AJ3" s="13" t="s">
        <v>174</v>
      </c>
      <c r="AK3" s="13" t="s">
        <v>173</v>
      </c>
      <c r="AL3" s="13" t="s">
        <v>175</v>
      </c>
      <c r="AM3" s="13" t="s">
        <v>176</v>
      </c>
      <c r="AN3" s="13" t="s">
        <v>177</v>
      </c>
      <c r="AO3" s="13" t="s">
        <v>178</v>
      </c>
      <c r="AP3" s="13" t="s">
        <v>179</v>
      </c>
      <c r="AS3" s="13" t="s">
        <v>173</v>
      </c>
      <c r="AY3" s="13" t="s">
        <v>172</v>
      </c>
      <c r="AZ3" s="13" t="s">
        <v>174</v>
      </c>
      <c r="BA3" s="13" t="s">
        <v>173</v>
      </c>
      <c r="BB3" s="13" t="s">
        <v>175</v>
      </c>
      <c r="BC3" s="13" t="s">
        <v>176</v>
      </c>
      <c r="BD3" s="13" t="s">
        <v>177</v>
      </c>
      <c r="BE3" s="13" t="s">
        <v>178</v>
      </c>
      <c r="BF3" s="13" t="s">
        <v>179</v>
      </c>
      <c r="BG3" s="13" t="s">
        <v>172</v>
      </c>
      <c r="BH3" s="13" t="s">
        <v>174</v>
      </c>
      <c r="BI3" s="13" t="s">
        <v>173</v>
      </c>
      <c r="BJ3" s="13" t="s">
        <v>175</v>
      </c>
      <c r="BK3" s="13" t="s">
        <v>176</v>
      </c>
      <c r="BL3" s="13" t="s">
        <v>177</v>
      </c>
      <c r="BM3" s="13" t="s">
        <v>178</v>
      </c>
      <c r="BN3" s="13" t="s">
        <v>179</v>
      </c>
      <c r="BO3" s="13" t="s">
        <v>172</v>
      </c>
      <c r="BP3" s="13" t="s">
        <v>174</v>
      </c>
      <c r="BQ3" s="13" t="s">
        <v>173</v>
      </c>
      <c r="BR3" s="13" t="s">
        <v>175</v>
      </c>
      <c r="BS3" s="13" t="s">
        <v>176</v>
      </c>
      <c r="BT3" s="13" t="s">
        <v>177</v>
      </c>
      <c r="BU3" s="13" t="s">
        <v>178</v>
      </c>
      <c r="BV3" s="13" t="s">
        <v>179</v>
      </c>
      <c r="BW3" s="13" t="s">
        <v>172</v>
      </c>
      <c r="BX3" s="13" t="s">
        <v>174</v>
      </c>
      <c r="BY3" s="13" t="s">
        <v>173</v>
      </c>
      <c r="BZ3" s="13" t="s">
        <v>175</v>
      </c>
      <c r="CA3" s="13" t="s">
        <v>176</v>
      </c>
      <c r="CB3" s="13" t="s">
        <v>177</v>
      </c>
      <c r="CC3" s="13" t="s">
        <v>178</v>
      </c>
      <c r="CD3" s="13" t="s">
        <v>179</v>
      </c>
      <c r="CE3" s="13" t="s">
        <v>172</v>
      </c>
      <c r="CF3" s="13" t="s">
        <v>174</v>
      </c>
      <c r="CG3" s="13" t="s">
        <v>173</v>
      </c>
      <c r="CH3" s="13" t="s">
        <v>175</v>
      </c>
      <c r="CI3" s="13" t="s">
        <v>176</v>
      </c>
      <c r="CJ3" s="13" t="s">
        <v>177</v>
      </c>
      <c r="CK3" s="13" t="s">
        <v>178</v>
      </c>
      <c r="CL3" s="13" t="s">
        <v>179</v>
      </c>
      <c r="CM3" s="13" t="s">
        <v>172</v>
      </c>
      <c r="CN3" s="13" t="s">
        <v>174</v>
      </c>
      <c r="CO3" s="13" t="s">
        <v>173</v>
      </c>
      <c r="CP3" s="13" t="s">
        <v>175</v>
      </c>
      <c r="CQ3" s="13" t="s">
        <v>176</v>
      </c>
      <c r="CR3" s="13" t="s">
        <v>177</v>
      </c>
      <c r="CS3" s="13" t="s">
        <v>178</v>
      </c>
      <c r="CT3" s="13" t="s">
        <v>179</v>
      </c>
      <c r="CW3" s="13" t="s">
        <v>180</v>
      </c>
      <c r="CX3" s="13" t="s">
        <v>181</v>
      </c>
      <c r="CY3" s="13" t="s">
        <v>182</v>
      </c>
    </row>
    <row r="4" spans="1:105" x14ac:dyDescent="0.35">
      <c r="A4" s="16" t="s">
        <v>125</v>
      </c>
      <c r="B4" s="16" t="s">
        <v>100</v>
      </c>
      <c r="C4" s="17"/>
      <c r="D4" s="18">
        <v>-0.22</v>
      </c>
      <c r="E4" s="18">
        <v>0.23</v>
      </c>
      <c r="F4" s="19">
        <v>103018848</v>
      </c>
      <c r="G4" s="16">
        <v>595</v>
      </c>
      <c r="H4" s="16">
        <f ca="1">CM4</f>
        <v>355</v>
      </c>
      <c r="I4" s="16">
        <f ca="1">AF4+AN4+AV4+BD4+BL4+BT4+CB4+CJ4+CR4</f>
        <v>25.740000000000002</v>
      </c>
      <c r="J4" s="16">
        <f ca="1">H4+INT(I4)</f>
        <v>380</v>
      </c>
      <c r="K4" s="5">
        <v>-38757901.296493031</v>
      </c>
      <c r="L4" s="19">
        <f ca="1">AB4+AJ4+AR4+AZ4+BH4+BP4+BX4+CF4+CN4</f>
        <v>-29232202.021349724</v>
      </c>
      <c r="M4" s="19">
        <f ca="1">AH4+AP4+AX4+BF4+BN4+BV4+CD4+CL4+CT4</f>
        <v>-851250.50619907537</v>
      </c>
      <c r="N4" s="19">
        <f ca="1">K4+L4+M4</f>
        <v>-68841353.824041829</v>
      </c>
      <c r="O4" s="19">
        <f ca="1">N4+F4</f>
        <v>34177494.175958171</v>
      </c>
      <c r="P4" s="20">
        <f ca="1">-N4/F4</f>
        <v>0.66824037698462546</v>
      </c>
      <c r="Q4" s="20">
        <f>F4/F23</f>
        <v>3.8700631998868688E-2</v>
      </c>
      <c r="R4" s="16">
        <v>516</v>
      </c>
      <c r="S4" s="16">
        <v>6178000</v>
      </c>
      <c r="T4" s="16">
        <v>1.322530766257219</v>
      </c>
      <c r="U4" s="16"/>
      <c r="V4" s="16"/>
      <c r="W4" s="16">
        <v>1.3250833792523422</v>
      </c>
      <c r="X4" s="16"/>
      <c r="Y4" s="16"/>
      <c r="Z4" s="16">
        <v>1.3413375172731461</v>
      </c>
      <c r="AA4" s="16"/>
      <c r="AB4" s="19"/>
      <c r="AC4" s="16">
        <v>1.3486482127840942</v>
      </c>
      <c r="AD4" s="19"/>
      <c r="AE4" s="16"/>
      <c r="AF4" s="16"/>
      <c r="AG4" s="19"/>
      <c r="AH4" s="19"/>
      <c r="AI4" s="16"/>
      <c r="AJ4" s="19"/>
      <c r="AK4" s="16">
        <f>AC4</f>
        <v>1.3486482127840942</v>
      </c>
      <c r="AL4" s="19"/>
      <c r="AM4" s="16"/>
      <c r="AN4" s="16"/>
      <c r="AO4" s="19"/>
      <c r="AP4" s="19"/>
      <c r="AQ4" s="16"/>
      <c r="AR4" s="19"/>
      <c r="AS4" s="16">
        <v>1.3413019408715847</v>
      </c>
      <c r="AT4" s="19"/>
      <c r="AU4" s="16"/>
      <c r="AV4" s="16"/>
      <c r="AW4" s="19"/>
      <c r="AX4" s="19"/>
      <c r="AY4" s="16"/>
      <c r="AZ4" s="19"/>
      <c r="BA4" s="16">
        <v>1.3487419332454373</v>
      </c>
      <c r="BB4" s="19"/>
      <c r="BC4" s="16"/>
      <c r="BD4" s="16"/>
      <c r="BE4" s="19"/>
      <c r="BF4" s="19"/>
      <c r="BG4" s="16" cm="1">
        <f t="array" aca="1" ref="BG4" ca="1">INDIRECT(ADDRESS(2,BG$1,,,B4))+INDIRECT(ADDRESS(3,BG$1,,,B4))</f>
        <v>480</v>
      </c>
      <c r="BH4" s="19" cm="1">
        <f t="array" aca="1" ref="BH4" ca="1">-INDIRECT(ADDRESS(5,BG$1,,,B4))*BI4</f>
        <v>-6853029.7991267173</v>
      </c>
      <c r="BI4" s="16">
        <f>BA4</f>
        <v>1.3487419332454373</v>
      </c>
      <c r="BJ4" s="19">
        <f ca="1">BH4/BG$4</f>
        <v>-14277.145414847328</v>
      </c>
      <c r="BK4" s="16" cm="1">
        <f t="array" aca="1" ref="BK4" ca="1">INDIRECT(ADDRESS(15,BG$1,,,B4))+INDIRECT(ADDRESS(16,BG$1,,,B4))</f>
        <v>0</v>
      </c>
      <c r="BL4" s="16">
        <f ca="1">BK4*(1+$D4)</f>
        <v>0</v>
      </c>
      <c r="BM4" s="19">
        <f ca="1">BJ4*(1+$E4)*BL4</f>
        <v>0</v>
      </c>
      <c r="BN4" s="19">
        <f ca="1">BM4*5</f>
        <v>0</v>
      </c>
      <c r="BO4" s="16" cm="1">
        <f t="array" aca="1" ref="BO4" ca="1">INDIRECT(ADDRESS(2,BO$1,,,B4))+INDIRECT(ADDRESS(3,BO$1,,,B4))</f>
        <v>381</v>
      </c>
      <c r="BP4" s="19" cm="1">
        <f t="array" aca="1" ref="BP4" ca="1">-INDIRECT(ADDRESS(5,BO$1,,,B4))*BQ4</f>
        <v>-5685235.7445290359</v>
      </c>
      <c r="BQ4" s="16">
        <f>BI4</f>
        <v>1.3487419332454373</v>
      </c>
      <c r="BR4" s="19">
        <f ca="1">BP4/BO$4</f>
        <v>-14921.878594564399</v>
      </c>
      <c r="BS4" s="16" cm="1">
        <f t="array" aca="1" ref="BS4" ca="1">INDIRECT(ADDRESS(15,BO$1,,,B4))+INDIRECT(ADDRESS(16,BO$1,,,B4))</f>
        <v>7</v>
      </c>
      <c r="BT4" s="16">
        <f ca="1">BS4*(1+$D4)</f>
        <v>5.46</v>
      </c>
      <c r="BU4" s="19">
        <f ca="1">BR4*(1+$E4)*BT4</f>
        <v>-100212.35226537558</v>
      </c>
      <c r="BV4" s="19">
        <f ca="1">BU4*4</f>
        <v>-400849.40906150232</v>
      </c>
      <c r="BW4" s="16" cm="1">
        <f t="array" aca="1" ref="BW4" ca="1">INDIRECT(ADDRESS(2,BW$1,,,B4))+INDIRECT(ADDRESS(3,BW$1,,,B4))</f>
        <v>380</v>
      </c>
      <c r="BX4" s="19" cm="1">
        <f t="array" aca="1" ref="BX4" ca="1">-INDIRECT(ADDRESS(5,BW$1,,,B4))*BY4</f>
        <v>-5667027.4991440941</v>
      </c>
      <c r="BY4" s="16">
        <f>BQ4</f>
        <v>1.3487419332454373</v>
      </c>
      <c r="BZ4" s="19">
        <f ca="1">BX4/BW$4</f>
        <v>-14913.230260905511</v>
      </c>
      <c r="CA4" s="16" cm="1">
        <f t="array" aca="1" ref="CA4" ca="1">INDIRECT(ADDRESS(15,BW$1,,,B4))+INDIRECT(ADDRESS(16,BW$1,,,B4))</f>
        <v>1</v>
      </c>
      <c r="CB4" s="16">
        <f ca="1">CA4*(1+$D4)</f>
        <v>0.78</v>
      </c>
      <c r="CC4" s="19">
        <f ca="1">BZ4*(1+$E4)*CB4</f>
        <v>-14307.753112312748</v>
      </c>
      <c r="CD4" s="19">
        <f ca="1">CC4*3</f>
        <v>-42923.259336938245</v>
      </c>
      <c r="CE4" s="16" cm="1">
        <f t="array" aca="1" ref="CE4" ca="1">INDIRECT(ADDRESS(2,CE$1,,,B4))+INDIRECT(ADDRESS(3,CE$1,,,B4))</f>
        <v>377</v>
      </c>
      <c r="CF4" s="19" cm="1">
        <f t="array" aca="1" ref="CF4" ca="1">-INDIRECT(ADDRESS(5,CE$1,,,B4))*CG4</f>
        <v>-5615602.9904113766</v>
      </c>
      <c r="CG4" s="16">
        <f>BY4</f>
        <v>1.3487419332454373</v>
      </c>
      <c r="CH4" s="19">
        <f ca="1">CF4/CE$4</f>
        <v>-14895.498648306038</v>
      </c>
      <c r="CI4" s="16" cm="1">
        <f t="array" aca="1" ref="CI4" ca="1">INDIRECT(ADDRESS(15,CE$1,,,B4))+INDIRECT(ADDRESS(16,CE$1,,,B4))</f>
        <v>3</v>
      </c>
      <c r="CJ4" s="16">
        <f ca="1">CI4*(1+$D4)</f>
        <v>2.34</v>
      </c>
      <c r="CK4" s="19">
        <f ca="1">CH4*(1+$E4)*CJ4</f>
        <v>-42872.224209554435</v>
      </c>
      <c r="CL4" s="19">
        <f ca="1">CK4*2</f>
        <v>-85744.44841910887</v>
      </c>
      <c r="CM4" s="16" cm="1">
        <f t="array" aca="1" ref="CM4" ca="1">INDIRECT(ADDRESS(2,CM$1,,,B4))+INDIRECT(ADDRESS(3,CM$1,,,B4))</f>
        <v>355</v>
      </c>
      <c r="CN4" s="19" cm="1">
        <f t="array" aca="1" ref="CN4" ca="1">-INDIRECT(ADDRESS(5,CM$1,,,B4))*CO4</f>
        <v>-5411305.9881385015</v>
      </c>
      <c r="CO4" s="16">
        <f>CG4</f>
        <v>1.3487419332454373</v>
      </c>
      <c r="CP4" s="19">
        <f ca="1">CN4/CM$4</f>
        <v>-15243.115459545075</v>
      </c>
      <c r="CQ4" s="16" cm="1">
        <f t="array" aca="1" ref="CQ4" ca="1">INDIRECT(ADDRESS(15,CM$1,,,B4))+INDIRECT(ADDRESS(16,CM$1,,,B4))</f>
        <v>22</v>
      </c>
      <c r="CR4" s="16">
        <f ca="1">CQ4*(1+$D4)</f>
        <v>17.16</v>
      </c>
      <c r="CS4" s="19">
        <f ca="1">CP4*(1+$E4)*CR4</f>
        <v>-321733.38938152598</v>
      </c>
      <c r="CT4" s="19">
        <f ca="1">CS4*1</f>
        <v>-321733.38938152598</v>
      </c>
      <c r="CW4" s="5">
        <f>AZ4</f>
        <v>0</v>
      </c>
      <c r="CX4" s="5">
        <f>CW4*6</f>
        <v>0</v>
      </c>
      <c r="CY4" s="5">
        <f>K4</f>
        <v>-38757901.296493031</v>
      </c>
      <c r="CZ4" s="21"/>
      <c r="DA4" s="5"/>
    </row>
    <row r="5" spans="1:105" x14ac:dyDescent="0.35">
      <c r="D5" s="8"/>
      <c r="E5" s="8"/>
      <c r="F5" s="5"/>
      <c r="K5" s="5"/>
      <c r="L5" s="5"/>
      <c r="M5" s="5"/>
      <c r="N5" s="5"/>
      <c r="O5" s="5"/>
      <c r="P5" s="5"/>
      <c r="Q5" s="5"/>
    </row>
    <row r="6" spans="1:105" x14ac:dyDescent="0.35">
      <c r="A6" t="s">
        <v>126</v>
      </c>
      <c r="D6" s="8"/>
      <c r="E6" s="8"/>
      <c r="F6" s="5">
        <v>70915007</v>
      </c>
      <c r="G6">
        <v>280</v>
      </c>
      <c r="H6">
        <f ca="1">H7+H8</f>
        <v>121</v>
      </c>
      <c r="I6">
        <f t="shared" ref="I6:J6" ca="1" si="0">I7+I8</f>
        <v>0</v>
      </c>
      <c r="J6">
        <f t="shared" ca="1" si="0"/>
        <v>121</v>
      </c>
      <c r="K6" s="5">
        <v>-14671768.094382832</v>
      </c>
      <c r="L6" s="5">
        <f t="shared" ref="L6:M6" ca="1" si="1">L7+L8</f>
        <v>-15240723.140091309</v>
      </c>
      <c r="M6" s="5" t="e">
        <f t="shared" ca="1" si="1"/>
        <v>#DIV/0!</v>
      </c>
      <c r="N6" s="19" t="e">
        <f ca="1">K6+L6+M6</f>
        <v>#DIV/0!</v>
      </c>
      <c r="O6" s="19" t="e">
        <f ca="1">N6+F6</f>
        <v>#DIV/0!</v>
      </c>
      <c r="P6" s="20" t="e">
        <f ca="1">-N6/F6</f>
        <v>#DIV/0!</v>
      </c>
      <c r="Q6" s="20">
        <f>F6/$F$23</f>
        <v>2.6640324973389307E-2</v>
      </c>
      <c r="R6">
        <v>193</v>
      </c>
      <c r="S6">
        <v>2954389</v>
      </c>
      <c r="AD6" s="5"/>
      <c r="AE6" s="5"/>
      <c r="AF6" s="5"/>
      <c r="AG6" s="5"/>
      <c r="AH6" s="5"/>
      <c r="AL6" s="5"/>
      <c r="AM6" s="5"/>
      <c r="AN6" s="5"/>
      <c r="AO6" s="5"/>
      <c r="AP6" s="5"/>
      <c r="AT6" s="5"/>
      <c r="AU6" s="5"/>
      <c r="AV6" s="5"/>
      <c r="AW6" s="5"/>
      <c r="AX6" s="5"/>
      <c r="BB6" s="5"/>
      <c r="BC6" s="5"/>
      <c r="BD6" s="5"/>
      <c r="BE6" s="5"/>
      <c r="BF6" s="5"/>
      <c r="BJ6" s="5"/>
      <c r="BK6" s="5"/>
      <c r="BL6" s="5"/>
      <c r="BM6" s="5"/>
      <c r="BN6" s="5"/>
      <c r="BR6" s="5"/>
      <c r="BS6" s="5"/>
      <c r="BT6" s="5"/>
      <c r="BU6" s="5"/>
      <c r="BV6" s="5"/>
      <c r="BZ6" s="5"/>
      <c r="CA6" s="5"/>
      <c r="CB6" s="5"/>
      <c r="CC6" s="5"/>
      <c r="CD6" s="5"/>
      <c r="CH6" s="5"/>
      <c r="CI6" s="5"/>
      <c r="CJ6" s="5"/>
      <c r="CK6" s="5"/>
      <c r="CL6" s="5"/>
      <c r="CP6" s="5"/>
      <c r="CQ6" s="5"/>
      <c r="CR6" s="5"/>
      <c r="CS6" s="5"/>
      <c r="CT6" s="5"/>
      <c r="CW6" s="5"/>
      <c r="CX6" s="5"/>
      <c r="CY6" s="5">
        <f>K6</f>
        <v>-14671768.094382832</v>
      </c>
      <c r="DA6" s="5"/>
    </row>
    <row r="7" spans="1:105" x14ac:dyDescent="0.35">
      <c r="A7" s="16" t="s">
        <v>126</v>
      </c>
      <c r="B7" s="16" t="s">
        <v>105</v>
      </c>
      <c r="C7" s="17"/>
      <c r="D7" s="18">
        <v>-1</v>
      </c>
      <c r="E7" s="18">
        <v>0</v>
      </c>
      <c r="F7" s="19"/>
      <c r="G7" s="16"/>
      <c r="H7" s="16">
        <f t="shared" ref="H7:H8" ca="1" si="2">CM7</f>
        <v>0</v>
      </c>
      <c r="I7" s="16">
        <f t="shared" ref="I7:I8" ca="1" si="3">AF7+AN7+AV7+BD7+BL7+BT7+CB7+CJ7+CR7</f>
        <v>0</v>
      </c>
      <c r="J7" s="16">
        <f t="shared" ref="J7:J8" ca="1" si="4">H7+INT(I7)</f>
        <v>0</v>
      </c>
      <c r="K7" s="19"/>
      <c r="L7" s="19">
        <f t="shared" ref="L7:L8" ca="1" si="5">AB7+AJ7+AR7+AZ7+BH7+BP7+BX7+CF7+CN7</f>
        <v>-40689.642933942501</v>
      </c>
      <c r="M7" s="19" t="e">
        <f t="shared" ref="M7:M8" ca="1" si="6">AH7+AP7+AX7+BF7+BN7+BV7+CD7+CL7+CT7</f>
        <v>#DIV/0!</v>
      </c>
      <c r="N7" s="19"/>
      <c r="O7" s="19"/>
      <c r="P7" s="20"/>
      <c r="Q7" s="20"/>
      <c r="R7" s="16"/>
      <c r="S7" s="16"/>
      <c r="T7" s="16">
        <v>17.451465550057101</v>
      </c>
      <c r="U7" s="16"/>
      <c r="V7" s="16"/>
      <c r="W7" s="16">
        <v>17.870770915633432</v>
      </c>
      <c r="X7" s="16"/>
      <c r="Y7" s="16"/>
      <c r="Z7" s="16">
        <v>18.46352288488211</v>
      </c>
      <c r="AA7" s="16"/>
      <c r="AB7" s="19"/>
      <c r="AC7" s="16">
        <v>18.770692212112714</v>
      </c>
      <c r="AD7" s="19"/>
      <c r="AE7" s="16"/>
      <c r="AF7" s="16"/>
      <c r="AG7" s="19"/>
      <c r="AH7" s="19"/>
      <c r="AI7" s="16"/>
      <c r="AJ7" s="19"/>
      <c r="AK7" s="16">
        <f>AC7</f>
        <v>18.770692212112714</v>
      </c>
      <c r="AL7" s="19"/>
      <c r="AM7" s="16"/>
      <c r="AN7" s="16"/>
      <c r="AO7" s="19"/>
      <c r="AP7" s="19"/>
      <c r="AQ7" s="16"/>
      <c r="AR7" s="19"/>
      <c r="AS7" s="16">
        <v>18.481077689321147</v>
      </c>
      <c r="AT7" s="19"/>
      <c r="AU7" s="16"/>
      <c r="AV7" s="16"/>
      <c r="AW7" s="19"/>
      <c r="AX7" s="19"/>
      <c r="AY7" s="16"/>
      <c r="AZ7" s="19"/>
      <c r="BA7" s="16">
        <v>18.500590138968207</v>
      </c>
      <c r="BB7" s="19"/>
      <c r="BC7" s="16"/>
      <c r="BD7" s="16"/>
      <c r="BE7" s="19"/>
      <c r="BF7" s="19"/>
      <c r="BG7" s="16" cm="1">
        <f t="array" aca="1" ref="BG7" ca="1">INDIRECT(ADDRESS(2,BG$1,,,B7))+INDIRECT(ADDRESS(3,BG$1,,,B7))</f>
        <v>5</v>
      </c>
      <c r="BH7" s="19" cm="1">
        <f t="array" aca="1" ref="BH7" ca="1">-INDIRECT(ADDRESS(5,BG$1,,,B7))*BI7</f>
        <v>-40689.642933942501</v>
      </c>
      <c r="BI7" s="16">
        <f>BA7</f>
        <v>18.500590138968207</v>
      </c>
      <c r="BJ7" s="19">
        <f ca="1">BH7/BG7</f>
        <v>-8137.9285867885001</v>
      </c>
      <c r="BK7" s="16" cm="1">
        <f t="array" aca="1" ref="BK7" ca="1">INDIRECT(ADDRESS(15,BG$1,,,B7))+INDIRECT(ADDRESS(16,BG$1,,,B7))</f>
        <v>0</v>
      </c>
      <c r="BL7" s="16">
        <f t="shared" ref="BL7:BL8" ca="1" si="7">BK7*(1+$D7)</f>
        <v>0</v>
      </c>
      <c r="BM7" s="19">
        <f ca="1">BJ7*(1+$E7)*BL7</f>
        <v>0</v>
      </c>
      <c r="BN7" s="19">
        <f t="shared" ref="BN7:BN8" ca="1" si="8">BM7*5</f>
        <v>0</v>
      </c>
      <c r="BO7" s="16" cm="1">
        <f t="array" aca="1" ref="BO7" ca="1">INDIRECT(ADDRESS(2,BO$1,,,B7))+INDIRECT(ADDRESS(3,BO$1,,,B7))</f>
        <v>0</v>
      </c>
      <c r="BP7" s="19" cm="1">
        <f t="array" aca="1" ref="BP7" ca="1">-INDIRECT(ADDRESS(5,BO$1,,,B7))*BQ7</f>
        <v>0</v>
      </c>
      <c r="BQ7" s="16">
        <f>BI7</f>
        <v>18.500590138968207</v>
      </c>
      <c r="BR7" s="19" t="e">
        <f ca="1">BP7/BO7</f>
        <v>#DIV/0!</v>
      </c>
      <c r="BS7" s="16" cm="1">
        <f t="array" aca="1" ref="BS7" ca="1">INDIRECT(ADDRESS(15,BO$1,,,B7))+INDIRECT(ADDRESS(16,BO$1,,,B7))</f>
        <v>4</v>
      </c>
      <c r="BT7" s="16">
        <f t="shared" ref="BT7:BT8" ca="1" si="9">BS7*(1+$D7)</f>
        <v>0</v>
      </c>
      <c r="BU7" s="19" t="e">
        <f ca="1">BR7*(1+$E7)*BT7</f>
        <v>#DIV/0!</v>
      </c>
      <c r="BV7" s="19" t="e">
        <f t="shared" ref="BV7:BV8" ca="1" si="10">BU7*4</f>
        <v>#DIV/0!</v>
      </c>
      <c r="BW7" s="16" cm="1">
        <f t="array" aca="1" ref="BW7" ca="1">INDIRECT(ADDRESS(2,BW$1,,,B7))+INDIRECT(ADDRESS(3,BW$1,,,B7))</f>
        <v>0</v>
      </c>
      <c r="BX7" s="19" cm="1">
        <f t="array" aca="1" ref="BX7" ca="1">-INDIRECT(ADDRESS(5,BW$1,,,B7))*BY7</f>
        <v>0</v>
      </c>
      <c r="BY7" s="16">
        <f>BQ7</f>
        <v>18.500590138968207</v>
      </c>
      <c r="BZ7" s="19" t="e">
        <f ca="1">BX7/BW7</f>
        <v>#DIV/0!</v>
      </c>
      <c r="CA7" s="16" cm="1">
        <f t="array" aca="1" ref="CA7" ca="1">INDIRECT(ADDRESS(15,BW$1,,,B7))+INDIRECT(ADDRESS(16,BW$1,,,B7))</f>
        <v>0</v>
      </c>
      <c r="CB7" s="16">
        <f t="shared" ref="CB7:CB8" ca="1" si="11">CA7*(1+$D7)</f>
        <v>0</v>
      </c>
      <c r="CC7" s="19" t="e">
        <f ca="1">BZ7*(1+$E7)*CB7</f>
        <v>#DIV/0!</v>
      </c>
      <c r="CD7" s="19" t="e">
        <f ca="1">CC7*3</f>
        <v>#DIV/0!</v>
      </c>
      <c r="CE7" s="16" cm="1">
        <f t="array" aca="1" ref="CE7" ca="1">INDIRECT(ADDRESS(2,CE$1,,,B7))+INDIRECT(ADDRESS(3,CE$1,,,B7))</f>
        <v>0</v>
      </c>
      <c r="CF7" s="19" cm="1">
        <f t="array" aca="1" ref="CF7" ca="1">-INDIRECT(ADDRESS(5,CE$1,,,B7))*CG7</f>
        <v>0</v>
      </c>
      <c r="CG7" s="16">
        <f>BY7</f>
        <v>18.500590138968207</v>
      </c>
      <c r="CH7" s="19" t="e">
        <f ca="1">CF7/CE7</f>
        <v>#DIV/0!</v>
      </c>
      <c r="CI7" s="16" cm="1">
        <f t="array" aca="1" ref="CI7" ca="1">INDIRECT(ADDRESS(15,CE$1,,,B7))+INDIRECT(ADDRESS(16,CE$1,,,B7))</f>
        <v>0</v>
      </c>
      <c r="CJ7" s="16">
        <f t="shared" ref="CJ7:CJ8" ca="1" si="12">CI7*(1+$D7)</f>
        <v>0</v>
      </c>
      <c r="CK7" s="19" t="e">
        <f ca="1">CH7*(1+$E7)*CJ7</f>
        <v>#DIV/0!</v>
      </c>
      <c r="CL7" s="19" t="e">
        <f t="shared" ref="CL7:CL8" ca="1" si="13">CK7*2</f>
        <v>#DIV/0!</v>
      </c>
      <c r="CM7" s="16" cm="1">
        <f t="array" aca="1" ref="CM7" ca="1">INDIRECT(ADDRESS(2,CM$1,,,B7))+INDIRECT(ADDRESS(3,CM$1,,,B7))</f>
        <v>0</v>
      </c>
      <c r="CN7" s="19" cm="1">
        <f t="array" aca="1" ref="CN7" ca="1">-INDIRECT(ADDRESS(5,CM$1,,,B7))*CO7</f>
        <v>0</v>
      </c>
      <c r="CO7" s="16">
        <f>CG7</f>
        <v>18.500590138968207</v>
      </c>
      <c r="CP7" s="19" t="e">
        <f ca="1">CN7/CM7</f>
        <v>#DIV/0!</v>
      </c>
      <c r="CQ7" s="16" cm="1">
        <f t="array" aca="1" ref="CQ7" ca="1">INDIRECT(ADDRESS(15,CM$1,,,B7))+INDIRECT(ADDRESS(16,CM$1,,,B7))</f>
        <v>0</v>
      </c>
      <c r="CR7" s="16">
        <f t="shared" ref="CR7:CR8" ca="1" si="14">CQ7*(1+$D7)</f>
        <v>0</v>
      </c>
      <c r="CS7" s="19" t="e">
        <f ca="1">CP7*(1+$E7)*CR7</f>
        <v>#DIV/0!</v>
      </c>
      <c r="CT7" s="19" t="e">
        <f ca="1">CS7*1</f>
        <v>#DIV/0!</v>
      </c>
      <c r="CW7" s="5">
        <f>AZ7</f>
        <v>0</v>
      </c>
      <c r="CX7" s="5">
        <f t="shared" ref="CX7:CX8" si="15">CW7*6</f>
        <v>0</v>
      </c>
      <c r="CY7" s="5"/>
      <c r="CZ7" s="21"/>
      <c r="DA7" s="5"/>
    </row>
    <row r="8" spans="1:105" x14ac:dyDescent="0.35">
      <c r="A8" s="16" t="s">
        <v>126</v>
      </c>
      <c r="B8" s="16" t="s">
        <v>106</v>
      </c>
      <c r="C8" s="17"/>
      <c r="D8" s="18">
        <v>-1</v>
      </c>
      <c r="E8" s="18">
        <v>0</v>
      </c>
      <c r="F8" s="19"/>
      <c r="G8" s="16"/>
      <c r="H8" s="16">
        <f t="shared" ca="1" si="2"/>
        <v>121</v>
      </c>
      <c r="I8" s="16">
        <f t="shared" ca="1" si="3"/>
        <v>0</v>
      </c>
      <c r="J8" s="16">
        <f t="shared" ca="1" si="4"/>
        <v>121</v>
      </c>
      <c r="K8" s="19"/>
      <c r="L8" s="19">
        <f t="shared" ca="1" si="5"/>
        <v>-15200033.497157367</v>
      </c>
      <c r="M8" s="19">
        <f t="shared" ca="1" si="6"/>
        <v>0</v>
      </c>
      <c r="N8" s="19"/>
      <c r="O8" s="19"/>
      <c r="P8" s="19"/>
      <c r="Q8" s="19"/>
      <c r="R8" s="16"/>
      <c r="S8" s="16"/>
      <c r="T8" s="16">
        <v>1.0893429963169774</v>
      </c>
      <c r="U8" s="16"/>
      <c r="V8" s="16"/>
      <c r="W8" s="16">
        <v>1.1308811627060837</v>
      </c>
      <c r="X8" s="16"/>
      <c r="Y8" s="16"/>
      <c r="Z8" s="16">
        <v>1.2286845214235986</v>
      </c>
      <c r="AA8" s="16"/>
      <c r="AB8" s="19"/>
      <c r="AC8" s="16">
        <v>1.2493830585887584</v>
      </c>
      <c r="AD8" s="19"/>
      <c r="AE8" s="16"/>
      <c r="AF8" s="16"/>
      <c r="AG8" s="19"/>
      <c r="AH8" s="19"/>
      <c r="AI8" s="16"/>
      <c r="AJ8" s="19"/>
      <c r="AK8" s="16">
        <f>AC8</f>
        <v>1.2493830585887584</v>
      </c>
      <c r="AL8" s="19"/>
      <c r="AM8" s="16"/>
      <c r="AN8" s="16"/>
      <c r="AO8" s="19"/>
      <c r="AP8" s="19"/>
      <c r="AQ8" s="16"/>
      <c r="AR8" s="19"/>
      <c r="AS8" s="16">
        <v>1.1919491096721972</v>
      </c>
      <c r="AT8" s="19"/>
      <c r="AU8" s="16"/>
      <c r="AV8" s="16"/>
      <c r="AW8" s="19"/>
      <c r="AX8" s="19"/>
      <c r="AY8" s="16"/>
      <c r="AZ8" s="19"/>
      <c r="BA8" s="16">
        <v>1.2510729889984835</v>
      </c>
      <c r="BB8" s="19"/>
      <c r="BC8" s="16"/>
      <c r="BD8" s="16"/>
      <c r="BE8" s="19"/>
      <c r="BF8" s="19"/>
      <c r="BG8" s="16" cm="1">
        <f t="array" aca="1" ref="BG8" ca="1">INDIRECT(ADDRESS(2,BG$1,,,B8))+INDIRECT(ADDRESS(3,BG$1,,,B8))</f>
        <v>156</v>
      </c>
      <c r="BH8" s="19" cm="1">
        <f t="array" aca="1" ref="BH8" ca="1">-INDIRECT(ADDRESS(5,BG$1,,,B8))*BI8</f>
        <v>-3229798.8155879634</v>
      </c>
      <c r="BI8" s="16">
        <f>BA8</f>
        <v>1.2510729889984835</v>
      </c>
      <c r="BJ8" s="19">
        <f ca="1">BH8/BG8</f>
        <v>-20703.838561461303</v>
      </c>
      <c r="BK8" s="16" cm="1">
        <f t="array" aca="1" ref="BK8" ca="1">INDIRECT(ADDRESS(15,BG$1,,,B8))+INDIRECT(ADDRESS(16,BG$1,,,B8))</f>
        <v>0</v>
      </c>
      <c r="BL8" s="16">
        <f t="shared" ca="1" si="7"/>
        <v>0</v>
      </c>
      <c r="BM8" s="19">
        <f ca="1">BJ8*(1+$E8)*BL8</f>
        <v>0</v>
      </c>
      <c r="BN8" s="19">
        <f t="shared" ca="1" si="8"/>
        <v>0</v>
      </c>
      <c r="BO8" s="16" cm="1">
        <f t="array" aca="1" ref="BO8" ca="1">INDIRECT(ADDRESS(2,BO$1,,,B8))+INDIRECT(ADDRESS(3,BO$1,,,B8))</f>
        <v>134</v>
      </c>
      <c r="BP8" s="19" cm="1">
        <f t="array" aca="1" ref="BP8" ca="1">-INDIRECT(ADDRESS(5,BO$1,,,B8))*BQ8</f>
        <v>-3037029.4484773194</v>
      </c>
      <c r="BQ8" s="16">
        <f>BI8</f>
        <v>1.2510729889984835</v>
      </c>
      <c r="BR8" s="19">
        <f ca="1">BP8/BO8</f>
        <v>-22664.398869233726</v>
      </c>
      <c r="BS8" s="16" cm="1">
        <f t="array" aca="1" ref="BS8" ca="1">INDIRECT(ADDRESS(15,BO$1,,,B8))+INDIRECT(ADDRESS(16,BO$1,,,B8))</f>
        <v>1</v>
      </c>
      <c r="BT8" s="16">
        <f t="shared" ca="1" si="9"/>
        <v>0</v>
      </c>
      <c r="BU8" s="19">
        <f ca="1">BR8*(1+$E8)*BT8</f>
        <v>0</v>
      </c>
      <c r="BV8" s="19">
        <f t="shared" ca="1" si="10"/>
        <v>0</v>
      </c>
      <c r="BW8" s="16" cm="1">
        <f t="array" aca="1" ref="BW8" ca="1">INDIRECT(ADDRESS(2,BW$1,,,B8))+INDIRECT(ADDRESS(3,BW$1,,,B8))</f>
        <v>133</v>
      </c>
      <c r="BX8" s="19" cm="1">
        <f t="array" aca="1" ref="BX8" ca="1">-INDIRECT(ADDRESS(5,BW$1,,,B8))*BY8</f>
        <v>-3030890.5709383343</v>
      </c>
      <c r="BY8" s="16">
        <f>BQ8</f>
        <v>1.2510729889984835</v>
      </c>
      <c r="BZ8" s="19">
        <f ca="1">BX8/BW8</f>
        <v>-22788.650909310785</v>
      </c>
      <c r="CA8" s="16" cm="1">
        <f t="array" aca="1" ref="CA8" ca="1">INDIRECT(ADDRESS(15,BW$1,,,B8))+INDIRECT(ADDRESS(16,BW$1,,,B8))</f>
        <v>1</v>
      </c>
      <c r="CB8" s="16">
        <f t="shared" ca="1" si="11"/>
        <v>0</v>
      </c>
      <c r="CC8" s="19">
        <f ca="1">BZ8*(1+$E8)*CB8</f>
        <v>0</v>
      </c>
      <c r="CD8" s="19">
        <f ca="1">CC8*3</f>
        <v>0</v>
      </c>
      <c r="CE8" s="16" cm="1">
        <f t="array" aca="1" ref="CE8" ca="1">INDIRECT(ADDRESS(2,CE$1,,,B8))+INDIRECT(ADDRESS(3,CE$1,,,B8))</f>
        <v>130</v>
      </c>
      <c r="CF8" s="19" cm="1">
        <f t="array" aca="1" ref="CF8" ca="1">-INDIRECT(ADDRESS(5,CE$1,,,B8))*CG8</f>
        <v>-2998061.7526383288</v>
      </c>
      <c r="CG8" s="16">
        <f>BY8</f>
        <v>1.2510729889984835</v>
      </c>
      <c r="CH8" s="19">
        <f ca="1">CF8/CE8</f>
        <v>-23062.013481833299</v>
      </c>
      <c r="CI8" s="16" cm="1">
        <f t="array" aca="1" ref="CI8" ca="1">INDIRECT(ADDRESS(15,CE$1,,,B8))+INDIRECT(ADDRESS(16,CE$1,,,B8))</f>
        <v>3</v>
      </c>
      <c r="CJ8" s="16">
        <f t="shared" ca="1" si="12"/>
        <v>0</v>
      </c>
      <c r="CK8" s="19">
        <f ca="1">CH8*(1+$E8)*CJ8</f>
        <v>0</v>
      </c>
      <c r="CL8" s="19">
        <f t="shared" ca="1" si="13"/>
        <v>0</v>
      </c>
      <c r="CM8" s="16" cm="1">
        <f t="array" aca="1" ref="CM8" ca="1">INDIRECT(ADDRESS(2,CM$1,,,B8))+INDIRECT(ADDRESS(3,CM$1,,,B8))</f>
        <v>121</v>
      </c>
      <c r="CN8" s="19" cm="1">
        <f t="array" aca="1" ref="CN8" ca="1">-INDIRECT(ADDRESS(5,CM$1,,,B8))*CO8</f>
        <v>-2904252.9095154223</v>
      </c>
      <c r="CO8" s="16">
        <f>CG8</f>
        <v>1.2510729889984835</v>
      </c>
      <c r="CP8" s="19">
        <f ca="1">CN8/CM8</f>
        <v>-24002.090161284483</v>
      </c>
      <c r="CQ8" s="16" cm="1">
        <f t="array" aca="1" ref="CQ8" ca="1">INDIRECT(ADDRESS(15,CM$1,,,B8))+INDIRECT(ADDRESS(16,CM$1,,,B8))</f>
        <v>9</v>
      </c>
      <c r="CR8" s="16">
        <f t="shared" ca="1" si="14"/>
        <v>0</v>
      </c>
      <c r="CS8" s="19">
        <f ca="1">CP8*(1+$E8)*CR8</f>
        <v>0</v>
      </c>
      <c r="CT8" s="19">
        <f ca="1">CS8*1</f>
        <v>0</v>
      </c>
      <c r="CW8" s="5">
        <f>AZ8</f>
        <v>0</v>
      </c>
      <c r="CX8" s="5">
        <f t="shared" si="15"/>
        <v>0</v>
      </c>
      <c r="CY8" s="5"/>
      <c r="CZ8" s="21"/>
      <c r="DA8" s="5"/>
    </row>
    <row r="9" spans="1:105" x14ac:dyDescent="0.35">
      <c r="D9" s="8"/>
      <c r="E9" s="8"/>
      <c r="F9" s="5"/>
      <c r="K9" s="5"/>
      <c r="L9" s="5"/>
      <c r="M9" s="5"/>
      <c r="N9" s="5"/>
      <c r="O9" s="5"/>
      <c r="P9" s="5"/>
      <c r="Q9" s="5"/>
    </row>
    <row r="10" spans="1:105" x14ac:dyDescent="0.35">
      <c r="A10" s="16" t="s">
        <v>129</v>
      </c>
      <c r="B10" s="16" t="s">
        <v>108</v>
      </c>
      <c r="C10" s="17"/>
      <c r="D10" s="18">
        <v>0.01</v>
      </c>
      <c r="E10" s="18">
        <f>29%/2</f>
        <v>0.14499999999999999</v>
      </c>
      <c r="F10" s="19">
        <v>113726588</v>
      </c>
      <c r="G10" s="16">
        <v>408</v>
      </c>
      <c r="H10" s="16">
        <f t="shared" ref="H10:H12" ca="1" si="16">CM10</f>
        <v>257</v>
      </c>
      <c r="I10" s="16">
        <f t="shared" ref="I10:I12" ca="1" si="17">AF10+AN10+AV10+BD10+BL10+BT10+CB10+CJ10+CR10</f>
        <v>17.170000000000002</v>
      </c>
      <c r="J10" s="16">
        <f t="shared" ref="J10:J12" ca="1" si="18">H10+INT(I10)</f>
        <v>274</v>
      </c>
      <c r="K10" s="5">
        <v>-44528051.175321355</v>
      </c>
      <c r="L10" s="19">
        <f t="shared" ref="L10:L12" ca="1" si="19">AB10+AJ10+AR10+AZ10+BH10+BP10+BX10+CF10+CN10</f>
        <v>-30631653.804424308</v>
      </c>
      <c r="M10" s="19">
        <f t="shared" ref="M10:M12" ca="1" si="20">AH10+AP10+AX10+BF10+BN10+BV10+CD10+CL10+CT10</f>
        <v>-998767.44854572939</v>
      </c>
      <c r="N10" s="19">
        <f t="shared" ref="N10:N12" ca="1" si="21">K10+L10+M10</f>
        <v>-76158472.42829138</v>
      </c>
      <c r="O10" s="19">
        <f t="shared" ref="O10:O12" ca="1" si="22">N10+F10</f>
        <v>37568115.57170862</v>
      </c>
      <c r="P10" s="20">
        <f t="shared" ref="P10:P17" ca="1" si="23">-N10/F10</f>
        <v>0.6696628621997468</v>
      </c>
      <c r="Q10" s="20">
        <f>F10/$F$23</f>
        <v>4.2723161014914045E-2</v>
      </c>
      <c r="R10" s="16">
        <v>334</v>
      </c>
      <c r="S10" s="16">
        <v>6168000</v>
      </c>
      <c r="T10" s="16">
        <v>0.27312914430059992</v>
      </c>
      <c r="U10" s="16"/>
      <c r="V10" s="16"/>
      <c r="W10" s="16">
        <v>0.27964626035203821</v>
      </c>
      <c r="X10" s="16"/>
      <c r="Y10" s="16"/>
      <c r="Z10" s="16">
        <v>0.28892744614472576</v>
      </c>
      <c r="AA10" s="16"/>
      <c r="AB10" s="19"/>
      <c r="AC10" s="16">
        <v>0.29372343421406671</v>
      </c>
      <c r="AD10" s="19"/>
      <c r="AE10" s="16"/>
      <c r="AF10" s="16"/>
      <c r="AG10" s="19"/>
      <c r="AH10" s="19"/>
      <c r="AI10" s="16"/>
      <c r="AJ10" s="19"/>
      <c r="AK10" s="16">
        <f t="shared" ref="AK10:AK12" si="24">AC10</f>
        <v>0.29372343421406671</v>
      </c>
      <c r="AL10" s="19"/>
      <c r="AM10" s="16"/>
      <c r="AN10" s="16"/>
      <c r="AO10" s="19"/>
      <c r="AP10" s="19"/>
      <c r="AQ10" s="16"/>
      <c r="AR10" s="19"/>
      <c r="AS10" s="16">
        <v>0.28919621997492501</v>
      </c>
      <c r="AT10" s="19"/>
      <c r="AU10" s="16"/>
      <c r="AV10" s="16"/>
      <c r="AW10" s="19"/>
      <c r="AX10" s="19"/>
      <c r="AY10" s="16"/>
      <c r="AZ10" s="19"/>
      <c r="BA10" s="16">
        <f t="shared" ref="BA10:BA12" si="25">AS10</f>
        <v>0.28919621997492501</v>
      </c>
      <c r="BB10" s="19"/>
      <c r="BC10" s="16"/>
      <c r="BD10" s="16"/>
      <c r="BE10" s="19"/>
      <c r="BF10" s="19"/>
      <c r="BG10" s="16" cm="1">
        <f t="array" aca="1" ref="BG10" ca="1">INDIRECT(ADDRESS(2,BG$1,,,B10))+INDIRECT(ADDRESS(3,BG$1,,,B10))</f>
        <v>293</v>
      </c>
      <c r="BH10" s="19" cm="1">
        <f t="array" aca="1" ref="BH10" ca="1">-INDIRECT(ADDRESS(5,BG$1,,,B10))*BI10</f>
        <v>-6595884.5903916908</v>
      </c>
      <c r="BI10" s="16">
        <f t="shared" ref="BI10:BI12" si="26">BA10</f>
        <v>0.28919621997492501</v>
      </c>
      <c r="BJ10" s="19">
        <f t="shared" ref="BJ10:BJ12" ca="1" si="27">BH10/BG10</f>
        <v>-22511.551503043313</v>
      </c>
      <c r="BK10" s="16" cm="1">
        <f t="array" aca="1" ref="BK10" ca="1">INDIRECT(ADDRESS(15,BG$1,,,B10))+INDIRECT(ADDRESS(16,BG$1,,,B10))</f>
        <v>0</v>
      </c>
      <c r="BL10" s="16">
        <f t="shared" ref="BL10:BL12" ca="1" si="28">BK10*(1+$D10)</f>
        <v>0</v>
      </c>
      <c r="BM10" s="19">
        <f t="shared" ref="BM10:BM12" ca="1" si="29">BJ10*(1+$E10)*BL10</f>
        <v>0</v>
      </c>
      <c r="BN10" s="19">
        <f t="shared" ref="BN10:BN12" ca="1" si="30">BM10*5</f>
        <v>0</v>
      </c>
      <c r="BO10" s="16" cm="1">
        <f t="array" aca="1" ref="BO10" ca="1">INDIRECT(ADDRESS(2,BO$1,,,B10))+INDIRECT(ADDRESS(3,BO$1,,,B10))</f>
        <v>271</v>
      </c>
      <c r="BP10" s="19" cm="1">
        <f t="array" aca="1" ref="BP10" ca="1">-INDIRECT(ADDRESS(5,BO$1,,,B10))*BQ10</f>
        <v>-6150244.9191813534</v>
      </c>
      <c r="BQ10" s="16">
        <f t="shared" ref="BQ10:BQ12" si="31">BI10</f>
        <v>0.28919621997492501</v>
      </c>
      <c r="BR10" s="19">
        <f t="shared" ref="BR10:BR12" ca="1" si="32">BP10/BO10</f>
        <v>-22694.630698086174</v>
      </c>
      <c r="BS10" s="16" cm="1">
        <f t="array" aca="1" ref="BS10" ca="1">INDIRECT(ADDRESS(15,BO$1,,,B10))+INDIRECT(ADDRESS(16,BO$1,,,B10))</f>
        <v>3</v>
      </c>
      <c r="BT10" s="16">
        <f t="shared" ref="BT10:BT12" ca="1" si="33">BS10*(1+$D10)</f>
        <v>3.0300000000000002</v>
      </c>
      <c r="BU10" s="19">
        <f t="shared" ref="BU10:BU12" ca="1" si="34">BR10*(1+$E10)*BT10</f>
        <v>-78735.617012405273</v>
      </c>
      <c r="BV10" s="19">
        <f t="shared" ref="BV10:BV12" ca="1" si="35">BU10*4</f>
        <v>-314942.46804962109</v>
      </c>
      <c r="BW10" s="16" cm="1">
        <f t="array" aca="1" ref="BW10" ca="1">INDIRECT(ADDRESS(2,BW$1,,,B10))+INDIRECT(ADDRESS(3,BW$1,,,B10))</f>
        <v>266</v>
      </c>
      <c r="BX10" s="19" cm="1">
        <f t="array" aca="1" ref="BX10" ca="1">-INDIRECT(ADDRESS(5,BW$1,,,B10))*BY10</f>
        <v>-6050021.0395913357</v>
      </c>
      <c r="BY10" s="16">
        <f t="shared" ref="BY10:BY12" si="36">BQ10</f>
        <v>0.28919621997492501</v>
      </c>
      <c r="BZ10" s="19">
        <f t="shared" ref="BZ10:BZ12" ca="1" si="37">BX10/BW10</f>
        <v>-22744.439998463669</v>
      </c>
      <c r="CA10" s="16" cm="1">
        <f t="array" aca="1" ref="CA10" ca="1">INDIRECT(ADDRESS(15,BW$1,,,B10))+INDIRECT(ADDRESS(16,BW$1,,,B10))</f>
        <v>5</v>
      </c>
      <c r="CB10" s="16">
        <f t="shared" ref="CB10:CB12" ca="1" si="38">CA10*(1+$D10)</f>
        <v>5.05</v>
      </c>
      <c r="CC10" s="19">
        <f t="shared" ref="CC10:CC12" ca="1" si="39">BZ10*(1+$E10)*CB10</f>
        <v>-131514.03818111654</v>
      </c>
      <c r="CD10" s="19">
        <f ca="1">CC10*3</f>
        <v>-394542.1145433496</v>
      </c>
      <c r="CE10" s="16" cm="1">
        <f t="array" aca="1" ref="CE10" ca="1">INDIRECT(ADDRESS(2,CE$1,,,B10))+INDIRECT(ADDRESS(3,CE$1,,,B10))</f>
        <v>264</v>
      </c>
      <c r="CF10" s="19" cm="1">
        <f t="array" aca="1" ref="CF10" ca="1">-INDIRECT(ADDRESS(5,CE$1,,,B10))*CG10</f>
        <v>-5975627.7817385038</v>
      </c>
      <c r="CG10" s="16">
        <f t="shared" ref="CG10:CG12" si="40">BY10</f>
        <v>0.28919621997492501</v>
      </c>
      <c r="CH10" s="19">
        <f t="shared" ref="CH10:CH12" ca="1" si="41">CF10/CE10</f>
        <v>-22634.953718706452</v>
      </c>
      <c r="CI10" s="16" cm="1">
        <f t="array" aca="1" ref="CI10" ca="1">INDIRECT(ADDRESS(15,CE$1,,,B10))+INDIRECT(ADDRESS(16,CE$1,,,B10))</f>
        <v>2</v>
      </c>
      <c r="CJ10" s="16">
        <f t="shared" ref="CJ10:CJ12" ca="1" si="42">CI10*(1+$D10)</f>
        <v>2.02</v>
      </c>
      <c r="CK10" s="19">
        <f t="shared" ref="CK10:CK12" ca="1" si="43">CH10*(1+$E10)*CJ10</f>
        <v>-52352.384455996151</v>
      </c>
      <c r="CL10" s="19">
        <f t="shared" ref="CL10:CL12" ca="1" si="44">CK10*2</f>
        <v>-104704.7689119923</v>
      </c>
      <c r="CM10" s="16" cm="1">
        <f t="array" aca="1" ref="CM10" ca="1">INDIRECT(ADDRESS(2,CM$1,,,B10))+INDIRECT(ADDRESS(3,CM$1,,,B10))</f>
        <v>257</v>
      </c>
      <c r="CN10" s="19" cm="1">
        <f t="array" aca="1" ref="CN10" ca="1">-INDIRECT(ADDRESS(5,CM$1,,,B10))*CO10</f>
        <v>-5859875.4735214226</v>
      </c>
      <c r="CO10" s="16">
        <f t="shared" ref="CO10:CO12" si="45">CG10</f>
        <v>0.28919621997492501</v>
      </c>
      <c r="CP10" s="19">
        <f t="shared" ref="CP10:CP12" ca="1" si="46">CN10/CM10</f>
        <v>-22801.071881406315</v>
      </c>
      <c r="CQ10" s="16" cm="1">
        <f t="array" aca="1" ref="CQ10" ca="1">INDIRECT(ADDRESS(15,CM$1,,,B10))+INDIRECT(ADDRESS(16,CM$1,,,B10))</f>
        <v>7</v>
      </c>
      <c r="CR10" s="16">
        <f t="shared" ref="CR10:CR12" ca="1" si="47">CQ10*(1+$D10)</f>
        <v>7.07</v>
      </c>
      <c r="CS10" s="19">
        <f t="shared" ref="CS10:CS12" ca="1" si="48">CP10*(1+$E10)*CR10</f>
        <v>-184578.09704076636</v>
      </c>
      <c r="CT10" s="19">
        <f ca="1">CS10*1</f>
        <v>-184578.09704076636</v>
      </c>
      <c r="CW10" s="5">
        <f>AZ10</f>
        <v>0</v>
      </c>
      <c r="CX10" s="5">
        <f t="shared" ref="CX10:CX12" si="49">CW10*6</f>
        <v>0</v>
      </c>
      <c r="CY10" s="5">
        <f>K10</f>
        <v>-44528051.175321355</v>
      </c>
      <c r="CZ10" s="21"/>
      <c r="DA10" s="5"/>
    </row>
    <row r="11" spans="1:105" x14ac:dyDescent="0.35">
      <c r="A11" s="16" t="s">
        <v>128</v>
      </c>
      <c r="B11" s="16" t="s">
        <v>109</v>
      </c>
      <c r="C11" s="17"/>
      <c r="D11" s="18">
        <v>0.03</v>
      </c>
      <c r="E11" s="18">
        <f>37%/2</f>
        <v>0.185</v>
      </c>
      <c r="F11" s="19">
        <v>199243565</v>
      </c>
      <c r="G11" s="16">
        <v>1471</v>
      </c>
      <c r="H11" s="16">
        <f ca="1">CM11</f>
        <v>1163</v>
      </c>
      <c r="I11" s="16">
        <f t="shared" ca="1" si="17"/>
        <v>92.7</v>
      </c>
      <c r="J11" s="16">
        <f t="shared" ca="1" si="18"/>
        <v>1255</v>
      </c>
      <c r="K11" s="5">
        <v>-88937123.660000026</v>
      </c>
      <c r="L11" s="19">
        <f t="shared" ca="1" si="19"/>
        <v>-79474249.820000038</v>
      </c>
      <c r="M11" s="19">
        <f t="shared" ca="1" si="20"/>
        <v>-3113371.1919042906</v>
      </c>
      <c r="N11" s="19">
        <f t="shared" ca="1" si="21"/>
        <v>-171524744.67190436</v>
      </c>
      <c r="O11" s="19">
        <f t="shared" ca="1" si="22"/>
        <v>27718820.328095645</v>
      </c>
      <c r="P11" s="20">
        <f t="shared" ca="1" si="23"/>
        <v>0.86087972111874411</v>
      </c>
      <c r="Q11" s="20">
        <f>F11/$F$23</f>
        <v>7.4848943051738198E-2</v>
      </c>
      <c r="R11" s="16">
        <v>1321</v>
      </c>
      <c r="S11" s="16">
        <v>15116000</v>
      </c>
      <c r="T11" s="16"/>
      <c r="U11" s="16"/>
      <c r="V11" s="16"/>
      <c r="W11" s="16"/>
      <c r="X11" s="16"/>
      <c r="Y11" s="16"/>
      <c r="Z11" s="16">
        <v>1</v>
      </c>
      <c r="AA11" s="16"/>
      <c r="AB11" s="19"/>
      <c r="AC11" s="16">
        <f t="shared" ref="AC11:AC12" si="50">Z11</f>
        <v>1</v>
      </c>
      <c r="AD11" s="19"/>
      <c r="AE11" s="16"/>
      <c r="AF11" s="16"/>
      <c r="AG11" s="19"/>
      <c r="AH11" s="19"/>
      <c r="AI11" s="16"/>
      <c r="AJ11" s="19"/>
      <c r="AK11" s="16">
        <f t="shared" si="24"/>
        <v>1</v>
      </c>
      <c r="AL11" s="19"/>
      <c r="AM11" s="16"/>
      <c r="AN11" s="16"/>
      <c r="AO11" s="19"/>
      <c r="AP11" s="19"/>
      <c r="AQ11" s="16"/>
      <c r="AR11" s="19"/>
      <c r="AS11" s="16">
        <f>AK11</f>
        <v>1</v>
      </c>
      <c r="AT11" s="19"/>
      <c r="AU11" s="16"/>
      <c r="AV11" s="16"/>
      <c r="AW11" s="19"/>
      <c r="AX11" s="19"/>
      <c r="AY11" s="16"/>
      <c r="AZ11" s="19"/>
      <c r="BA11" s="16">
        <f t="shared" si="25"/>
        <v>1</v>
      </c>
      <c r="BB11" s="19"/>
      <c r="BC11" s="16"/>
      <c r="BD11" s="16"/>
      <c r="BE11" s="19"/>
      <c r="BF11" s="19"/>
      <c r="BG11" s="16" cm="1">
        <f t="array" aca="1" ref="BG11" ca="1">INDIRECT(ADDRESS(2,BG$1,,,B11))+INDIRECT(ADDRESS(3,BG$1,,,B11))</f>
        <v>1328</v>
      </c>
      <c r="BH11" s="19" cm="1">
        <f t="array" aca="1" ref="BH11" ca="1">-INDIRECT(ADDRESS(5,BG$1,,,B11))*BI11</f>
        <v>-16784080.530000001</v>
      </c>
      <c r="BI11" s="16">
        <f t="shared" si="26"/>
        <v>1</v>
      </c>
      <c r="BJ11" s="19">
        <f t="shared" ca="1" si="27"/>
        <v>-12638.614856927712</v>
      </c>
      <c r="BK11" s="16" cm="1">
        <f t="array" aca="1" ref="BK11" ca="1">INDIRECT(ADDRESS(15,BG$1,,,B11))+INDIRECT(ADDRESS(16,BG$1,,,B11))</f>
        <v>0</v>
      </c>
      <c r="BL11" s="16">
        <f t="shared" ca="1" si="28"/>
        <v>0</v>
      </c>
      <c r="BM11" s="19">
        <f t="shared" ca="1" si="29"/>
        <v>0</v>
      </c>
      <c r="BN11" s="19">
        <f t="shared" ca="1" si="30"/>
        <v>0</v>
      </c>
      <c r="BO11" s="16" cm="1">
        <f t="array" aca="1" ref="BO11" ca="1">INDIRECT(ADDRESS(2,BO$1,,,B11))+INDIRECT(ADDRESS(3,BO$1,,,B11))</f>
        <v>1236</v>
      </c>
      <c r="BP11" s="19" cm="1">
        <f t="array" aca="1" ref="BP11" ca="1">-INDIRECT(ADDRESS(5,BO$1,,,B11))*BQ11</f>
        <v>-15959344.22000001</v>
      </c>
      <c r="BQ11" s="16">
        <f t="shared" si="31"/>
        <v>1</v>
      </c>
      <c r="BR11" s="19">
        <f t="shared" ca="1" si="32"/>
        <v>-12912.090792880266</v>
      </c>
      <c r="BS11" s="16" cm="1">
        <f t="array" aca="1" ref="BS11" ca="1">INDIRECT(ADDRESS(15,BO$1,,,B11))+INDIRECT(ADDRESS(16,BO$1,,,B11))</f>
        <v>17</v>
      </c>
      <c r="BT11" s="16">
        <f t="shared" ca="1" si="33"/>
        <v>17.510000000000002</v>
      </c>
      <c r="BU11" s="19">
        <f t="shared" ca="1" si="34"/>
        <v>-267917.49109325017</v>
      </c>
      <c r="BV11" s="19">
        <f t="shared" ca="1" si="35"/>
        <v>-1071669.9643730007</v>
      </c>
      <c r="BW11" s="16" cm="1">
        <f t="array" aca="1" ref="BW11" ca="1">INDIRECT(ADDRESS(2,BW$1,,,B11))+INDIRECT(ADDRESS(3,BW$1,,,B11))</f>
        <v>1229</v>
      </c>
      <c r="BX11" s="19" cm="1">
        <f t="array" aca="1" ref="BX11" ca="1">-INDIRECT(ADDRESS(5,BW$1,,,B11))*BY11</f>
        <v>-15891804.910000009</v>
      </c>
      <c r="BY11" s="16">
        <f t="shared" si="36"/>
        <v>1</v>
      </c>
      <c r="BZ11" s="19">
        <f t="shared" ca="1" si="37"/>
        <v>-12930.679340927591</v>
      </c>
      <c r="CA11" s="16" cm="1">
        <f t="array" aca="1" ref="CA11" ca="1">INDIRECT(ADDRESS(15,BW$1,,,B11))+INDIRECT(ADDRESS(16,BW$1,,,B11))</f>
        <v>7</v>
      </c>
      <c r="CB11" s="16">
        <f t="shared" ca="1" si="38"/>
        <v>7.21</v>
      </c>
      <c r="CC11" s="19">
        <f t="shared" ca="1" si="39"/>
        <v>-110477.78468698419</v>
      </c>
      <c r="CD11" s="19">
        <f ca="1">CC11*3</f>
        <v>-331433.35406095255</v>
      </c>
      <c r="CE11" s="16" cm="1">
        <f t="array" aca="1" ref="CE11" ca="1">INDIRECT(ADDRESS(2,CE$1,,,B11))+INDIRECT(ADDRESS(3,CE$1,,,B11))</f>
        <v>1188</v>
      </c>
      <c r="CF11" s="19" cm="1">
        <f t="array" aca="1" ref="CF11" ca="1">-INDIRECT(ADDRESS(5,CE$1,,,B11))*CG11</f>
        <v>-15534344.580000009</v>
      </c>
      <c r="CG11" s="16">
        <f t="shared" si="40"/>
        <v>1</v>
      </c>
      <c r="CH11" s="19">
        <f t="shared" ca="1" si="41"/>
        <v>-13076.047626262634</v>
      </c>
      <c r="CI11" s="16" cm="1">
        <f t="array" aca="1" ref="CI11" ca="1">INDIRECT(ADDRESS(15,CE$1,,,B11))+INDIRECT(ADDRESS(16,CE$1,,,B11))</f>
        <v>41</v>
      </c>
      <c r="CJ11" s="16">
        <f t="shared" ca="1" si="42"/>
        <v>42.230000000000004</v>
      </c>
      <c r="CK11" s="19">
        <f t="shared" ca="1" si="43"/>
        <v>-654358.76713962923</v>
      </c>
      <c r="CL11" s="19">
        <f t="shared" ca="1" si="44"/>
        <v>-1308717.5342792585</v>
      </c>
      <c r="CM11" s="16" cm="1">
        <f t="array" aca="1" ref="CM11" ca="1">INDIRECT(ADDRESS(2,CM$1,,,B11))+INDIRECT(ADDRESS(3,CM$1,,,B11))</f>
        <v>1163</v>
      </c>
      <c r="CN11" s="19" cm="1">
        <f t="array" aca="1" ref="CN11" ca="1">-INDIRECT(ADDRESS(5,CM$1,,,B11))*CO11</f>
        <v>-15304675.580000009</v>
      </c>
      <c r="CO11" s="16">
        <f t="shared" si="45"/>
        <v>1</v>
      </c>
      <c r="CP11" s="19">
        <f t="shared" ca="1" si="46"/>
        <v>-13159.652261392957</v>
      </c>
      <c r="CQ11" s="16" cm="1">
        <f t="array" aca="1" ref="CQ11" ca="1">INDIRECT(ADDRESS(15,CM$1,,,B11))+INDIRECT(ADDRESS(16,CM$1,,,B11))</f>
        <v>25</v>
      </c>
      <c r="CR11" s="16">
        <f t="shared" ca="1" si="47"/>
        <v>25.75</v>
      </c>
      <c r="CS11" s="19">
        <f t="shared" ca="1" si="48"/>
        <v>-401550.33919107937</v>
      </c>
      <c r="CT11" s="19">
        <f ca="1">CS11*1</f>
        <v>-401550.33919107937</v>
      </c>
      <c r="CW11" s="5">
        <f>AZ11</f>
        <v>0</v>
      </c>
      <c r="CX11" s="5">
        <f t="shared" si="49"/>
        <v>0</v>
      </c>
      <c r="CY11" s="5">
        <f>K11</f>
        <v>-88937123.660000026</v>
      </c>
      <c r="CZ11" s="21"/>
      <c r="DA11" s="5"/>
    </row>
    <row r="12" spans="1:105" x14ac:dyDescent="0.35">
      <c r="A12" s="16" t="s">
        <v>127</v>
      </c>
      <c r="B12" s="16" t="s">
        <v>107</v>
      </c>
      <c r="C12" s="17"/>
      <c r="D12" s="18">
        <v>0.09</v>
      </c>
      <c r="E12" s="18">
        <f>76%/2</f>
        <v>0.38</v>
      </c>
      <c r="F12" s="19">
        <v>24454461</v>
      </c>
      <c r="G12" s="16">
        <v>179</v>
      </c>
      <c r="H12" s="16">
        <f t="shared" ref="H12:H14" ca="1" si="51">CM12</f>
        <v>161</v>
      </c>
      <c r="I12" s="16">
        <f t="shared" ca="1" si="17"/>
        <v>14.17</v>
      </c>
      <c r="J12" s="16">
        <f t="shared" ca="1" si="18"/>
        <v>175</v>
      </c>
      <c r="K12" s="5">
        <v>-13748320.859999998</v>
      </c>
      <c r="L12" s="19">
        <f ca="1">AB12+AJ12+AR12+AZ12+BH12+BP12+BX12+CF12+CN12</f>
        <v>-13993089.840000009</v>
      </c>
      <c r="M12" s="19">
        <f t="shared" ca="1" si="20"/>
        <v>-875087.79310635477</v>
      </c>
      <c r="N12" s="19">
        <f t="shared" ca="1" si="21"/>
        <v>-28616498.493106361</v>
      </c>
      <c r="O12" s="19">
        <f t="shared" ca="1" si="22"/>
        <v>-4162037.4931063615</v>
      </c>
      <c r="P12" s="20">
        <f t="shared" ca="1" si="23"/>
        <v>1.1701954295008326</v>
      </c>
      <c r="Q12" s="20">
        <f>F12/$F$23</f>
        <v>9.1866984951305842E-3</v>
      </c>
      <c r="R12" s="16">
        <v>182</v>
      </c>
      <c r="S12" s="16">
        <v>2365000</v>
      </c>
      <c r="T12" s="16"/>
      <c r="U12" s="16"/>
      <c r="V12" s="16"/>
      <c r="W12" s="16"/>
      <c r="X12" s="16"/>
      <c r="Y12" s="16"/>
      <c r="Z12" s="16">
        <v>1</v>
      </c>
      <c r="AA12" s="16"/>
      <c r="AB12" s="19"/>
      <c r="AC12" s="16">
        <f t="shared" si="50"/>
        <v>1</v>
      </c>
      <c r="AD12" s="19"/>
      <c r="AE12" s="16"/>
      <c r="AF12" s="16"/>
      <c r="AG12" s="19"/>
      <c r="AH12" s="19"/>
      <c r="AI12" s="16"/>
      <c r="AJ12" s="19"/>
      <c r="AK12" s="16">
        <f t="shared" si="24"/>
        <v>1</v>
      </c>
      <c r="AL12" s="19"/>
      <c r="AM12" s="16"/>
      <c r="AN12" s="16"/>
      <c r="AO12" s="19"/>
      <c r="AP12" s="19"/>
      <c r="AQ12" s="16"/>
      <c r="AR12" s="19"/>
      <c r="AS12" s="16">
        <f>AK12</f>
        <v>1</v>
      </c>
      <c r="AT12" s="19"/>
      <c r="AU12" s="16"/>
      <c r="AV12" s="16"/>
      <c r="AW12" s="19"/>
      <c r="AX12" s="19"/>
      <c r="AY12" s="16"/>
      <c r="AZ12" s="19"/>
      <c r="BA12" s="16">
        <f t="shared" si="25"/>
        <v>1</v>
      </c>
      <c r="BB12" s="19"/>
      <c r="BC12" s="16"/>
      <c r="BD12" s="16"/>
      <c r="BE12" s="19"/>
      <c r="BF12" s="19"/>
      <c r="BG12" s="16" cm="1">
        <f t="array" aca="1" ref="BG12" ca="1">INDIRECT(ADDRESS(2,BG$1,,,B12))+INDIRECT(ADDRESS(3,BG$1,,,B12))</f>
        <v>190</v>
      </c>
      <c r="BH12" s="19" cm="1">
        <f t="array" aca="1" ref="BH12" ca="1">-INDIRECT(ADDRESS(5,BG$1,,,B12))*BI12</f>
        <v>-2983657.86</v>
      </c>
      <c r="BI12" s="16">
        <f t="shared" si="26"/>
        <v>1</v>
      </c>
      <c r="BJ12" s="19">
        <f t="shared" ca="1" si="27"/>
        <v>-15703.462421052631</v>
      </c>
      <c r="BK12" s="16" cm="1">
        <f t="array" aca="1" ref="BK12" ca="1">INDIRECT(ADDRESS(15,BG$1,,,B12))+INDIRECT(ADDRESS(16,BG$1,,,B12))</f>
        <v>0</v>
      </c>
      <c r="BL12" s="16">
        <f t="shared" ca="1" si="28"/>
        <v>0</v>
      </c>
      <c r="BM12" s="19">
        <f t="shared" ca="1" si="29"/>
        <v>0</v>
      </c>
      <c r="BN12" s="19">
        <f t="shared" ca="1" si="30"/>
        <v>0</v>
      </c>
      <c r="BO12" s="16" cm="1">
        <f t="array" aca="1" ref="BO12" ca="1">INDIRECT(ADDRESS(2,BO$1,,,B12))+INDIRECT(ADDRESS(3,BO$1,,,B12))</f>
        <v>172</v>
      </c>
      <c r="BP12" s="19" cm="1">
        <f t="array" aca="1" ref="BP12" ca="1">-INDIRECT(ADDRESS(5,BO$1,,,B12))*BQ12</f>
        <v>-2821250.910000002</v>
      </c>
      <c r="BQ12" s="16">
        <f t="shared" si="31"/>
        <v>1</v>
      </c>
      <c r="BR12" s="19">
        <f t="shared" ca="1" si="32"/>
        <v>-16402.621569767452</v>
      </c>
      <c r="BS12" s="16" cm="1">
        <f t="array" aca="1" ref="BS12" ca="1">INDIRECT(ADDRESS(15,BO$1,,,B12))+INDIRECT(ADDRESS(16,BO$1,,,B12))</f>
        <v>2</v>
      </c>
      <c r="BT12" s="16">
        <f t="shared" ca="1" si="33"/>
        <v>2.1800000000000002</v>
      </c>
      <c r="BU12" s="19">
        <f t="shared" ca="1" si="34"/>
        <v>-49345.646730488406</v>
      </c>
      <c r="BV12" s="19">
        <f t="shared" ca="1" si="35"/>
        <v>-197382.58692195363</v>
      </c>
      <c r="BW12" s="16" cm="1">
        <f t="array" aca="1" ref="BW12" ca="1">INDIRECT(ADDRESS(2,BW$1,,,B12))+INDIRECT(ADDRESS(3,BW$1,,,B12))</f>
        <v>165</v>
      </c>
      <c r="BX12" s="19" cm="1">
        <f t="array" aca="1" ref="BX12" ca="1">-INDIRECT(ADDRESS(5,BW$1,,,B12))*BY12</f>
        <v>-2749320.4600000018</v>
      </c>
      <c r="BY12" s="16">
        <f t="shared" si="36"/>
        <v>1</v>
      </c>
      <c r="BZ12" s="19">
        <f t="shared" ca="1" si="37"/>
        <v>-16662.548242424255</v>
      </c>
      <c r="CA12" s="16" cm="1">
        <f t="array" aca="1" ref="CA12" ca="1">INDIRECT(ADDRESS(15,BW$1,,,B12))+INDIRECT(ADDRESS(16,BW$1,,,B12))</f>
        <v>7</v>
      </c>
      <c r="CB12" s="16">
        <f t="shared" ca="1" si="38"/>
        <v>7.6300000000000008</v>
      </c>
      <c r="CC12" s="19">
        <f t="shared" ca="1" si="39"/>
        <v>-175446.63546378195</v>
      </c>
      <c r="CD12" s="19">
        <f ca="1">CC12*3</f>
        <v>-526339.9063913459</v>
      </c>
      <c r="CE12" s="16" cm="1">
        <f t="array" aca="1" ref="CE12" ca="1">INDIRECT(ADDRESS(2,CE$1,,,B12))+INDIRECT(ADDRESS(3,CE$1,,,B12))</f>
        <v>163</v>
      </c>
      <c r="CF12" s="19" cm="1">
        <f t="array" aca="1" ref="CF12" ca="1">-INDIRECT(ADDRESS(5,CE$1,,,B12))*CG12</f>
        <v>-2728690.5600000019</v>
      </c>
      <c r="CG12" s="16">
        <f t="shared" si="40"/>
        <v>1</v>
      </c>
      <c r="CH12" s="19">
        <f t="shared" ca="1" si="41"/>
        <v>-16740.432883435595</v>
      </c>
      <c r="CI12" s="16" cm="1">
        <f t="array" aca="1" ref="CI12" ca="1">INDIRECT(ADDRESS(15,CE$1,,,B12))+INDIRECT(ADDRESS(16,CE$1,,,B12))</f>
        <v>2</v>
      </c>
      <c r="CJ12" s="16">
        <f t="shared" ca="1" si="42"/>
        <v>2.1800000000000002</v>
      </c>
      <c r="CK12" s="19">
        <f t="shared" ca="1" si="43"/>
        <v>-50361.918286527645</v>
      </c>
      <c r="CL12" s="19">
        <f t="shared" ca="1" si="44"/>
        <v>-100723.83657305529</v>
      </c>
      <c r="CM12" s="16" cm="1">
        <f t="array" aca="1" ref="CM12" ca="1">INDIRECT(ADDRESS(2,CM$1,,,B12))+INDIRECT(ADDRESS(3,CM$1,,,B12))</f>
        <v>161</v>
      </c>
      <c r="CN12" s="19" cm="1">
        <f t="array" aca="1" ref="CN12" ca="1">-INDIRECT(ADDRESS(5,CM$1,,,B12))*CO12</f>
        <v>-2710170.0500000021</v>
      </c>
      <c r="CO12" s="16">
        <f t="shared" si="45"/>
        <v>1</v>
      </c>
      <c r="CP12" s="19">
        <f t="shared" ca="1" si="46"/>
        <v>-16833.354347826102</v>
      </c>
      <c r="CQ12" s="16" cm="1">
        <f t="array" aca="1" ref="CQ12" ca="1">INDIRECT(ADDRESS(15,CM$1,,,B12))+INDIRECT(ADDRESS(16,CM$1,,,B12))</f>
        <v>2</v>
      </c>
      <c r="CR12" s="16">
        <f t="shared" ca="1" si="47"/>
        <v>2.1800000000000002</v>
      </c>
      <c r="CS12" s="19">
        <f t="shared" ca="1" si="48"/>
        <v>-50641.463220000041</v>
      </c>
      <c r="CT12" s="19">
        <f ca="1">CS12*1</f>
        <v>-50641.463220000041</v>
      </c>
      <c r="CW12" s="5">
        <f>AZ12</f>
        <v>0</v>
      </c>
      <c r="CX12" s="5">
        <f t="shared" si="49"/>
        <v>0</v>
      </c>
      <c r="CY12" s="5">
        <f>K12</f>
        <v>-13748320.859999998</v>
      </c>
      <c r="CZ12" s="21"/>
      <c r="DA12" s="5"/>
    </row>
    <row r="13" spans="1:105" x14ac:dyDescent="0.35">
      <c r="D13" s="8"/>
      <c r="E13" s="8"/>
      <c r="F13" s="5"/>
      <c r="K13" s="5"/>
      <c r="L13" s="5"/>
      <c r="M13" s="5"/>
      <c r="N13" s="5"/>
      <c r="O13" s="5"/>
      <c r="P13" s="5"/>
      <c r="Q13" s="5"/>
    </row>
    <row r="14" spans="1:105" x14ac:dyDescent="0.35">
      <c r="A14" s="16" t="s">
        <v>111</v>
      </c>
      <c r="B14" s="16" t="s">
        <v>183</v>
      </c>
      <c r="C14" s="22">
        <f>F14/SUM($F$14:$F$17)</f>
        <v>8.5749985538988147E-2</v>
      </c>
      <c r="D14" s="18">
        <v>0.09</v>
      </c>
      <c r="E14" s="18">
        <f>29%/2</f>
        <v>0.14499999999999999</v>
      </c>
      <c r="F14" s="19">
        <v>170565897</v>
      </c>
      <c r="G14" s="16">
        <v>669</v>
      </c>
      <c r="H14" s="16">
        <f t="shared" ref="H14:H17" ca="1" si="52">CM14</f>
        <v>710</v>
      </c>
      <c r="I14" s="16">
        <f t="shared" ref="I14:I17" ca="1" si="53">AF14+AN14+AV14+BD14+BL14+BT14+CB14+CJ14+CR14</f>
        <v>37.06</v>
      </c>
      <c r="J14" s="16">
        <f t="shared" ref="J14:J17" ca="1" si="54">H14+INT(I14)</f>
        <v>747</v>
      </c>
      <c r="K14" s="5">
        <v>-89936593.436197951</v>
      </c>
      <c r="L14" s="19">
        <f t="shared" ref="L14:L17" ca="1" si="55">AB14+AJ14+AR14+AZ14+BH14+BP14+BX14+CF14+CN14</f>
        <v>-73724791.760000005</v>
      </c>
      <c r="M14" s="19">
        <f t="shared" ref="M14:M17" ca="1" si="56">AH14+AP14+AX14+BF14+BN14+BV14+CD14+CL14+CT14</f>
        <v>-1909576.1807649368</v>
      </c>
      <c r="N14" s="19">
        <f t="shared" ref="N14:N17" ca="1" si="57">K14+L14+M14</f>
        <v>-165570961.3769629</v>
      </c>
      <c r="O14" s="19">
        <f t="shared" ref="O14:O17" ca="1" si="58">N14+F14</f>
        <v>4994935.6230370998</v>
      </c>
      <c r="P14" s="20">
        <f t="shared" ref="P14:P21" ca="1" si="59">-N14/F14</f>
        <v>0.97071550813562046</v>
      </c>
      <c r="Q14" s="20">
        <f t="shared" ref="Q14:Q17" si="60">F14/$F$23</f>
        <v>6.4075731184199819E-2</v>
      </c>
      <c r="R14" s="16">
        <v>688</v>
      </c>
      <c r="S14" s="16">
        <v>10303289</v>
      </c>
      <c r="T14" s="16"/>
      <c r="U14" s="16"/>
      <c r="V14" s="16"/>
      <c r="W14" s="16"/>
      <c r="X14" s="16"/>
      <c r="Y14" s="16"/>
      <c r="Z14" s="16">
        <v>1</v>
      </c>
      <c r="AA14" s="16"/>
      <c r="AB14" s="19"/>
      <c r="AC14" s="16">
        <f t="shared" ref="AC14:AC17" si="61">Z14</f>
        <v>1</v>
      </c>
      <c r="AD14" s="19"/>
      <c r="AE14" s="16"/>
      <c r="AF14" s="16"/>
      <c r="AG14" s="19"/>
      <c r="AH14" s="19"/>
      <c r="AI14" s="16"/>
      <c r="AJ14" s="19"/>
      <c r="AK14" s="16">
        <f t="shared" ref="AK14:AK17" si="62">AC14</f>
        <v>1</v>
      </c>
      <c r="AL14" s="19"/>
      <c r="AM14" s="16"/>
      <c r="AN14" s="16"/>
      <c r="AO14" s="19"/>
      <c r="AP14" s="19"/>
      <c r="AQ14" s="16"/>
      <c r="AR14" s="19"/>
      <c r="AS14" s="16">
        <f>AK14</f>
        <v>1</v>
      </c>
      <c r="AT14" s="19"/>
      <c r="AU14" s="16"/>
      <c r="AV14" s="16"/>
      <c r="AW14" s="19"/>
      <c r="AX14" s="19"/>
      <c r="AY14" s="16"/>
      <c r="AZ14" s="19"/>
      <c r="BA14" s="16">
        <f t="shared" ref="BA14:BA17" si="63">AS14</f>
        <v>1</v>
      </c>
      <c r="BB14" s="19"/>
      <c r="BC14" s="16"/>
      <c r="BD14" s="16"/>
      <c r="BE14" s="19"/>
      <c r="BF14" s="19"/>
      <c r="BG14" s="16" cm="1">
        <f t="array" aca="1" ref="BG14" ca="1">INDIRECT(ADDRESS(2,BG$1,,,A14))+INDIRECT(ADDRESS(3,BG$1,,,A14))</f>
        <v>784</v>
      </c>
      <c r="BH14" s="19" cm="1">
        <f t="array" aca="1" ref="BH14" ca="1">-INDIRECT(ADDRESS(5,BG$1,,,A14))*BI14</f>
        <v>-15289625.23</v>
      </c>
      <c r="BI14" s="16">
        <f t="shared" ref="BI14:BI17" si="64">BA14</f>
        <v>1</v>
      </c>
      <c r="BJ14" s="19">
        <f t="shared" ref="BJ14:BJ17" ca="1" si="65">BH14/BG14</f>
        <v>-19502.07299744898</v>
      </c>
      <c r="BK14" s="16" cm="1">
        <f t="array" aca="1" ref="BK14" ca="1">INDIRECT(ADDRESS(15,BG$1,,,A14))+INDIRECT(ADDRESS(16,BG$1,,,A14))</f>
        <v>0</v>
      </c>
      <c r="BL14" s="16">
        <f t="shared" ref="BL14" ca="1" si="66">BK14*(1+$D14)</f>
        <v>0</v>
      </c>
      <c r="BM14" s="19">
        <f t="shared" ref="BM14" ca="1" si="67">BJ14*(1+$E14)*BL14</f>
        <v>0</v>
      </c>
      <c r="BN14" s="19">
        <f t="shared" ref="BN14:BN17" ca="1" si="68">BM14*5</f>
        <v>0</v>
      </c>
      <c r="BO14" s="16" cm="1">
        <f t="array" aca="1" ref="BO14" ca="1">INDIRECT(ADDRESS(2,BO$1,,,A14))+INDIRECT(ADDRESS(3,BO$1,,,A14))</f>
        <v>740</v>
      </c>
      <c r="BP14" s="19" cm="1">
        <f t="array" aca="1" ref="BP14" ca="1">-INDIRECT(ADDRESS(5,BO$1,,,A14))*BQ14</f>
        <v>-14765783.470000001</v>
      </c>
      <c r="BQ14" s="16">
        <f t="shared" ref="BQ14:BQ17" si="69">BI14</f>
        <v>1</v>
      </c>
      <c r="BR14" s="19">
        <f t="shared" ref="BR14:BR17" ca="1" si="70">BP14/BO14</f>
        <v>-19953.761445945947</v>
      </c>
      <c r="BS14" s="16" cm="1">
        <f t="array" aca="1" ref="BS14" ca="1">INDIRECT(ADDRESS(15,BO$1,,,A14))+INDIRECT(ADDRESS(16,BO$1,,,A14))</f>
        <v>4</v>
      </c>
      <c r="BT14" s="16">
        <f t="shared" ref="BT14" ca="1" si="71">BS14*(1+$D14)</f>
        <v>4.3600000000000003</v>
      </c>
      <c r="BU14" s="19">
        <f t="shared" ref="BU14" ca="1" si="72">BR14*(1+$E14)*BT14</f>
        <v>-99613.167890451368</v>
      </c>
      <c r="BV14" s="19">
        <f t="shared" ref="BV14:BV17" ca="1" si="73">BU14*4</f>
        <v>-398452.67156180547</v>
      </c>
      <c r="BW14" s="16" cm="1">
        <f t="array" aca="1" ref="BW14" ca="1">INDIRECT(ADDRESS(2,BW$1,,,A14))+INDIRECT(ADDRESS(3,BW$1,,,A14))</f>
        <v>728</v>
      </c>
      <c r="BX14" s="19" cm="1">
        <f t="array" aca="1" ref="BX14" ca="1">-INDIRECT(ADDRESS(5,BW$1,,,A14))*BY14</f>
        <v>-14648978.140000001</v>
      </c>
      <c r="BY14" s="16">
        <f t="shared" ref="BY14:BY17" si="74">BQ14</f>
        <v>1</v>
      </c>
      <c r="BZ14" s="19">
        <f t="shared" ref="BZ14:BZ17" ca="1" si="75">BX14/BW14</f>
        <v>-20122.22271978022</v>
      </c>
      <c r="CA14" s="16" cm="1">
        <f t="array" aca="1" ref="CA14" ca="1">INDIRECT(ADDRESS(15,BW$1,,,A14))+INDIRECT(ADDRESS(16,BW$1,,,A14))</f>
        <v>12</v>
      </c>
      <c r="CB14" s="16">
        <f t="shared" ref="CB14" ca="1" si="76">CA14*(1+$D14)</f>
        <v>13.080000000000002</v>
      </c>
      <c r="CC14" s="19">
        <f t="shared" ref="CC14" ca="1" si="77">BZ14*(1+$E14)*CB14</f>
        <v>-301362.4807850605</v>
      </c>
      <c r="CD14" s="19">
        <f ca="1">CC14*3</f>
        <v>-904087.44235518156</v>
      </c>
      <c r="CE14" s="16" cm="1">
        <f t="array" aca="1" ref="CE14" ca="1">INDIRECT(ADDRESS(2,CE$1,,,A14))+INDIRECT(ADDRESS(3,CE$1,,,A14))</f>
        <v>722</v>
      </c>
      <c r="CF14" s="19" cm="1">
        <f t="array" aca="1" ref="CF14" ca="1">-INDIRECT(ADDRESS(5,CE$1,,,A14))*CG14</f>
        <v>-14588662.529999999</v>
      </c>
      <c r="CG14" s="16">
        <f t="shared" ref="CG14:CG17" si="78">BY14</f>
        <v>1</v>
      </c>
      <c r="CH14" s="19">
        <f t="shared" ref="CH14:CH17" ca="1" si="79">CF14/CE14</f>
        <v>-20205.903781163433</v>
      </c>
      <c r="CI14" s="16" cm="1">
        <f t="array" aca="1" ref="CI14" ca="1">INDIRECT(ADDRESS(15,CE$1,,,A14))+INDIRECT(ADDRESS(16,CE$1,,,A14))</f>
        <v>6</v>
      </c>
      <c r="CJ14" s="16">
        <f t="shared" ref="CJ14" ca="1" si="80">CI14*(1+$D14)</f>
        <v>6.5400000000000009</v>
      </c>
      <c r="CK14" s="19">
        <f t="shared" ref="CK14" ca="1" si="81">CH14*(1+$E14)*CJ14</f>
        <v>-151307.86928448617</v>
      </c>
      <c r="CL14" s="19">
        <f t="shared" ref="CL14:CL17" ca="1" si="82">CK14*2</f>
        <v>-302615.73856897233</v>
      </c>
      <c r="CM14" s="16" cm="1">
        <f t="array" aca="1" ref="CM14" ca="1">INDIRECT(ADDRESS(2,CM$1,,,A14))+INDIRECT(ADDRESS(3,CM$1,,,A14))</f>
        <v>710</v>
      </c>
      <c r="CN14" s="19" cm="1">
        <f t="array" aca="1" ref="CN14" ca="1">-INDIRECT(ADDRESS(5,CM$1,,,A14))*CO14</f>
        <v>-14431742.390000001</v>
      </c>
      <c r="CO14" s="16">
        <f t="shared" ref="CO14:CO17" si="83">CG14</f>
        <v>1</v>
      </c>
      <c r="CP14" s="19">
        <f t="shared" ref="CP14:CP17" ca="1" si="84">CN14/CM14</f>
        <v>-20326.397732394365</v>
      </c>
      <c r="CQ14" s="16" cm="1">
        <f t="array" aca="1" ref="CQ14" ca="1">INDIRECT(ADDRESS(15,CM$1,,,A14))+INDIRECT(ADDRESS(16,CM$1,,,A14))</f>
        <v>12</v>
      </c>
      <c r="CR14" s="16">
        <f t="shared" ref="CR14" ca="1" si="85">CQ14*(1+$D14)</f>
        <v>13.080000000000002</v>
      </c>
      <c r="CS14" s="19">
        <f t="shared" ref="CS14" ca="1" si="86">CP14*(1+$E14)*CR14</f>
        <v>-304420.32827897754</v>
      </c>
      <c r="CT14" s="19">
        <f ca="1">CS14*1</f>
        <v>-304420.32827897754</v>
      </c>
      <c r="CW14" s="5">
        <f>AZ14</f>
        <v>0</v>
      </c>
      <c r="CX14" s="5">
        <f t="shared" ref="CX14:CX17" si="87">CW14*6</f>
        <v>0</v>
      </c>
      <c r="CY14" s="5">
        <f>K14</f>
        <v>-89936593.436197951</v>
      </c>
      <c r="CZ14" s="21"/>
      <c r="DA14" s="5"/>
    </row>
    <row r="15" spans="1:105" x14ac:dyDescent="0.35">
      <c r="A15" s="16" t="s">
        <v>110</v>
      </c>
      <c r="B15" s="16" t="s">
        <v>183</v>
      </c>
      <c r="C15" s="22">
        <f>F15/SUM($F$14:$F$17)</f>
        <v>0.63886681820877367</v>
      </c>
      <c r="D15" s="18">
        <v>0.09</v>
      </c>
      <c r="E15" s="18">
        <f t="shared" ref="E15:E17" si="88">29%/2</f>
        <v>0.14499999999999999</v>
      </c>
      <c r="F15" s="19">
        <v>1270774464</v>
      </c>
      <c r="G15" s="16">
        <v>10490</v>
      </c>
      <c r="H15" s="16">
        <f t="shared" ca="1" si="52"/>
        <v>7650</v>
      </c>
      <c r="I15" s="16">
        <f t="shared" ca="1" si="53"/>
        <v>914.51</v>
      </c>
      <c r="J15" s="16">
        <f t="shared" ca="1" si="54"/>
        <v>8564</v>
      </c>
      <c r="K15" s="5">
        <v>-670058483.71829188</v>
      </c>
      <c r="L15" s="19">
        <f t="shared" ca="1" si="55"/>
        <v>-468158151.20000029</v>
      </c>
      <c r="M15" s="19">
        <f t="shared" ca="1" si="56"/>
        <v>-29404517.380130395</v>
      </c>
      <c r="N15" s="19">
        <f t="shared" ca="1" si="57"/>
        <v>-1167621152.2984223</v>
      </c>
      <c r="O15" s="19">
        <f t="shared" ca="1" si="58"/>
        <v>103153311.70157766</v>
      </c>
      <c r="P15" s="20">
        <f t="shared" ca="1" si="59"/>
        <v>0.91882642071915477</v>
      </c>
      <c r="Q15" s="20">
        <f t="shared" si="60"/>
        <v>0.47738618553396761</v>
      </c>
      <c r="R15" s="16">
        <v>9348</v>
      </c>
      <c r="S15" s="16">
        <v>76763043</v>
      </c>
      <c r="T15" s="16"/>
      <c r="U15" s="16"/>
      <c r="V15" s="16"/>
      <c r="W15" s="16"/>
      <c r="X15" s="16"/>
      <c r="Y15" s="16"/>
      <c r="Z15" s="16">
        <v>1</v>
      </c>
      <c r="AA15" s="16"/>
      <c r="AB15" s="19"/>
      <c r="AC15" s="16">
        <f t="shared" si="61"/>
        <v>1</v>
      </c>
      <c r="AD15" s="19"/>
      <c r="AE15" s="16"/>
      <c r="AF15" s="16"/>
      <c r="AG15" s="19"/>
      <c r="AH15" s="19"/>
      <c r="AI15" s="16"/>
      <c r="AJ15" s="19"/>
      <c r="AK15" s="16">
        <f t="shared" si="62"/>
        <v>1</v>
      </c>
      <c r="AL15" s="19"/>
      <c r="AM15" s="16"/>
      <c r="AN15" s="16"/>
      <c r="AO15" s="19"/>
      <c r="AP15" s="19"/>
      <c r="AQ15" s="16"/>
      <c r="AR15" s="19"/>
      <c r="AS15" s="16">
        <f>AK15</f>
        <v>1</v>
      </c>
      <c r="AT15" s="19"/>
      <c r="AU15" s="16"/>
      <c r="AV15" s="16"/>
      <c r="AW15" s="19"/>
      <c r="AX15" s="19"/>
      <c r="AY15" s="16"/>
      <c r="AZ15" s="19"/>
      <c r="BA15" s="16">
        <f t="shared" si="63"/>
        <v>1</v>
      </c>
      <c r="BB15" s="19"/>
      <c r="BC15" s="16"/>
      <c r="BD15" s="16"/>
      <c r="BE15" s="19"/>
      <c r="BF15" s="19"/>
      <c r="BG15" s="16" cm="1">
        <f t="array" aca="1" ref="BG15" ca="1">INDIRECT(ADDRESS(2,BG$1,,,A15))+INDIRECT(ADDRESS(3,BG$1,,,A15))</f>
        <v>9401</v>
      </c>
      <c r="BH15" s="19" cm="1">
        <f t="array" aca="1" ref="BH15" ca="1">-INDIRECT(ADDRESS(5,BG$1,,,A15))*BI15</f>
        <v>-105469746.73999991</v>
      </c>
      <c r="BI15" s="16">
        <f t="shared" si="64"/>
        <v>1</v>
      </c>
      <c r="BJ15" s="19">
        <f t="shared" ca="1" si="65"/>
        <v>-11218.992313583651</v>
      </c>
      <c r="BK15" s="16" cm="1">
        <f t="array" aca="1" ref="BK15" ca="1">INDIRECT(ADDRESS(15,BG$1,,,A15))+INDIRECT(ADDRESS(16,BG$1,,,A15))</f>
        <v>0</v>
      </c>
      <c r="BL15" s="16">
        <f ca="1">BK15*(1+$D15)</f>
        <v>0</v>
      </c>
      <c r="BM15" s="19">
        <f ca="1">BJ15*(1+$E15)*BL15</f>
        <v>0</v>
      </c>
      <c r="BN15" s="19">
        <f t="shared" ca="1" si="68"/>
        <v>0</v>
      </c>
      <c r="BO15" s="16" cm="1">
        <f t="array" aca="1" ref="BO15" ca="1">INDIRECT(ADDRESS(2,BO$1,,,A15))+INDIRECT(ADDRESS(3,BO$1,,,A15))</f>
        <v>8286</v>
      </c>
      <c r="BP15" s="19" cm="1">
        <f t="array" aca="1" ref="BP15" ca="1">-INDIRECT(ADDRESS(5,BO$1,,,A15))*BQ15</f>
        <v>-93751568.339999989</v>
      </c>
      <c r="BQ15" s="16">
        <f t="shared" si="69"/>
        <v>1</v>
      </c>
      <c r="BR15" s="19">
        <f t="shared" ca="1" si="70"/>
        <v>-11314.454301230991</v>
      </c>
      <c r="BS15" s="16" cm="1">
        <f t="array" aca="1" ref="BS15" ca="1">INDIRECT(ADDRESS(15,BO$1,,,A15))+INDIRECT(ADDRESS(16,BO$1,,,A15))</f>
        <v>203</v>
      </c>
      <c r="BT15" s="16">
        <f ca="1">BS15*(1+$D15)</f>
        <v>221.27</v>
      </c>
      <c r="BU15" s="19">
        <f ca="1">BR15*(1+$E15)*BT15</f>
        <v>-2866563.9522022218</v>
      </c>
      <c r="BV15" s="19">
        <f t="shared" ca="1" si="73"/>
        <v>-11466255.808808887</v>
      </c>
      <c r="BW15" s="16" cm="1">
        <f t="array" aca="1" ref="BW15" ca="1">INDIRECT(ADDRESS(2,BW$1,,,A15))+INDIRECT(ADDRESS(3,BW$1,,,A15))</f>
        <v>8075</v>
      </c>
      <c r="BX15" s="19" cm="1">
        <f t="array" aca="1" ref="BX15" ca="1">-INDIRECT(ADDRESS(5,BW$1,,,A15))*BY15</f>
        <v>-91535497.400000095</v>
      </c>
      <c r="BY15" s="16">
        <f t="shared" si="74"/>
        <v>1</v>
      </c>
      <c r="BZ15" s="19">
        <f t="shared" ca="1" si="75"/>
        <v>-11335.665312693511</v>
      </c>
      <c r="CA15" s="16" cm="1">
        <f t="array" aca="1" ref="CA15" ca="1">INDIRECT(ADDRESS(15,BW$1,,,A15))+INDIRECT(ADDRESS(16,BW$1,,,A15))</f>
        <v>211</v>
      </c>
      <c r="CB15" s="16">
        <f ca="1">CA15*(1+$D15)</f>
        <v>229.99</v>
      </c>
      <c r="CC15" s="19">
        <f ca="1">BZ15*(1+$E15)*CB15</f>
        <v>-2985117.6667300058</v>
      </c>
      <c r="CD15" s="19">
        <f ca="1">CC15*3</f>
        <v>-8955353.0001900177</v>
      </c>
      <c r="CE15" s="16" cm="1">
        <f t="array" aca="1" ref="CE15" ca="1">INDIRECT(ADDRESS(2,CE$1,,,A15))+INDIRECT(ADDRESS(3,CE$1,,,A15))</f>
        <v>7870</v>
      </c>
      <c r="CF15" s="19" cm="1">
        <f t="array" aca="1" ref="CF15" ca="1">-INDIRECT(ADDRESS(5,CE$1,,,A15))*CG15</f>
        <v>-89801239.960000098</v>
      </c>
      <c r="CG15" s="16">
        <f t="shared" si="78"/>
        <v>1</v>
      </c>
      <c r="CH15" s="19">
        <f t="shared" ca="1" si="79"/>
        <v>-11410.576869123266</v>
      </c>
      <c r="CI15" s="16" cm="1">
        <f t="array" aca="1" ref="CI15" ca="1">INDIRECT(ADDRESS(15,CE$1,,,A15))+INDIRECT(ADDRESS(16,CE$1,,,A15))</f>
        <v>205</v>
      </c>
      <c r="CJ15" s="16">
        <f ca="1">CI15*(1+$D15)</f>
        <v>223.45000000000002</v>
      </c>
      <c r="CK15" s="19">
        <f ca="1">CH15*(1+$E15)*CJ15</f>
        <v>-2919398.944609405</v>
      </c>
      <c r="CL15" s="19">
        <f t="shared" ca="1" si="82"/>
        <v>-5838797.88921881</v>
      </c>
      <c r="CM15" s="16" cm="1">
        <f t="array" aca="1" ref="CM15" ca="1">INDIRECT(ADDRESS(2,CM$1,,,A15))+INDIRECT(ADDRESS(3,CM$1,,,A15))</f>
        <v>7650</v>
      </c>
      <c r="CN15" s="19" cm="1">
        <f t="array" aca="1" ref="CN15" ca="1">-INDIRECT(ADDRESS(5,CM$1,,,A15))*CO15</f>
        <v>-87600098.760000169</v>
      </c>
      <c r="CO15" s="16">
        <f t="shared" si="83"/>
        <v>1</v>
      </c>
      <c r="CP15" s="19">
        <f t="shared" ca="1" si="84"/>
        <v>-11450.993301960807</v>
      </c>
      <c r="CQ15" s="16" cm="1">
        <f t="array" aca="1" ref="CQ15" ca="1">INDIRECT(ADDRESS(15,CM$1,,,A15))+INDIRECT(ADDRESS(16,CM$1,,,A15))</f>
        <v>220</v>
      </c>
      <c r="CR15" s="16">
        <f ca="1">CQ15*(1+$D15)</f>
        <v>239.8</v>
      </c>
      <c r="CS15" s="19">
        <f ca="1">CP15*(1+$E15)*CR15</f>
        <v>-3144110.6819126811</v>
      </c>
      <c r="CT15" s="19">
        <f ca="1">CS15*1</f>
        <v>-3144110.6819126811</v>
      </c>
      <c r="CW15" s="5">
        <f>AZ15</f>
        <v>0</v>
      </c>
      <c r="CX15" s="5">
        <f t="shared" si="87"/>
        <v>0</v>
      </c>
      <c r="CY15" s="5">
        <f>K15</f>
        <v>-670058483.71829188</v>
      </c>
      <c r="CZ15" s="21"/>
      <c r="DA15" s="5"/>
    </row>
    <row r="16" spans="1:105" x14ac:dyDescent="0.35">
      <c r="A16" s="16" t="s">
        <v>112</v>
      </c>
      <c r="B16" s="16" t="s">
        <v>183</v>
      </c>
      <c r="C16" s="22">
        <f>F16/SUM($F$14:$F$17)</f>
        <v>0.21321725865963795</v>
      </c>
      <c r="D16" s="18">
        <v>0.09</v>
      </c>
      <c r="E16" s="18">
        <f t="shared" si="88"/>
        <v>0.14499999999999999</v>
      </c>
      <c r="F16" s="19">
        <v>424111943</v>
      </c>
      <c r="G16" s="16">
        <v>3564</v>
      </c>
      <c r="H16" s="16">
        <f t="shared" ca="1" si="52"/>
        <v>2501</v>
      </c>
      <c r="I16" s="16">
        <f t="shared" ca="1" si="53"/>
        <v>391.31000000000006</v>
      </c>
      <c r="J16" s="16">
        <f t="shared" ca="1" si="54"/>
        <v>2892</v>
      </c>
      <c r="K16" s="5">
        <v>-223627255.27147406</v>
      </c>
      <c r="L16" s="19">
        <f t="shared" ca="1" si="55"/>
        <v>-159094992.64999968</v>
      </c>
      <c r="M16" s="19">
        <f t="shared" ca="1" si="56"/>
        <v>-12616259.902255652</v>
      </c>
      <c r="N16" s="19">
        <f t="shared" ca="1" si="57"/>
        <v>-395338507.8237294</v>
      </c>
      <c r="O16" s="19">
        <f t="shared" ca="1" si="58"/>
        <v>28773435.176270604</v>
      </c>
      <c r="P16" s="20">
        <f t="shared" ca="1" si="59"/>
        <v>0.93215603651069401</v>
      </c>
      <c r="Q16" s="20">
        <f t="shared" si="60"/>
        <v>0.15932424552416052</v>
      </c>
      <c r="R16" s="16">
        <v>3043</v>
      </c>
      <c r="S16" s="16">
        <v>25619120</v>
      </c>
      <c r="T16" s="16"/>
      <c r="U16" s="16"/>
      <c r="V16" s="16"/>
      <c r="W16" s="16"/>
      <c r="X16" s="16"/>
      <c r="Y16" s="16"/>
      <c r="Z16" s="16">
        <v>1</v>
      </c>
      <c r="AA16" s="16"/>
      <c r="AB16" s="19"/>
      <c r="AC16" s="16">
        <f t="shared" si="61"/>
        <v>1</v>
      </c>
      <c r="AD16" s="19"/>
      <c r="AE16" s="16"/>
      <c r="AF16" s="16"/>
      <c r="AG16" s="19"/>
      <c r="AH16" s="19"/>
      <c r="AI16" s="16"/>
      <c r="AJ16" s="19"/>
      <c r="AK16" s="16">
        <f t="shared" si="62"/>
        <v>1</v>
      </c>
      <c r="AL16" s="19"/>
      <c r="AM16" s="16"/>
      <c r="AN16" s="16"/>
      <c r="AO16" s="19"/>
      <c r="AP16" s="19"/>
      <c r="AQ16" s="16"/>
      <c r="AR16" s="19"/>
      <c r="AS16" s="16">
        <f>AK16</f>
        <v>1</v>
      </c>
      <c r="AT16" s="19"/>
      <c r="AU16" s="16"/>
      <c r="AV16" s="16"/>
      <c r="AW16" s="19"/>
      <c r="AX16" s="19"/>
      <c r="AY16" s="16"/>
      <c r="AZ16" s="19"/>
      <c r="BA16" s="16">
        <f t="shared" si="63"/>
        <v>1</v>
      </c>
      <c r="BB16" s="19"/>
      <c r="BC16" s="16"/>
      <c r="BD16" s="16"/>
      <c r="BE16" s="19"/>
      <c r="BF16" s="19"/>
      <c r="BG16" s="16" cm="1">
        <f t="array" aca="1" ref="BG16" ca="1">INDIRECT(ADDRESS(2,BG$1,,,A16))+INDIRECT(ADDRESS(3,BG$1,,,A16))</f>
        <v>3142</v>
      </c>
      <c r="BH16" s="19" cm="1">
        <f t="array" aca="1" ref="BH16" ca="1">-INDIRECT(ADDRESS(5,BG$1,,,A16))*BI16</f>
        <v>-36061929.889999896</v>
      </c>
      <c r="BI16" s="16">
        <f t="shared" si="64"/>
        <v>1</v>
      </c>
      <c r="BJ16" s="19">
        <f t="shared" ca="1" si="65"/>
        <v>-11477.380614258402</v>
      </c>
      <c r="BK16" s="16" cm="1">
        <f t="array" aca="1" ref="BK16" ca="1">INDIRECT(ADDRESS(15,BG$1,,,A16))+INDIRECT(ADDRESS(16,BG$1,,,A16))</f>
        <v>0</v>
      </c>
      <c r="BL16" s="16">
        <f t="shared" ref="BL16:BL17" ca="1" si="89">BK16*(1+$D16)</f>
        <v>0</v>
      </c>
      <c r="BM16" s="19">
        <f t="shared" ref="BM16:BM17" ca="1" si="90">BJ16*(1+$E16)*BL16</f>
        <v>0</v>
      </c>
      <c r="BN16" s="19">
        <f t="shared" ca="1" si="68"/>
        <v>0</v>
      </c>
      <c r="BO16" s="16" cm="1">
        <f t="array" aca="1" ref="BO16" ca="1">INDIRECT(ADDRESS(2,BO$1,,,A16))+INDIRECT(ADDRESS(3,BO$1,,,A16))</f>
        <v>2785</v>
      </c>
      <c r="BP16" s="19" cm="1">
        <f t="array" aca="1" ref="BP16" ca="1">-INDIRECT(ADDRESS(5,BO$1,,,A16))*BQ16</f>
        <v>-32142523.589999959</v>
      </c>
      <c r="BQ16" s="16">
        <f t="shared" si="69"/>
        <v>1</v>
      </c>
      <c r="BR16" s="19">
        <f t="shared" ca="1" si="70"/>
        <v>-11541.301109515245</v>
      </c>
      <c r="BS16" s="16" cm="1">
        <f t="array" aca="1" ref="BS16" ca="1">INDIRECT(ADDRESS(15,BO$1,,,A16))+INDIRECT(ADDRESS(16,BO$1,,,A16))</f>
        <v>75</v>
      </c>
      <c r="BT16" s="16">
        <f t="shared" ref="BT16:BT17" ca="1" si="91">BS16*(1+$D16)</f>
        <v>81.75</v>
      </c>
      <c r="BU16" s="19">
        <f t="shared" ref="BU16:BU17" ca="1" si="92">BR16*(1+$E16)*BT16</f>
        <v>-1080309.0637297877</v>
      </c>
      <c r="BV16" s="19">
        <f t="shared" ca="1" si="73"/>
        <v>-4321236.2549191508</v>
      </c>
      <c r="BW16" s="16" cm="1">
        <f t="array" aca="1" ref="BW16" ca="1">INDIRECT(ADDRESS(2,BW$1,,,A16))+INDIRECT(ADDRESS(3,BW$1,,,A16))</f>
        <v>2679</v>
      </c>
      <c r="BX16" s="19" cm="1">
        <f t="array" aca="1" ref="BX16" ca="1">-INDIRECT(ADDRESS(5,BW$1,,,A16))*BY16</f>
        <v>-31181889.189999931</v>
      </c>
      <c r="BY16" s="16">
        <f t="shared" si="74"/>
        <v>1</v>
      </c>
      <c r="BZ16" s="19">
        <f t="shared" ca="1" si="75"/>
        <v>-11639.376330720392</v>
      </c>
      <c r="CA16" s="16" cm="1">
        <f t="array" aca="1" ref="CA16" ca="1">INDIRECT(ADDRESS(15,BW$1,,,A16))+INDIRECT(ADDRESS(16,BW$1,,,A16))</f>
        <v>106</v>
      </c>
      <c r="CB16" s="16">
        <f t="shared" ref="CB16:CB17" ca="1" si="93">CA16*(1+$D16)</f>
        <v>115.54</v>
      </c>
      <c r="CC16" s="19">
        <f t="shared" ref="CC16:CC17" ca="1" si="94">BZ16*(1+$E16)*CB16</f>
        <v>-1539811.5047328919</v>
      </c>
      <c r="CD16" s="19">
        <f ca="1">CC16*3</f>
        <v>-4619434.5141986758</v>
      </c>
      <c r="CE16" s="16" cm="1">
        <f t="array" aca="1" ref="CE16" ca="1">INDIRECT(ADDRESS(2,CE$1,,,A16))+INDIRECT(ADDRESS(3,CE$1,,,A16))</f>
        <v>2605</v>
      </c>
      <c r="CF16" s="19" cm="1">
        <f t="array" aca="1" ref="CF16" ca="1">-INDIRECT(ADDRESS(5,CE$1,,,A16))*CG16</f>
        <v>-30345711.099999938</v>
      </c>
      <c r="CG16" s="16">
        <f t="shared" si="78"/>
        <v>1</v>
      </c>
      <c r="CH16" s="19">
        <f t="shared" ca="1" si="79"/>
        <v>-11649.025374280207</v>
      </c>
      <c r="CI16" s="16" cm="1">
        <f t="array" aca="1" ref="CI16" ca="1">INDIRECT(ADDRESS(15,CE$1,,,A16))+INDIRECT(ADDRESS(16,CE$1,,,A16))</f>
        <v>74</v>
      </c>
      <c r="CJ16" s="16">
        <f t="shared" ref="CJ16:CJ17" ca="1" si="95">CI16*(1+$D16)</f>
        <v>80.660000000000011</v>
      </c>
      <c r="CK16" s="19">
        <f t="shared" ref="CK16:CK17" ca="1" si="96">CH16*(1+$E16)*CJ16</f>
        <v>-1075853.8927594107</v>
      </c>
      <c r="CL16" s="19">
        <f t="shared" ca="1" si="82"/>
        <v>-2151707.7855188213</v>
      </c>
      <c r="CM16" s="16" cm="1">
        <f t="array" aca="1" ref="CM16" ca="1">INDIRECT(ADDRESS(2,CM$1,,,A16))+INDIRECT(ADDRESS(3,CM$1,,,A16))</f>
        <v>2501</v>
      </c>
      <c r="CN16" s="19" cm="1">
        <f t="array" aca="1" ref="CN16" ca="1">-INDIRECT(ADDRESS(5,CM$1,,,A16))*CO16</f>
        <v>-29362938.879999962</v>
      </c>
      <c r="CO16" s="16">
        <f t="shared" si="83"/>
        <v>1</v>
      </c>
      <c r="CP16" s="19">
        <f t="shared" ca="1" si="84"/>
        <v>-11740.479360255882</v>
      </c>
      <c r="CQ16" s="16" cm="1">
        <f t="array" aca="1" ref="CQ16" ca="1">INDIRECT(ADDRESS(15,CM$1,,,A16))+INDIRECT(ADDRESS(16,CM$1,,,A16))</f>
        <v>104</v>
      </c>
      <c r="CR16" s="16">
        <f t="shared" ref="CR16:CR17" ca="1" si="97">CQ16*(1+$D16)</f>
        <v>113.36000000000001</v>
      </c>
      <c r="CS16" s="19">
        <f t="shared" ref="CS16:CS17" ca="1" si="98">CP16*(1+$E16)*CR16</f>
        <v>-1523881.347619005</v>
      </c>
      <c r="CT16" s="19">
        <f ca="1">CS16*1</f>
        <v>-1523881.347619005</v>
      </c>
      <c r="CW16" s="5">
        <f>AZ16</f>
        <v>0</v>
      </c>
      <c r="CX16" s="5">
        <f t="shared" si="87"/>
        <v>0</v>
      </c>
      <c r="CY16" s="5">
        <f>K16</f>
        <v>-223627255.27147406</v>
      </c>
      <c r="CZ16" s="21"/>
      <c r="DA16" s="5"/>
    </row>
    <row r="17" spans="1:105" x14ac:dyDescent="0.35">
      <c r="A17" s="16" t="s">
        <v>184</v>
      </c>
      <c r="B17" s="16" t="s">
        <v>183</v>
      </c>
      <c r="C17" s="22">
        <f>F17/SUM($F$14:$F$17)</f>
        <v>6.2165937592600286E-2</v>
      </c>
      <c r="D17" s="18">
        <v>0.09</v>
      </c>
      <c r="E17" s="18">
        <f t="shared" si="88"/>
        <v>0.14499999999999999</v>
      </c>
      <c r="F17" s="19">
        <v>123654702</v>
      </c>
      <c r="G17" s="16">
        <v>1101</v>
      </c>
      <c r="H17" s="16" t="e">
        <f t="shared" ca="1" si="52"/>
        <v>#REF!</v>
      </c>
      <c r="I17" s="16" t="e">
        <f t="shared" ca="1" si="53"/>
        <v>#REF!</v>
      </c>
      <c r="J17" s="16" t="e">
        <f t="shared" ca="1" si="54"/>
        <v>#REF!</v>
      </c>
      <c r="K17" s="5">
        <v>-65201091.518594787</v>
      </c>
      <c r="L17" s="19" t="e">
        <f t="shared" ca="1" si="55"/>
        <v>#REF!</v>
      </c>
      <c r="M17" s="19" t="e">
        <f t="shared" ca="1" si="56"/>
        <v>#REF!</v>
      </c>
      <c r="N17" s="19" t="e">
        <f t="shared" ca="1" si="57"/>
        <v>#REF!</v>
      </c>
      <c r="O17" s="19" t="e">
        <f t="shared" ca="1" si="58"/>
        <v>#REF!</v>
      </c>
      <c r="P17" s="20" t="e">
        <f t="shared" ca="1" si="59"/>
        <v>#REF!</v>
      </c>
      <c r="Q17" s="20">
        <f t="shared" si="60"/>
        <v>4.6452811402353987E-2</v>
      </c>
      <c r="R17" s="16">
        <v>275</v>
      </c>
      <c r="S17" s="16">
        <v>7469548</v>
      </c>
      <c r="T17" s="16"/>
      <c r="U17" s="16"/>
      <c r="V17" s="16"/>
      <c r="W17" s="16"/>
      <c r="X17" s="16"/>
      <c r="Y17" s="16"/>
      <c r="Z17" s="16">
        <v>1</v>
      </c>
      <c r="AA17" s="16"/>
      <c r="AB17" s="19"/>
      <c r="AC17" s="16">
        <f t="shared" si="61"/>
        <v>1</v>
      </c>
      <c r="AD17" s="19"/>
      <c r="AE17" s="16"/>
      <c r="AF17" s="16"/>
      <c r="AG17" s="19"/>
      <c r="AH17" s="19"/>
      <c r="AI17" s="16"/>
      <c r="AJ17" s="19"/>
      <c r="AK17" s="16">
        <f t="shared" si="62"/>
        <v>1</v>
      </c>
      <c r="AL17" s="19"/>
      <c r="AM17" s="16"/>
      <c r="AN17" s="16"/>
      <c r="AO17" s="19"/>
      <c r="AP17" s="19"/>
      <c r="AQ17" s="16"/>
      <c r="AR17" s="19"/>
      <c r="AS17" s="16">
        <f>AK17</f>
        <v>1</v>
      </c>
      <c r="AT17" s="19"/>
      <c r="AU17" s="16"/>
      <c r="AV17" s="16"/>
      <c r="AW17" s="19"/>
      <c r="AX17" s="19"/>
      <c r="AY17" s="16"/>
      <c r="AZ17" s="19"/>
      <c r="BA17" s="16">
        <f t="shared" si="63"/>
        <v>1</v>
      </c>
      <c r="BB17" s="19"/>
      <c r="BC17" s="16"/>
      <c r="BD17" s="16"/>
      <c r="BE17" s="19"/>
      <c r="BF17" s="19"/>
      <c r="BG17" s="16" t="e" cm="1">
        <f t="array" aca="1" ref="BG17" ca="1">INDIRECT(ADDRESS(2,BG$1,,,A17))+INDIRECT(ADDRESS(3,BG$1,,,A17))</f>
        <v>#REF!</v>
      </c>
      <c r="BH17" s="19" t="e" cm="1">
        <f t="array" aca="1" ref="BH17" ca="1">-INDIRECT(ADDRESS(5,BG$1,,,A17))*BI17</f>
        <v>#REF!</v>
      </c>
      <c r="BI17" s="16">
        <f t="shared" si="64"/>
        <v>1</v>
      </c>
      <c r="BJ17" s="19" t="e">
        <f t="shared" ca="1" si="65"/>
        <v>#REF!</v>
      </c>
      <c r="BK17" s="16" t="e" cm="1">
        <f t="array" aca="1" ref="BK17" ca="1">INDIRECT(ADDRESS(15,BG$1,,,A17))+INDIRECT(ADDRESS(16,BG$1,,,A17))</f>
        <v>#REF!</v>
      </c>
      <c r="BL17" s="16" t="e">
        <f t="shared" ca="1" si="89"/>
        <v>#REF!</v>
      </c>
      <c r="BM17" s="19" t="e">
        <f t="shared" ca="1" si="90"/>
        <v>#REF!</v>
      </c>
      <c r="BN17" s="19" t="e">
        <f t="shared" ca="1" si="68"/>
        <v>#REF!</v>
      </c>
      <c r="BO17" s="16" t="e" cm="1">
        <f t="array" aca="1" ref="BO17" ca="1">INDIRECT(ADDRESS(2,BO$1,,,A17))+INDIRECT(ADDRESS(3,BO$1,,,A17))</f>
        <v>#REF!</v>
      </c>
      <c r="BP17" s="19" t="e" cm="1">
        <f t="array" aca="1" ref="BP17" ca="1">-INDIRECT(ADDRESS(5,BO$1,,,A17))*BQ17</f>
        <v>#REF!</v>
      </c>
      <c r="BQ17" s="16">
        <f t="shared" si="69"/>
        <v>1</v>
      </c>
      <c r="BR17" s="19" t="e">
        <f t="shared" ca="1" si="70"/>
        <v>#REF!</v>
      </c>
      <c r="BS17" s="16" t="e" cm="1">
        <f t="array" aca="1" ref="BS17" ca="1">INDIRECT(ADDRESS(15,BO$1,,,A17))+INDIRECT(ADDRESS(16,BO$1,,,A17))</f>
        <v>#REF!</v>
      </c>
      <c r="BT17" s="16" t="e">
        <f t="shared" ca="1" si="91"/>
        <v>#REF!</v>
      </c>
      <c r="BU17" s="19" t="e">
        <f t="shared" ca="1" si="92"/>
        <v>#REF!</v>
      </c>
      <c r="BV17" s="19" t="e">
        <f t="shared" ca="1" si="73"/>
        <v>#REF!</v>
      </c>
      <c r="BW17" s="16" t="e" cm="1">
        <f t="array" aca="1" ref="BW17" ca="1">INDIRECT(ADDRESS(2,BW$1,,,A17))+INDIRECT(ADDRESS(3,BW$1,,,A17))</f>
        <v>#REF!</v>
      </c>
      <c r="BX17" s="19" t="e" cm="1">
        <f t="array" aca="1" ref="BX17" ca="1">-INDIRECT(ADDRESS(5,BW$1,,,A17))*BY17</f>
        <v>#REF!</v>
      </c>
      <c r="BY17" s="16">
        <f t="shared" si="74"/>
        <v>1</v>
      </c>
      <c r="BZ17" s="19" t="e">
        <f t="shared" ca="1" si="75"/>
        <v>#REF!</v>
      </c>
      <c r="CA17" s="16" t="e" cm="1">
        <f t="array" aca="1" ref="CA17" ca="1">INDIRECT(ADDRESS(15,BW$1,,,A17))+INDIRECT(ADDRESS(16,BW$1,,,A17))</f>
        <v>#REF!</v>
      </c>
      <c r="CB17" s="16" t="e">
        <f t="shared" ca="1" si="93"/>
        <v>#REF!</v>
      </c>
      <c r="CC17" s="19" t="e">
        <f t="shared" ca="1" si="94"/>
        <v>#REF!</v>
      </c>
      <c r="CD17" s="19" t="e">
        <f ca="1">CC17*3</f>
        <v>#REF!</v>
      </c>
      <c r="CE17" s="16" t="e" cm="1">
        <f t="array" aca="1" ref="CE17" ca="1">INDIRECT(ADDRESS(2,CE$1,,,A17))+INDIRECT(ADDRESS(3,CE$1,,,A17))</f>
        <v>#REF!</v>
      </c>
      <c r="CF17" s="19" t="e" cm="1">
        <f t="array" aca="1" ref="CF17" ca="1">-INDIRECT(ADDRESS(5,CE$1,,,A17))*CG17</f>
        <v>#REF!</v>
      </c>
      <c r="CG17" s="16">
        <f t="shared" si="78"/>
        <v>1</v>
      </c>
      <c r="CH17" s="19" t="e">
        <f t="shared" ca="1" si="79"/>
        <v>#REF!</v>
      </c>
      <c r="CI17" s="16" t="e" cm="1">
        <f t="array" aca="1" ref="CI17" ca="1">INDIRECT(ADDRESS(15,CE$1,,,A17))+INDIRECT(ADDRESS(16,CE$1,,,A17))</f>
        <v>#REF!</v>
      </c>
      <c r="CJ17" s="16" t="e">
        <f t="shared" ca="1" si="95"/>
        <v>#REF!</v>
      </c>
      <c r="CK17" s="19" t="e">
        <f t="shared" ca="1" si="96"/>
        <v>#REF!</v>
      </c>
      <c r="CL17" s="19" t="e">
        <f t="shared" ca="1" si="82"/>
        <v>#REF!</v>
      </c>
      <c r="CM17" s="16" t="e" cm="1">
        <f t="array" aca="1" ref="CM17" ca="1">INDIRECT(ADDRESS(2,CM$1,,,A17))+INDIRECT(ADDRESS(3,CM$1,,,A17))</f>
        <v>#REF!</v>
      </c>
      <c r="CN17" s="19" t="e" cm="1">
        <f t="array" aca="1" ref="CN17" ca="1">-INDIRECT(ADDRESS(5,CM$1,,,A17))*CO17</f>
        <v>#REF!</v>
      </c>
      <c r="CO17" s="16">
        <f t="shared" si="83"/>
        <v>1</v>
      </c>
      <c r="CP17" s="19" t="e">
        <f t="shared" ca="1" si="84"/>
        <v>#REF!</v>
      </c>
      <c r="CQ17" s="16" t="e" cm="1">
        <f t="array" aca="1" ref="CQ17" ca="1">INDIRECT(ADDRESS(15,CM$1,,,A17))+INDIRECT(ADDRESS(16,CM$1,,,A17))</f>
        <v>#REF!</v>
      </c>
      <c r="CR17" s="16" t="e">
        <f t="shared" ca="1" si="97"/>
        <v>#REF!</v>
      </c>
      <c r="CS17" s="19" t="e">
        <f t="shared" ca="1" si="98"/>
        <v>#REF!</v>
      </c>
      <c r="CT17" s="19" t="e">
        <f ca="1">CS17*1</f>
        <v>#REF!</v>
      </c>
      <c r="CW17" s="5">
        <f>AZ17</f>
        <v>0</v>
      </c>
      <c r="CX17" s="5">
        <f t="shared" si="87"/>
        <v>0</v>
      </c>
      <c r="CY17" s="5">
        <f>K17</f>
        <v>-65201091.518594787</v>
      </c>
      <c r="CZ17" s="21"/>
      <c r="DA17" s="5"/>
    </row>
    <row r="18" spans="1:105" x14ac:dyDescent="0.35">
      <c r="C18" s="23"/>
      <c r="D18" s="8"/>
      <c r="E18" s="8"/>
      <c r="F18" s="5"/>
      <c r="K18" s="5"/>
      <c r="L18" s="5"/>
      <c r="M18" s="5"/>
      <c r="N18" s="5"/>
      <c r="O18" s="5"/>
      <c r="P18" s="5"/>
      <c r="Q18" s="5"/>
    </row>
    <row r="19" spans="1:105" x14ac:dyDescent="0.35">
      <c r="A19" t="s">
        <v>130</v>
      </c>
      <c r="C19" s="23"/>
      <c r="D19" s="8"/>
      <c r="E19" s="8"/>
      <c r="F19" s="5">
        <v>161476790</v>
      </c>
      <c r="G19">
        <v>482</v>
      </c>
      <c r="H19">
        <f ca="1">H20+H21</f>
        <v>542</v>
      </c>
      <c r="I19">
        <f t="shared" ref="I19:J19" ca="1" si="99">I20+I21</f>
        <v>60.024999999999991</v>
      </c>
      <c r="J19">
        <f t="shared" ca="1" si="99"/>
        <v>602</v>
      </c>
      <c r="K19" s="5">
        <v>-93381608.291536078</v>
      </c>
      <c r="L19" s="5">
        <f t="shared" ref="L19:M19" ca="1" si="100">L20+L21</f>
        <v>-83024191.4451814</v>
      </c>
      <c r="M19" s="5">
        <f t="shared" ca="1" si="100"/>
        <v>-4849841.2914946647</v>
      </c>
      <c r="N19" s="19">
        <f ca="1">K19+L19+M19</f>
        <v>-181255641.02821213</v>
      </c>
      <c r="O19" s="19">
        <f ca="1">N19+F19</f>
        <v>-19778851.02821213</v>
      </c>
      <c r="P19" s="20">
        <f ca="1">-N19/F19</f>
        <v>1.1224872690880969</v>
      </c>
      <c r="Q19" s="20">
        <f>F19/$F$23</f>
        <v>6.0661266821277204E-2</v>
      </c>
      <c r="R19">
        <v>490</v>
      </c>
      <c r="S19">
        <v>13709000</v>
      </c>
      <c r="CW19" s="5"/>
      <c r="CX19" s="5"/>
      <c r="CY19" s="5">
        <f>K19</f>
        <v>-93381608.291536078</v>
      </c>
      <c r="DA19" s="5"/>
    </row>
    <row r="20" spans="1:105" x14ac:dyDescent="0.35">
      <c r="A20" s="16" t="s">
        <v>130</v>
      </c>
      <c r="B20" s="16" t="s">
        <v>117</v>
      </c>
      <c r="C20" s="17"/>
      <c r="D20" s="18">
        <f>143%/2</f>
        <v>0.71499999999999997</v>
      </c>
      <c r="E20" s="18">
        <f>38%/2</f>
        <v>0.19</v>
      </c>
      <c r="F20" s="19"/>
      <c r="G20" s="16"/>
      <c r="H20" s="16">
        <f t="shared" ref="H20:H21" ca="1" si="101">CM20</f>
        <v>509</v>
      </c>
      <c r="I20" s="16">
        <f t="shared" ref="I20:I21" ca="1" si="102">AF20+AN20+AV20+BD20+BL20+BT20+CB20+CJ20+CR20</f>
        <v>60.024999999999991</v>
      </c>
      <c r="J20" s="16">
        <f t="shared" ref="J20:J21" ca="1" si="103">H20+INT(I20)</f>
        <v>569</v>
      </c>
      <c r="K20" s="19"/>
      <c r="L20" s="19">
        <f t="shared" ref="L20:L21" ca="1" si="104">AB20+AJ20+AR20+AZ20+BH20+BP20+BX20+CF20+CN20</f>
        <v>-80246676.594477043</v>
      </c>
      <c r="M20" s="19">
        <f t="shared" ref="M20:M21" ca="1" si="105">AH20+AP20+AX20+BF20+BN20+BV20+CD20+CL20+CT20</f>
        <v>-4849841.2914946647</v>
      </c>
      <c r="N20" s="19"/>
      <c r="O20" s="19"/>
      <c r="P20" s="19"/>
      <c r="Q20" s="19"/>
      <c r="R20" s="16"/>
      <c r="S20" s="16"/>
      <c r="T20" s="16">
        <v>17.451465550057101</v>
      </c>
      <c r="U20" s="16"/>
      <c r="V20" s="16"/>
      <c r="W20" s="16">
        <v>17.870770915633432</v>
      </c>
      <c r="X20" s="16"/>
      <c r="Y20" s="16"/>
      <c r="Z20" s="16">
        <v>18.46352288488211</v>
      </c>
      <c r="AA20" s="16"/>
      <c r="AB20" s="19"/>
      <c r="AC20" s="16">
        <v>18.770692212112714</v>
      </c>
      <c r="AD20" s="19"/>
      <c r="AE20" s="16"/>
      <c r="AF20" s="16"/>
      <c r="AG20" s="19"/>
      <c r="AH20" s="19"/>
      <c r="AI20" s="16"/>
      <c r="AJ20" s="19"/>
      <c r="AK20" s="16">
        <f t="shared" ref="AK20:AK21" si="106">AC20</f>
        <v>18.770692212112714</v>
      </c>
      <c r="AL20" s="19"/>
      <c r="AM20" s="16"/>
      <c r="AN20" s="16"/>
      <c r="AO20" s="19"/>
      <c r="AP20" s="19"/>
      <c r="AQ20" s="16"/>
      <c r="AR20" s="19"/>
      <c r="AS20" s="16">
        <v>18.481077689321147</v>
      </c>
      <c r="AT20" s="19"/>
      <c r="AU20" s="16"/>
      <c r="AV20" s="16"/>
      <c r="AW20" s="19"/>
      <c r="AX20" s="19"/>
      <c r="AY20" s="16"/>
      <c r="AZ20" s="19"/>
      <c r="BA20" s="16">
        <v>18.500590138968207</v>
      </c>
      <c r="BB20" s="19"/>
      <c r="BC20" s="16"/>
      <c r="BD20" s="16"/>
      <c r="BE20" s="19"/>
      <c r="BF20" s="19"/>
      <c r="BG20" s="16" cm="1">
        <f t="array" aca="1" ref="BG20" ca="1">INDIRECT(ADDRESS(2,BG$1,,,B20))+INDIRECT(ADDRESS(3,BG$1,,,B20))</f>
        <v>579</v>
      </c>
      <c r="BH20" s="19" cm="1">
        <f t="array" aca="1" ref="BH20" ca="1">-INDIRECT(ADDRESS(5,BG$1,,,B20))*BI20</f>
        <v>-17140349.049472693</v>
      </c>
      <c r="BI20" s="16">
        <f t="shared" ref="BI20:BI21" si="107">BA20</f>
        <v>18.500590138968207</v>
      </c>
      <c r="BJ20" s="19">
        <f t="shared" ref="BJ20:BJ21" ca="1" si="108">BH20/BG20</f>
        <v>-29603.366233977016</v>
      </c>
      <c r="BK20" s="16" cm="1">
        <f t="array" aca="1" ref="BK20" ca="1">INDIRECT(ADDRESS(15,BG$1,,,B20))+INDIRECT(ADDRESS(16,BG$1,,,B20))</f>
        <v>0</v>
      </c>
      <c r="BL20" s="16">
        <f t="shared" ref="BL20:BL21" ca="1" si="109">BK20*(1+$D20)</f>
        <v>0</v>
      </c>
      <c r="BM20" s="19">
        <f t="shared" ref="BM20:BM21" ca="1" si="110">BJ20*(1+$E20)*BL20</f>
        <v>0</v>
      </c>
      <c r="BN20" s="19">
        <f t="shared" ref="BN20:BN21" ca="1" si="111">BM20*5</f>
        <v>0</v>
      </c>
      <c r="BO20" s="16" cm="1">
        <f t="array" aca="1" ref="BO20" ca="1">INDIRECT(ADDRESS(2,BO$1,,,B20))+INDIRECT(ADDRESS(3,BO$1,,,B20))</f>
        <v>537</v>
      </c>
      <c r="BP20" s="19" cm="1">
        <f t="array" aca="1" ref="BP20" ca="1">-INDIRECT(ADDRESS(5,BO$1,,,B20))*BQ20</f>
        <v>-16130785.906037688</v>
      </c>
      <c r="BQ20" s="16">
        <f t="shared" ref="BQ20:BQ21" si="112">BI20</f>
        <v>18.500590138968207</v>
      </c>
      <c r="BR20" s="19">
        <f t="shared" ref="BR20:BR21" ca="1" si="113">BP20/BO20</f>
        <v>-30038.70746003294</v>
      </c>
      <c r="BS20" s="16" cm="1">
        <f t="array" aca="1" ref="BS20" ca="1">INDIRECT(ADDRESS(15,BO$1,,,B20))+INDIRECT(ADDRESS(16,BO$1,,,B20))</f>
        <v>7</v>
      </c>
      <c r="BT20" s="16">
        <f t="shared" ref="BT20:BT21" ca="1" si="114">BS20*(1+$D20)</f>
        <v>12.004999999999999</v>
      </c>
      <c r="BU20" s="19">
        <f t="shared" ref="BU20:BU21" ca="1" si="115">BR20*(1+$E20)*BT20</f>
        <v>-429131.47283865756</v>
      </c>
      <c r="BV20" s="19">
        <f ca="1">BU20*4</f>
        <v>-1716525.8913546302</v>
      </c>
      <c r="BW20" s="16" cm="1">
        <f t="array" aca="1" ref="BW20" ca="1">INDIRECT(ADDRESS(2,BW$1,,,B20))+INDIRECT(ADDRESS(3,BW$1,,,B20))</f>
        <v>530</v>
      </c>
      <c r="BX20" s="19" cm="1">
        <f t="array" aca="1" ref="BX20" ca="1">-INDIRECT(ADDRESS(5,BW$1,,,B20))*BY20</f>
        <v>-15908248.782462586</v>
      </c>
      <c r="BY20" s="16">
        <f t="shared" ref="BY20:BY21" si="116">BQ20</f>
        <v>18.500590138968207</v>
      </c>
      <c r="BZ20" s="19">
        <f t="shared" ref="BZ20:BZ21" ca="1" si="117">BX20/BW20</f>
        <v>-30015.563740495443</v>
      </c>
      <c r="CA20" s="16" cm="1">
        <f t="array" aca="1" ref="CA20" ca="1">INDIRECT(ADDRESS(15,BW$1,,,B20))+INDIRECT(ADDRESS(16,BW$1,,,B20))</f>
        <v>7</v>
      </c>
      <c r="CB20" s="16">
        <f t="shared" ref="CB20:CB21" ca="1" si="118">CA20*(1+$D20)</f>
        <v>12.004999999999999</v>
      </c>
      <c r="CC20" s="19">
        <f t="shared" ref="CC20:CC21" ca="1" si="119">BZ20*(1+$E20)*CB20</f>
        <v>-428800.8428185308</v>
      </c>
      <c r="CD20" s="19">
        <f ca="1">CC20*3</f>
        <v>-1286402.5284555925</v>
      </c>
      <c r="CE20" s="16" cm="1">
        <f t="array" aca="1" ref="CE20" ca="1">INDIRECT(ADDRESS(2,CE$1,,,B20))+INDIRECT(ADDRESS(3,CE$1,,,B20))</f>
        <v>521</v>
      </c>
      <c r="CF20" s="19" cm="1">
        <f t="array" aca="1" ref="CF20" ca="1">-INDIRECT(ADDRESS(5,CE$1,,,B20))*CG20</f>
        <v>-15723712.79606243</v>
      </c>
      <c r="CG20" s="16">
        <f t="shared" ref="CG20:CG21" si="120">BY20</f>
        <v>18.500590138968207</v>
      </c>
      <c r="CH20" s="19">
        <f t="shared" ref="CH20:CH21" ca="1" si="121">CF20/CE20</f>
        <v>-30179.871009716757</v>
      </c>
      <c r="CI20" s="16" cm="1">
        <f t="array" aca="1" ref="CI20" ca="1">INDIRECT(ADDRESS(15,CE$1,,,B20))+INDIRECT(ADDRESS(16,CE$1,,,B20))</f>
        <v>9</v>
      </c>
      <c r="CJ20" s="16">
        <f t="shared" ref="CJ20:CJ21" ca="1" si="122">CI20*(1+$D20)</f>
        <v>15.434999999999999</v>
      </c>
      <c r="CK20" s="19">
        <f t="shared" ref="CK20:CK21" ca="1" si="123">CH20*(1+$E20)*CJ20</f>
        <v>-554333.30775162391</v>
      </c>
      <c r="CL20" s="19">
        <f ca="1">CK20*2</f>
        <v>-1108666.6155032478</v>
      </c>
      <c r="CM20" s="16" cm="1">
        <f t="array" aca="1" ref="CM20" ca="1">INDIRECT(ADDRESS(2,CM$1,,,B20))+INDIRECT(ADDRESS(3,CM$1,,,B20))</f>
        <v>509</v>
      </c>
      <c r="CN20" s="19" cm="1">
        <f t="array" aca="1" ref="CN20" ca="1">-INDIRECT(ADDRESS(5,CM$1,,,B20))*CO20</f>
        <v>-15343580.060441647</v>
      </c>
      <c r="CO20" s="16">
        <f t="shared" ref="CO20:CO21" si="124">CG20</f>
        <v>18.500590138968207</v>
      </c>
      <c r="CP20" s="19">
        <f t="shared" ref="CP20:CP21" ca="1" si="125">CN20/CM20</f>
        <v>-30144.558075523862</v>
      </c>
      <c r="CQ20" s="16" cm="1">
        <f t="array" aca="1" ref="CQ20" ca="1">INDIRECT(ADDRESS(15,CM$1,,,B20))+INDIRECT(ADDRESS(16,CM$1,,,B20))</f>
        <v>12</v>
      </c>
      <c r="CR20" s="16">
        <f t="shared" ref="CR20:CR21" ca="1" si="126">CQ20*(1+$D20)</f>
        <v>20.58</v>
      </c>
      <c r="CS20" s="19">
        <f t="shared" ref="CS20:CS21" ca="1" si="127">CP20*(1+$E20)*CR20</f>
        <v>-738246.25618119445</v>
      </c>
      <c r="CT20" s="19">
        <f ca="1">CS20*1</f>
        <v>-738246.25618119445</v>
      </c>
      <c r="CW20" s="5">
        <f>AZ20</f>
        <v>0</v>
      </c>
      <c r="CX20" s="5">
        <f t="shared" ref="CX20:CX21" si="128">CW20*6</f>
        <v>0</v>
      </c>
      <c r="CY20" s="5"/>
      <c r="CZ20" s="21"/>
      <c r="DA20" s="5"/>
    </row>
    <row r="21" spans="1:105" x14ac:dyDescent="0.35">
      <c r="A21" s="16" t="s">
        <v>130</v>
      </c>
      <c r="B21" s="16" t="s">
        <v>118</v>
      </c>
      <c r="C21" s="17"/>
      <c r="D21" s="18">
        <f>143%/2</f>
        <v>0.71499999999999997</v>
      </c>
      <c r="E21" s="18">
        <f>38%/2</f>
        <v>0.19</v>
      </c>
      <c r="F21" s="19"/>
      <c r="G21" s="16"/>
      <c r="H21" s="16">
        <f t="shared" ca="1" si="101"/>
        <v>33</v>
      </c>
      <c r="I21" s="16">
        <f t="shared" ca="1" si="102"/>
        <v>0</v>
      </c>
      <c r="J21" s="16">
        <f t="shared" ca="1" si="103"/>
        <v>33</v>
      </c>
      <c r="K21" s="19"/>
      <c r="L21" s="19">
        <f t="shared" ca="1" si="104"/>
        <v>-2777514.850704351</v>
      </c>
      <c r="M21" s="19">
        <f t="shared" ca="1" si="105"/>
        <v>0</v>
      </c>
      <c r="N21" s="19"/>
      <c r="O21" s="19"/>
      <c r="P21" s="19"/>
      <c r="Q21" s="19"/>
      <c r="R21" s="16"/>
      <c r="S21" s="16"/>
      <c r="T21" s="16">
        <v>0.65676752048593201</v>
      </c>
      <c r="U21" s="16"/>
      <c r="V21" s="16"/>
      <c r="W21" s="16"/>
      <c r="X21" s="16"/>
      <c r="Y21" s="16"/>
      <c r="Z21" s="16">
        <v>0.674501861685187</v>
      </c>
      <c r="AA21" s="16"/>
      <c r="AB21" s="19"/>
      <c r="AC21" s="16">
        <v>0.67136598484978804</v>
      </c>
      <c r="AD21" s="19"/>
      <c r="AE21" s="16"/>
      <c r="AF21" s="16"/>
      <c r="AG21" s="19"/>
      <c r="AH21" s="19"/>
      <c r="AI21" s="16"/>
      <c r="AJ21" s="19"/>
      <c r="AK21" s="16">
        <f t="shared" si="106"/>
        <v>0.67136598484978804</v>
      </c>
      <c r="AL21" s="19"/>
      <c r="AM21" s="16"/>
      <c r="AN21" s="16"/>
      <c r="AO21" s="19"/>
      <c r="AP21" s="19"/>
      <c r="AQ21" s="16"/>
      <c r="AR21" s="19"/>
      <c r="AS21" s="16">
        <v>0.65293728879079227</v>
      </c>
      <c r="AT21" s="19"/>
      <c r="AU21" s="16"/>
      <c r="AV21" s="16"/>
      <c r="AW21" s="19"/>
      <c r="AX21" s="19"/>
      <c r="AY21" s="16"/>
      <c r="AZ21" s="19"/>
      <c r="BA21" s="16">
        <v>0.66258142195423608</v>
      </c>
      <c r="BB21" s="19"/>
      <c r="BC21" s="16"/>
      <c r="BD21" s="16"/>
      <c r="BE21" s="19"/>
      <c r="BF21" s="19"/>
      <c r="BG21" s="16" cm="1">
        <f t="array" aca="1" ref="BG21" ca="1">INDIRECT(ADDRESS(2,BG$1,,,B21))+INDIRECT(ADDRESS(3,BG$1,,,B21))</f>
        <v>33</v>
      </c>
      <c r="BH21" s="19" cm="1">
        <f t="array" aca="1" ref="BH21" ca="1">-INDIRECT(ADDRESS(5,BG$1,,,B21))*BI21</f>
        <v>-555502.97014087019</v>
      </c>
      <c r="BI21" s="16">
        <f t="shared" si="107"/>
        <v>0.66258142195423608</v>
      </c>
      <c r="BJ21" s="19">
        <f t="shared" ca="1" si="108"/>
        <v>-16833.423337602126</v>
      </c>
      <c r="BK21" s="16" cm="1">
        <f t="array" aca="1" ref="BK21" ca="1">INDIRECT(ADDRESS(15,BG$1,,,B21))+INDIRECT(ADDRESS(16,BG$1,,,B21))</f>
        <v>0</v>
      </c>
      <c r="BL21" s="16">
        <f t="shared" ca="1" si="109"/>
        <v>0</v>
      </c>
      <c r="BM21" s="19">
        <f t="shared" ca="1" si="110"/>
        <v>0</v>
      </c>
      <c r="BN21" s="19">
        <f t="shared" ca="1" si="111"/>
        <v>0</v>
      </c>
      <c r="BO21" s="16" cm="1">
        <f t="array" aca="1" ref="BO21" ca="1">INDIRECT(ADDRESS(2,BO$1,,,B21))+INDIRECT(ADDRESS(3,BO$1,,,B21))</f>
        <v>33</v>
      </c>
      <c r="BP21" s="19" cm="1">
        <f t="array" aca="1" ref="BP21" ca="1">-INDIRECT(ADDRESS(5,BO$1,,,B21))*BQ21</f>
        <v>-555502.97014087019</v>
      </c>
      <c r="BQ21" s="16">
        <f t="shared" si="112"/>
        <v>0.66258142195423608</v>
      </c>
      <c r="BR21" s="19">
        <f t="shared" ca="1" si="113"/>
        <v>-16833.423337602126</v>
      </c>
      <c r="BS21" s="16" cm="1">
        <f t="array" aca="1" ref="BS21" ca="1">INDIRECT(ADDRESS(15,BO$1,,,B21))+INDIRECT(ADDRESS(16,BO$1,,,B21))</f>
        <v>0</v>
      </c>
      <c r="BT21" s="16">
        <f t="shared" ca="1" si="114"/>
        <v>0</v>
      </c>
      <c r="BU21" s="19">
        <f t="shared" ca="1" si="115"/>
        <v>0</v>
      </c>
      <c r="BV21" s="19">
        <f ca="1">BU21*4</f>
        <v>0</v>
      </c>
      <c r="BW21" s="16" cm="1">
        <f t="array" aca="1" ref="BW21" ca="1">INDIRECT(ADDRESS(2,BW$1,,,B21))+INDIRECT(ADDRESS(3,BW$1,,,B21))</f>
        <v>33</v>
      </c>
      <c r="BX21" s="19" cm="1">
        <f t="array" aca="1" ref="BX21" ca="1">-INDIRECT(ADDRESS(5,BW$1,,,B21))*BY21</f>
        <v>-555502.97014087019</v>
      </c>
      <c r="BY21" s="16">
        <f t="shared" si="116"/>
        <v>0.66258142195423608</v>
      </c>
      <c r="BZ21" s="19">
        <f t="shared" ca="1" si="117"/>
        <v>-16833.423337602126</v>
      </c>
      <c r="CA21" s="16" cm="1">
        <f t="array" aca="1" ref="CA21" ca="1">INDIRECT(ADDRESS(15,BW$1,,,B21))+INDIRECT(ADDRESS(16,BW$1,,,B21))</f>
        <v>0</v>
      </c>
      <c r="CB21" s="16">
        <f t="shared" ca="1" si="118"/>
        <v>0</v>
      </c>
      <c r="CC21" s="19">
        <f t="shared" ca="1" si="119"/>
        <v>0</v>
      </c>
      <c r="CD21" s="19">
        <f ca="1">CC21*3</f>
        <v>0</v>
      </c>
      <c r="CE21" s="16" cm="1">
        <f t="array" aca="1" ref="CE21" ca="1">INDIRECT(ADDRESS(2,CE$1,,,B21))+INDIRECT(ADDRESS(3,CE$1,,,B21))</f>
        <v>33</v>
      </c>
      <c r="CF21" s="19" cm="1">
        <f t="array" aca="1" ref="CF21" ca="1">-INDIRECT(ADDRESS(5,CE$1,,,B21))*CG21</f>
        <v>-555502.97014087019</v>
      </c>
      <c r="CG21" s="16">
        <f t="shared" si="120"/>
        <v>0.66258142195423608</v>
      </c>
      <c r="CH21" s="19">
        <f t="shared" ca="1" si="121"/>
        <v>-16833.423337602126</v>
      </c>
      <c r="CI21" s="16" cm="1">
        <f t="array" aca="1" ref="CI21" ca="1">INDIRECT(ADDRESS(15,CE$1,,,B21))+INDIRECT(ADDRESS(16,CE$1,,,B21))</f>
        <v>0</v>
      </c>
      <c r="CJ21" s="16">
        <f t="shared" ca="1" si="122"/>
        <v>0</v>
      </c>
      <c r="CK21" s="19">
        <f t="shared" ca="1" si="123"/>
        <v>0</v>
      </c>
      <c r="CL21" s="19">
        <f ca="1">CK21*2</f>
        <v>0</v>
      </c>
      <c r="CM21" s="16" cm="1">
        <f t="array" aca="1" ref="CM21" ca="1">INDIRECT(ADDRESS(2,CM$1,,,B21))+INDIRECT(ADDRESS(3,CM$1,,,B21))</f>
        <v>33</v>
      </c>
      <c r="CN21" s="19" cm="1">
        <f t="array" aca="1" ref="CN21" ca="1">-INDIRECT(ADDRESS(5,CM$1,,,B21))*CO21</f>
        <v>-555502.97014087019</v>
      </c>
      <c r="CO21" s="16">
        <f t="shared" si="124"/>
        <v>0.66258142195423608</v>
      </c>
      <c r="CP21" s="19">
        <f t="shared" ca="1" si="125"/>
        <v>-16833.423337602126</v>
      </c>
      <c r="CQ21" s="16" cm="1">
        <f t="array" aca="1" ref="CQ21" ca="1">INDIRECT(ADDRESS(15,CM$1,,,B21))+INDIRECT(ADDRESS(16,CM$1,,,B21))</f>
        <v>0</v>
      </c>
      <c r="CR21" s="16">
        <f t="shared" ca="1" si="126"/>
        <v>0</v>
      </c>
      <c r="CS21" s="19">
        <f t="shared" ca="1" si="127"/>
        <v>0</v>
      </c>
      <c r="CT21" s="19">
        <f ca="1">CS21*1</f>
        <v>0</v>
      </c>
      <c r="CW21" s="5">
        <f>AZ21</f>
        <v>0</v>
      </c>
      <c r="CX21" s="5">
        <f t="shared" si="128"/>
        <v>0</v>
      </c>
      <c r="CY21" s="5"/>
      <c r="CZ21" s="21"/>
      <c r="DA21" s="5"/>
    </row>
    <row r="22" spans="1:105" x14ac:dyDescent="0.35">
      <c r="D22" s="8"/>
      <c r="E22" s="8"/>
      <c r="F22" s="5"/>
      <c r="K22" s="5"/>
      <c r="L22" s="5"/>
      <c r="M22" s="5"/>
      <c r="N22" s="5"/>
      <c r="O22" s="5"/>
      <c r="P22" s="5"/>
      <c r="Q22" s="5"/>
      <c r="CL22">
        <v>2</v>
      </c>
    </row>
    <row r="23" spans="1:105" x14ac:dyDescent="0.35">
      <c r="D23" s="8"/>
      <c r="E23" s="8"/>
      <c r="F23" s="5">
        <f>SUM(F4:F21)</f>
        <v>2661942265</v>
      </c>
      <c r="K23" s="5">
        <f>-SUM(K4:K21)</f>
        <v>1342848197.3222921</v>
      </c>
      <c r="L23" s="5"/>
      <c r="M23" s="5"/>
      <c r="N23" s="5" t="e">
        <f ca="1">-SUM(N4:N21)</f>
        <v>#DIV/0!</v>
      </c>
      <c r="O23" s="5"/>
      <c r="P23" s="5"/>
      <c r="Q23" s="9">
        <f>SUM(Q4:Q21)</f>
        <v>1</v>
      </c>
    </row>
    <row r="24" spans="1:105" x14ac:dyDescent="0.35">
      <c r="D24" s="8"/>
      <c r="E24" s="8"/>
      <c r="F24" s="9"/>
      <c r="K24" s="9">
        <f>K23/F23</f>
        <v>0.50446180406632224</v>
      </c>
      <c r="L24" s="5"/>
      <c r="M24" s="5"/>
      <c r="N24" s="9" t="e">
        <f ca="1">N23/F23</f>
        <v>#DIV/0!</v>
      </c>
      <c r="O24" s="5"/>
      <c r="P24" s="5"/>
      <c r="Q24" s="5"/>
      <c r="CW24" s="5"/>
      <c r="CX24" s="5">
        <f>SUM(CX4:CX21)</f>
        <v>0</v>
      </c>
      <c r="CY24" s="5">
        <f>SUM(CY4:CY21)</f>
        <v>-1342848197.3222921</v>
      </c>
      <c r="CZ24" s="5">
        <f>SUM(CX24:CY24)</f>
        <v>-1342848197.3222921</v>
      </c>
      <c r="DA24" s="5"/>
    </row>
    <row r="25" spans="1:105" x14ac:dyDescent="0.35">
      <c r="D25" s="8"/>
      <c r="E25" s="8"/>
      <c r="F25" s="9"/>
      <c r="K25" s="5"/>
      <c r="L25" s="5"/>
      <c r="M25" s="5"/>
      <c r="N25" s="5"/>
      <c r="O25" s="5"/>
      <c r="P25" s="5"/>
      <c r="Q25" s="5"/>
    </row>
    <row r="26" spans="1:105" x14ac:dyDescent="0.35">
      <c r="B26" t="s">
        <v>183</v>
      </c>
      <c r="D26" s="8"/>
      <c r="E26" s="8"/>
      <c r="F26" s="5"/>
      <c r="K26" s="5">
        <f>SUM(K14:K17)</f>
        <v>-1048823423.9445586</v>
      </c>
      <c r="L26" s="5"/>
      <c r="M26" s="5"/>
      <c r="N26" s="5"/>
      <c r="O26" s="5"/>
      <c r="P26" s="5"/>
      <c r="Q26" s="5"/>
      <c r="AT26" s="5"/>
      <c r="AW26" s="21"/>
      <c r="BB26" s="5"/>
      <c r="BJ26" s="5"/>
      <c r="BR26" s="5"/>
      <c r="BZ26" s="5"/>
      <c r="CH26" s="5"/>
      <c r="CP26" s="5"/>
    </row>
    <row r="27" spans="1:105" x14ac:dyDescent="0.35">
      <c r="D27" s="8"/>
      <c r="E27" s="8"/>
      <c r="F27" s="5"/>
      <c r="K27" s="5"/>
      <c r="L27" s="5"/>
      <c r="M27" s="5"/>
      <c r="N27" s="5"/>
      <c r="O27" s="5"/>
      <c r="P27" s="5"/>
      <c r="Q27" s="5"/>
    </row>
    <row r="28" spans="1:105" x14ac:dyDescent="0.35">
      <c r="A28" t="s">
        <v>116</v>
      </c>
      <c r="B28" t="s">
        <v>116</v>
      </c>
      <c r="D28" s="8">
        <v>0.09</v>
      </c>
      <c r="E28" s="8">
        <v>0.28999999999999998</v>
      </c>
      <c r="F28" s="5"/>
      <c r="K28" s="24">
        <f>[1]Breakdown!$R$14</f>
        <v>-295896.74971668795</v>
      </c>
      <c r="L28" s="5"/>
      <c r="M28" s="5"/>
      <c r="N28" s="5"/>
      <c r="O28" s="5"/>
      <c r="P28" s="5"/>
      <c r="Q28" s="5"/>
      <c r="AT28" s="21"/>
      <c r="BB28" s="21"/>
      <c r="BJ28" s="21"/>
      <c r="BR28" s="21"/>
      <c r="BZ28" s="21"/>
      <c r="CH28" s="21"/>
      <c r="CP28" s="21"/>
    </row>
    <row r="29" spans="1:105" x14ac:dyDescent="0.35">
      <c r="K29" s="5"/>
      <c r="L29" s="5"/>
      <c r="M29" s="5"/>
      <c r="N29" s="5"/>
      <c r="O29" s="5"/>
      <c r="P29" s="5"/>
      <c r="Q29" s="5"/>
    </row>
    <row r="30" spans="1:105" x14ac:dyDescent="0.35">
      <c r="K30" s="5"/>
      <c r="L30" s="5"/>
      <c r="M30" s="5"/>
      <c r="N30" s="5"/>
      <c r="O30" s="5"/>
      <c r="P30" s="5"/>
      <c r="Q30" s="5"/>
    </row>
    <row r="31" spans="1:105" x14ac:dyDescent="0.35">
      <c r="K31" s="5"/>
      <c r="L31" s="5"/>
      <c r="M31" s="5"/>
      <c r="N31" s="5"/>
      <c r="O31" s="5"/>
      <c r="P31" s="5"/>
      <c r="Q31" s="5"/>
      <c r="AT31" s="21"/>
      <c r="BB31" s="21"/>
      <c r="BJ31" s="21"/>
      <c r="BR31" s="21"/>
      <c r="BZ31" s="21"/>
      <c r="CH31" s="21"/>
      <c r="CP31" s="21"/>
      <c r="CV31" s="21"/>
    </row>
    <row r="32" spans="1:105" x14ac:dyDescent="0.35">
      <c r="J32" s="21"/>
      <c r="K32" s="5"/>
      <c r="L32" s="5"/>
      <c r="M32" s="5"/>
      <c r="N32" s="5"/>
      <c r="O32" s="5"/>
      <c r="P32" s="5"/>
      <c r="Q32" s="5"/>
    </row>
    <row r="33" spans="11:100" x14ac:dyDescent="0.35">
      <c r="K33" s="5"/>
      <c r="L33" s="5"/>
      <c r="M33" s="5"/>
      <c r="N33" s="5"/>
      <c r="O33" s="5"/>
      <c r="P33" s="5"/>
      <c r="Q33" s="5"/>
      <c r="CV33" s="21"/>
    </row>
    <row r="34" spans="11:100" x14ac:dyDescent="0.35">
      <c r="K34" s="5"/>
      <c r="L34" s="5"/>
      <c r="M34" s="5"/>
      <c r="N34" s="5"/>
      <c r="O34" s="5"/>
      <c r="P34" s="5"/>
      <c r="Q34" s="5"/>
    </row>
    <row r="35" spans="11:100" x14ac:dyDescent="0.35">
      <c r="K35" s="5"/>
      <c r="L35" s="5"/>
      <c r="M35" s="5"/>
      <c r="N35" s="5"/>
      <c r="O35" s="5"/>
      <c r="P35" s="5"/>
      <c r="Q35" s="5"/>
    </row>
  </sheetData>
  <mergeCells count="13">
    <mergeCell ref="CM2:CT2"/>
    <mergeCell ref="AQ2:AX2"/>
    <mergeCell ref="AY2:BF2"/>
    <mergeCell ref="BG2:BN2"/>
    <mergeCell ref="BO2:BV2"/>
    <mergeCell ref="BW2:CD2"/>
    <mergeCell ref="CE2:CL2"/>
    <mergeCell ref="D2:E2"/>
    <mergeCell ref="R2:T2"/>
    <mergeCell ref="U2:W2"/>
    <mergeCell ref="X2:Y2"/>
    <mergeCell ref="AA2:AH2"/>
    <mergeCell ref="AI2:A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B5C0-86CF-45CF-B6A0-BEDBCDF34B5E}">
  <dimension ref="C4:L5"/>
  <sheetViews>
    <sheetView workbookViewId="0">
      <selection activeCell="F10" sqref="F10"/>
    </sheetView>
  </sheetViews>
  <sheetFormatPr defaultColWidth="13.7265625" defaultRowHeight="14.5" x14ac:dyDescent="0.35"/>
  <sheetData>
    <row r="4" spans="3:12" ht="29" x14ac:dyDescent="0.35">
      <c r="C4" s="12" t="s">
        <v>110</v>
      </c>
      <c r="D4" s="12" t="s">
        <v>112</v>
      </c>
      <c r="E4" s="12" t="s">
        <v>128</v>
      </c>
      <c r="F4" s="12" t="s">
        <v>130</v>
      </c>
      <c r="G4" s="12" t="s">
        <v>111</v>
      </c>
      <c r="H4" s="12" t="s">
        <v>129</v>
      </c>
      <c r="I4" s="12" t="s">
        <v>125</v>
      </c>
      <c r="J4" s="12" t="s">
        <v>126</v>
      </c>
      <c r="K4" s="12" t="s">
        <v>113</v>
      </c>
      <c r="L4" s="12" t="s">
        <v>127</v>
      </c>
    </row>
    <row r="5" spans="3:12" x14ac:dyDescent="0.35">
      <c r="C5" s="11">
        <v>1517687300.5481999</v>
      </c>
      <c r="D5" s="11">
        <v>588921938.5463165</v>
      </c>
      <c r="E5" s="11">
        <v>227338037.72726017</v>
      </c>
      <c r="F5" s="11">
        <v>188533580.72670579</v>
      </c>
      <c r="G5" s="11">
        <v>127531101.38953888</v>
      </c>
      <c r="H5" s="11">
        <v>68987994.817245364</v>
      </c>
      <c r="I5" s="11">
        <v>93921955.587476432</v>
      </c>
      <c r="J5" s="11">
        <v>84460351.362392485</v>
      </c>
      <c r="K5" s="11">
        <v>57750145.352534525</v>
      </c>
      <c r="L5" s="11">
        <v>35801642.406613447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6"/>
  <sheetViews>
    <sheetView workbookViewId="0">
      <selection activeCell="D11" sqref="D11"/>
    </sheetView>
  </sheetViews>
  <sheetFormatPr defaultRowHeight="14.5" x14ac:dyDescent="0.35"/>
  <cols>
    <col min="1" max="1" width="16.6328125" bestFit="1" customWidth="1"/>
    <col min="2" max="4" width="16" bestFit="1" customWidth="1"/>
    <col min="5" max="5" width="15" bestFit="1" customWidth="1"/>
    <col min="6" max="7" width="16" bestFit="1" customWidth="1"/>
    <col min="8" max="8" width="15" bestFit="1" customWidth="1"/>
    <col min="9" max="10" width="16" bestFit="1" customWidth="1"/>
    <col min="11" max="11" width="15" bestFit="1" customWidth="1"/>
    <col min="12" max="13" width="14.453125" bestFit="1" customWidth="1"/>
    <col min="14" max="14" width="13.54296875" bestFit="1" customWidth="1"/>
    <col min="15" max="16" width="14.453125" bestFit="1" customWidth="1"/>
    <col min="17" max="17" width="13.54296875" bestFit="1" customWidth="1"/>
    <col min="18" max="19" width="14.453125" bestFit="1" customWidth="1"/>
    <col min="20" max="20" width="13.54296875" bestFit="1" customWidth="1"/>
    <col min="21" max="22" width="14.453125" bestFit="1" customWidth="1"/>
    <col min="23" max="23" width="13.54296875" bestFit="1" customWidth="1"/>
    <col min="24" max="25" width="14.453125" bestFit="1" customWidth="1"/>
    <col min="26" max="26" width="13.54296875" bestFit="1" customWidth="1"/>
    <col min="27" max="28" width="14.453125" bestFit="1" customWidth="1"/>
    <col min="29" max="29" width="13.54296875" bestFit="1" customWidth="1"/>
    <col min="30" max="31" width="14.453125" bestFit="1" customWidth="1"/>
    <col min="32" max="32" width="13.54296875" bestFit="1" customWidth="1"/>
    <col min="33" max="34" width="14.453125" bestFit="1" customWidth="1"/>
    <col min="35" max="35" width="13.54296875" bestFit="1" customWidth="1"/>
    <col min="36" max="37" width="14.453125" bestFit="1" customWidth="1"/>
    <col min="38" max="38" width="13.54296875" bestFit="1" customWidth="1"/>
    <col min="39" max="40" width="14.453125" bestFit="1" customWidth="1"/>
    <col min="41" max="41" width="13.54296875" bestFit="1" customWidth="1"/>
    <col min="42" max="43" width="14.453125" bestFit="1" customWidth="1"/>
    <col min="44" max="44" width="13.54296875" bestFit="1" customWidth="1"/>
    <col min="45" max="46" width="14.453125" bestFit="1" customWidth="1"/>
    <col min="47" max="47" width="13.54296875" bestFit="1" customWidth="1"/>
    <col min="48" max="49" width="14.453125" bestFit="1" customWidth="1"/>
    <col min="50" max="50" width="13.54296875" bestFit="1" customWidth="1"/>
    <col min="51" max="52" width="13.36328125" bestFit="1" customWidth="1"/>
    <col min="53" max="53" width="12.453125" bestFit="1" customWidth="1"/>
    <col min="54" max="55" width="13.36328125" bestFit="1" customWidth="1"/>
    <col min="56" max="56" width="12.453125" bestFit="1" customWidth="1"/>
    <col min="57" max="58" width="13.36328125" bestFit="1" customWidth="1"/>
    <col min="59" max="59" width="12.453125" bestFit="1" customWidth="1"/>
    <col min="60" max="60" width="13.36328125" bestFit="1" customWidth="1"/>
    <col min="61" max="61" width="12.1796875" bestFit="1" customWidth="1"/>
    <col min="62" max="62" width="10.453125" bestFit="1" customWidth="1"/>
    <col min="63" max="63" width="10.6328125" bestFit="1" customWidth="1"/>
    <col min="64" max="64" width="10.4531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2881</v>
      </c>
      <c r="C2" s="2">
        <v>2632</v>
      </c>
      <c r="D2" s="2">
        <v>2562</v>
      </c>
      <c r="E2" s="3">
        <v>2459</v>
      </c>
      <c r="F2" s="2">
        <v>2388</v>
      </c>
      <c r="G2" s="2">
        <v>2286</v>
      </c>
      <c r="H2" s="3">
        <v>2217</v>
      </c>
      <c r="I2" s="2">
        <v>2119</v>
      </c>
      <c r="J2" s="2">
        <v>2051</v>
      </c>
      <c r="K2" s="3">
        <v>1965</v>
      </c>
      <c r="L2" s="2">
        <v>1904</v>
      </c>
      <c r="M2" s="2">
        <v>1823</v>
      </c>
      <c r="N2" s="3">
        <v>1741</v>
      </c>
      <c r="O2" s="2">
        <v>1668</v>
      </c>
      <c r="P2" s="2">
        <v>1613</v>
      </c>
      <c r="Q2" s="3">
        <v>1556</v>
      </c>
      <c r="R2" s="2">
        <v>1503</v>
      </c>
      <c r="S2" s="2">
        <v>1452</v>
      </c>
      <c r="T2" s="3">
        <v>1396</v>
      </c>
      <c r="U2" s="2">
        <v>1349</v>
      </c>
      <c r="V2" s="2">
        <v>1282</v>
      </c>
      <c r="W2" s="3">
        <v>1221</v>
      </c>
      <c r="X2" s="2">
        <v>1141</v>
      </c>
      <c r="Y2" s="2">
        <v>1080</v>
      </c>
      <c r="Z2" s="3">
        <v>1011</v>
      </c>
      <c r="AA2" s="2">
        <v>969</v>
      </c>
      <c r="AB2" s="2">
        <v>929</v>
      </c>
      <c r="AC2" s="3">
        <v>893</v>
      </c>
      <c r="AD2" s="2">
        <v>867</v>
      </c>
      <c r="AE2" s="2">
        <v>827</v>
      </c>
      <c r="AF2" s="3">
        <v>775</v>
      </c>
      <c r="AG2" s="2">
        <v>734</v>
      </c>
      <c r="AH2" s="2">
        <v>654</v>
      </c>
      <c r="AI2" s="3">
        <v>590</v>
      </c>
      <c r="AJ2" s="2">
        <v>535</v>
      </c>
      <c r="AK2" s="2">
        <v>483</v>
      </c>
      <c r="AL2" s="3">
        <v>444</v>
      </c>
      <c r="AM2" s="2">
        <v>410</v>
      </c>
      <c r="AN2" s="2">
        <v>388</v>
      </c>
      <c r="AO2" s="3">
        <v>372</v>
      </c>
      <c r="AP2" s="2">
        <v>361</v>
      </c>
      <c r="AQ2" s="2">
        <v>339</v>
      </c>
      <c r="AR2" s="3">
        <v>319</v>
      </c>
      <c r="AS2" s="2">
        <v>306</v>
      </c>
      <c r="AT2" s="2">
        <v>285</v>
      </c>
      <c r="AU2" s="3">
        <v>271</v>
      </c>
      <c r="AV2" s="2">
        <v>246</v>
      </c>
      <c r="AW2" s="2">
        <v>226</v>
      </c>
      <c r="AX2" s="3">
        <v>188</v>
      </c>
      <c r="AY2" s="2">
        <v>152</v>
      </c>
      <c r="AZ2" s="2">
        <v>143</v>
      </c>
      <c r="BA2" s="3">
        <v>129</v>
      </c>
      <c r="BB2" s="2">
        <v>120</v>
      </c>
      <c r="BC2" s="2">
        <v>107</v>
      </c>
      <c r="BD2" s="3">
        <v>94</v>
      </c>
      <c r="BE2" s="2">
        <v>77</v>
      </c>
      <c r="BF2" s="2">
        <v>71</v>
      </c>
      <c r="BG2" s="3">
        <v>54</v>
      </c>
      <c r="BH2" s="2">
        <v>34</v>
      </c>
      <c r="BI2" s="2">
        <v>14</v>
      </c>
      <c r="BJ2" s="3">
        <v>1</v>
      </c>
      <c r="BK2" s="2">
        <v>1</v>
      </c>
      <c r="BL2">
        <v>1</v>
      </c>
    </row>
    <row r="3" spans="1:64" ht="15.5" x14ac:dyDescent="0.35">
      <c r="A3" t="s">
        <v>65</v>
      </c>
      <c r="B3" s="2">
        <v>261</v>
      </c>
      <c r="C3" s="2">
        <v>228</v>
      </c>
      <c r="D3" s="2">
        <v>223</v>
      </c>
      <c r="E3" s="3">
        <v>220</v>
      </c>
      <c r="F3" s="2">
        <v>217</v>
      </c>
      <c r="G3" s="2">
        <v>215</v>
      </c>
      <c r="H3" s="3">
        <v>214</v>
      </c>
      <c r="I3" s="2">
        <v>214</v>
      </c>
      <c r="J3" s="2">
        <v>212</v>
      </c>
      <c r="K3" s="3">
        <v>209</v>
      </c>
      <c r="L3" s="2">
        <v>203</v>
      </c>
      <c r="M3" s="2">
        <v>199</v>
      </c>
      <c r="N3" s="3">
        <v>198</v>
      </c>
      <c r="O3" s="2">
        <v>194</v>
      </c>
      <c r="P3" s="2">
        <v>193</v>
      </c>
      <c r="Q3" s="3">
        <v>192</v>
      </c>
      <c r="R3" s="2">
        <v>192</v>
      </c>
      <c r="S3" s="2">
        <v>187</v>
      </c>
      <c r="T3" s="3">
        <v>187</v>
      </c>
      <c r="U3" s="2">
        <v>183</v>
      </c>
      <c r="V3" s="2">
        <v>182</v>
      </c>
      <c r="W3" s="3">
        <v>174</v>
      </c>
      <c r="X3" s="2">
        <v>170</v>
      </c>
      <c r="Y3" s="2">
        <v>162</v>
      </c>
      <c r="Z3" s="3">
        <v>152</v>
      </c>
      <c r="AA3" s="2">
        <v>145</v>
      </c>
      <c r="AB3" s="2">
        <v>137</v>
      </c>
      <c r="AC3" s="3">
        <v>137</v>
      </c>
      <c r="AD3" s="2">
        <v>133</v>
      </c>
      <c r="AE3" s="2">
        <v>126</v>
      </c>
      <c r="AF3" s="3">
        <v>124</v>
      </c>
      <c r="AG3" s="2">
        <v>124</v>
      </c>
      <c r="AH3" s="2">
        <v>124</v>
      </c>
      <c r="AI3" s="3">
        <v>106</v>
      </c>
      <c r="AJ3" s="2">
        <v>76</v>
      </c>
      <c r="AK3" s="2">
        <v>74</v>
      </c>
      <c r="AL3" s="3">
        <v>71</v>
      </c>
      <c r="AM3" s="2">
        <v>70</v>
      </c>
      <c r="AN3" s="2">
        <v>65</v>
      </c>
      <c r="AO3" s="3">
        <v>64</v>
      </c>
      <c r="AP3" s="2">
        <v>60</v>
      </c>
      <c r="AQ3" s="2">
        <v>58</v>
      </c>
      <c r="AR3" s="3">
        <v>49</v>
      </c>
      <c r="AS3" s="2">
        <v>49</v>
      </c>
      <c r="AT3" s="2">
        <v>31</v>
      </c>
      <c r="AU3" s="3">
        <v>27</v>
      </c>
      <c r="AV3" s="2">
        <v>24</v>
      </c>
      <c r="AW3" s="2">
        <v>22</v>
      </c>
      <c r="AX3" s="3">
        <v>19</v>
      </c>
      <c r="AY3" s="2">
        <v>12</v>
      </c>
      <c r="AZ3" s="2">
        <v>11</v>
      </c>
      <c r="BA3" s="3">
        <v>11</v>
      </c>
      <c r="BB3" s="2">
        <v>11</v>
      </c>
      <c r="BC3" s="2">
        <v>10</v>
      </c>
      <c r="BD3" s="3">
        <v>6</v>
      </c>
      <c r="BE3" s="2">
        <v>6</v>
      </c>
      <c r="BF3" s="2">
        <v>4</v>
      </c>
      <c r="BG3" s="3">
        <v>4</v>
      </c>
      <c r="BH3" s="2">
        <v>3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36061929.889999896</v>
      </c>
      <c r="C5" s="2">
        <v>33082838.639999948</v>
      </c>
      <c r="D5" s="2">
        <v>32142523.589999959</v>
      </c>
      <c r="E5" s="3">
        <v>31181889.189999931</v>
      </c>
      <c r="F5" s="2">
        <v>30345711.099999938</v>
      </c>
      <c r="G5" s="2">
        <v>29362938.879999962</v>
      </c>
      <c r="H5" s="3">
        <v>28611785.609999951</v>
      </c>
      <c r="I5" s="2">
        <v>27625885.169999931</v>
      </c>
      <c r="J5" s="2">
        <v>26926776.119999941</v>
      </c>
      <c r="K5" s="3">
        <v>25859169.199999951</v>
      </c>
      <c r="L5" s="2">
        <v>25063299.94999994</v>
      </c>
      <c r="M5" s="2">
        <v>24086503.159999941</v>
      </c>
      <c r="N5" s="3">
        <v>23053629.30999995</v>
      </c>
      <c r="O5" s="2">
        <v>21972576.539999951</v>
      </c>
      <c r="P5" s="2">
        <v>21411828.209999941</v>
      </c>
      <c r="Q5" s="3">
        <v>20677346.479999948</v>
      </c>
      <c r="R5" s="2">
        <v>20128710.039999962</v>
      </c>
      <c r="S5" s="2">
        <v>19453016.60999997</v>
      </c>
      <c r="T5" s="3">
        <v>18879268.229999971</v>
      </c>
      <c r="U5" s="2">
        <v>18207133.589999981</v>
      </c>
      <c r="V5" s="2">
        <v>17487788.459999971</v>
      </c>
      <c r="W5" s="3">
        <v>16802730.589999989</v>
      </c>
      <c r="X5" s="2">
        <v>15813516.22999998</v>
      </c>
      <c r="Y5" s="2">
        <v>15044804.749999991</v>
      </c>
      <c r="Z5" s="3">
        <v>14187477.86999999</v>
      </c>
      <c r="AA5" s="2">
        <v>13627835.229999989</v>
      </c>
      <c r="AB5" s="2">
        <v>13084452.74</v>
      </c>
      <c r="AC5" s="3">
        <v>12654059.989999991</v>
      </c>
      <c r="AD5" s="2">
        <v>12345427.210000001</v>
      </c>
      <c r="AE5" s="2">
        <v>11765923.099999979</v>
      </c>
      <c r="AF5" s="3">
        <v>11031887.089999991</v>
      </c>
      <c r="AG5" s="2">
        <v>10596177.95999999</v>
      </c>
      <c r="AH5" s="2">
        <v>9643632.2600000016</v>
      </c>
      <c r="AI5" s="3">
        <v>8769630.4299999885</v>
      </c>
      <c r="AJ5" s="2">
        <v>7953162.549999998</v>
      </c>
      <c r="AK5" s="2">
        <v>7383519.5099999961</v>
      </c>
      <c r="AL5" s="3">
        <v>6881624.6699999971</v>
      </c>
      <c r="AM5" s="2">
        <v>6475984.4499999974</v>
      </c>
      <c r="AN5" s="2">
        <v>6093890.2299999967</v>
      </c>
      <c r="AO5" s="3">
        <v>5902985.9699999988</v>
      </c>
      <c r="AP5" s="2">
        <v>5574913.3200000031</v>
      </c>
      <c r="AQ5" s="2">
        <v>5232541.4200000064</v>
      </c>
      <c r="AR5" s="3">
        <v>4930996.9300000072</v>
      </c>
      <c r="AS5" s="2">
        <v>4813756.1000000071</v>
      </c>
      <c r="AT5" s="2">
        <v>4417225.5600000024</v>
      </c>
      <c r="AU5" s="3">
        <v>4168084.0500000031</v>
      </c>
      <c r="AV5" s="2">
        <v>3933561.6000000029</v>
      </c>
      <c r="AW5" s="2">
        <v>3663759.760000003</v>
      </c>
      <c r="AX5" s="3">
        <v>3094972.52</v>
      </c>
      <c r="AY5" s="2">
        <v>2261993.709999999</v>
      </c>
      <c r="AZ5" s="2">
        <v>2143196.75</v>
      </c>
      <c r="BA5" s="3">
        <v>2021146.08</v>
      </c>
      <c r="BB5" s="2">
        <v>1927906.93</v>
      </c>
      <c r="BC5" s="2">
        <v>1689825.6400000011</v>
      </c>
      <c r="BD5" s="3">
        <v>1337312.24</v>
      </c>
      <c r="BE5" s="2">
        <v>1146750.959999999</v>
      </c>
      <c r="BF5" s="2">
        <v>1078940.82</v>
      </c>
      <c r="BG5" s="3">
        <v>919030.86999999988</v>
      </c>
      <c r="BH5" s="2">
        <v>577944.97</v>
      </c>
      <c r="BI5" s="2">
        <v>226361.77</v>
      </c>
      <c r="BJ5" s="3">
        <v>20732.599999999999</v>
      </c>
      <c r="BK5" s="2">
        <v>20732.599999999999</v>
      </c>
      <c r="BL5">
        <v>20732.599999999999</v>
      </c>
    </row>
    <row r="6" spans="1:64" ht="15.5" x14ac:dyDescent="0.35">
      <c r="A6" t="s">
        <v>68</v>
      </c>
      <c r="B6" s="2">
        <v>15557761.090000089</v>
      </c>
      <c r="C6" s="2">
        <v>14192954.52000007</v>
      </c>
      <c r="D6" s="2">
        <v>13761785.56000006</v>
      </c>
      <c r="E6" s="3">
        <v>13356959.340000059</v>
      </c>
      <c r="F6" s="2">
        <v>13010132.01000005</v>
      </c>
      <c r="G6" s="2">
        <v>12597134.98000004</v>
      </c>
      <c r="H6" s="3">
        <v>12296358.34000003</v>
      </c>
      <c r="I6" s="2">
        <v>11905224.22000004</v>
      </c>
      <c r="J6" s="2">
        <v>11609722.37000004</v>
      </c>
      <c r="K6" s="3">
        <v>11116415.26000005</v>
      </c>
      <c r="L6" s="2">
        <v>10771676.92000005</v>
      </c>
      <c r="M6" s="2">
        <v>10368482.68000005</v>
      </c>
      <c r="N6" s="3">
        <v>9927185.9300000481</v>
      </c>
      <c r="O6" s="2">
        <v>9499473.9900000468</v>
      </c>
      <c r="P6" s="2">
        <v>9260661.120000042</v>
      </c>
      <c r="Q6" s="3">
        <v>8939940.9100000393</v>
      </c>
      <c r="R6" s="2">
        <v>8707843.6000000015</v>
      </c>
      <c r="S6" s="2">
        <v>8430844.8599999882</v>
      </c>
      <c r="T6" s="3">
        <v>8198805.8399999933</v>
      </c>
      <c r="U6" s="2">
        <v>7930443.7799999909</v>
      </c>
      <c r="V6" s="2">
        <v>7636049.4099999899</v>
      </c>
      <c r="W6" s="3">
        <v>7335922.3799999962</v>
      </c>
      <c r="X6" s="2">
        <v>6916964.5899999961</v>
      </c>
      <c r="Y6" s="2">
        <v>6570661.1699999962</v>
      </c>
      <c r="Z6" s="3">
        <v>6197157.7599999942</v>
      </c>
      <c r="AA6" s="2">
        <v>5952174.5299999965</v>
      </c>
      <c r="AB6" s="2">
        <v>5715974.9999999916</v>
      </c>
      <c r="AC6" s="3">
        <v>5536616.8599999873</v>
      </c>
      <c r="AD6" s="2">
        <v>5404755.8799999868</v>
      </c>
      <c r="AE6" s="2">
        <v>5155379.4499999881</v>
      </c>
      <c r="AF6" s="3">
        <v>4831070.4699999886</v>
      </c>
      <c r="AG6" s="2">
        <v>4647540.3699999908</v>
      </c>
      <c r="AH6" s="2">
        <v>4263536.7099999869</v>
      </c>
      <c r="AI6" s="3">
        <v>3874547.539999994</v>
      </c>
      <c r="AJ6" s="2">
        <v>3524726.609999998</v>
      </c>
      <c r="AK6" s="2">
        <v>3274185.0500000012</v>
      </c>
      <c r="AL6" s="3">
        <v>3078257.51</v>
      </c>
      <c r="AM6" s="2">
        <v>2887315.850000001</v>
      </c>
      <c r="AN6" s="2">
        <v>2697987.0800000019</v>
      </c>
      <c r="AO6" s="3">
        <v>2624672.3100000028</v>
      </c>
      <c r="AP6" s="2">
        <v>2444255.010000003</v>
      </c>
      <c r="AQ6" s="2">
        <v>2291205.1600000039</v>
      </c>
      <c r="AR6" s="3">
        <v>2144014.760000003</v>
      </c>
      <c r="AS6" s="2">
        <v>2099922.680000002</v>
      </c>
      <c r="AT6" s="2">
        <v>1889910.7800000019</v>
      </c>
      <c r="AU6" s="3">
        <v>1764433.870000002</v>
      </c>
      <c r="AV6" s="2">
        <v>1666231.0400000019</v>
      </c>
      <c r="AW6" s="2">
        <v>1538816.3400000031</v>
      </c>
      <c r="AX6" s="3">
        <v>1298525.2600000009</v>
      </c>
      <c r="AY6" s="2">
        <v>947904.5199999999</v>
      </c>
      <c r="AZ6" s="2">
        <v>894158.67999999993</v>
      </c>
      <c r="BA6" s="3">
        <v>845497.0199999999</v>
      </c>
      <c r="BB6" s="2">
        <v>807770.61999999976</v>
      </c>
      <c r="BC6" s="2">
        <v>715347.26999999979</v>
      </c>
      <c r="BD6" s="3">
        <v>535053.84999999974</v>
      </c>
      <c r="BE6" s="2">
        <v>455543.6799999997</v>
      </c>
      <c r="BF6" s="2">
        <v>427209.74999999983</v>
      </c>
      <c r="BG6" s="3">
        <v>365925.54999999987</v>
      </c>
      <c r="BH6" s="2">
        <v>229695.73</v>
      </c>
      <c r="BI6" s="2">
        <v>85040.700000000012</v>
      </c>
      <c r="BJ6" s="3">
        <v>9595.6299999999992</v>
      </c>
      <c r="BK6" s="2">
        <v>9595.6299999999992</v>
      </c>
      <c r="BL6">
        <v>9595.6299999999992</v>
      </c>
    </row>
    <row r="7" spans="1:64" ht="15.5" x14ac:dyDescent="0.35">
      <c r="A7" t="s">
        <v>69</v>
      </c>
      <c r="B7" s="2">
        <v>9493757.9100000001</v>
      </c>
      <c r="C7" s="2">
        <v>8821856.3099999875</v>
      </c>
      <c r="D7" s="2">
        <v>8625812.0800000094</v>
      </c>
      <c r="E7" s="3">
        <v>8428238.7800000198</v>
      </c>
      <c r="F7" s="2">
        <v>8231344.8500000192</v>
      </c>
      <c r="G7" s="2">
        <v>8005503.6300000222</v>
      </c>
      <c r="H7" s="3">
        <v>7827256.3500000294</v>
      </c>
      <c r="I7" s="2">
        <v>7584910.5600000303</v>
      </c>
      <c r="J7" s="2">
        <v>7416294.4900000319</v>
      </c>
      <c r="K7" s="3">
        <v>7154905.9600000288</v>
      </c>
      <c r="L7" s="2">
        <v>6977845.4900000244</v>
      </c>
      <c r="M7" s="2">
        <v>6714993.4500000197</v>
      </c>
      <c r="N7" s="3">
        <v>6431954.1800000202</v>
      </c>
      <c r="O7" s="2">
        <v>6172260.5400000243</v>
      </c>
      <c r="P7" s="2">
        <v>6012246.3000000278</v>
      </c>
      <c r="Q7" s="3">
        <v>5827482.6400000304</v>
      </c>
      <c r="R7" s="2">
        <v>5679482.3600000283</v>
      </c>
      <c r="S7" s="2">
        <v>5521293.8100000294</v>
      </c>
      <c r="T7" s="3">
        <v>5376848.5200000303</v>
      </c>
      <c r="U7" s="2">
        <v>5203879.4600000307</v>
      </c>
      <c r="V7" s="2">
        <v>5012624.6600000206</v>
      </c>
      <c r="W7" s="3">
        <v>4816410.6100000199</v>
      </c>
      <c r="X7" s="2">
        <v>4527817.2900000047</v>
      </c>
      <c r="Y7" s="2">
        <v>4307664.5699999966</v>
      </c>
      <c r="Z7" s="3">
        <v>4087395.7399999918</v>
      </c>
      <c r="AA7" s="2">
        <v>3939472.2399999918</v>
      </c>
      <c r="AB7" s="2">
        <v>3798964.6499999939</v>
      </c>
      <c r="AC7" s="3">
        <v>3689406.2799999961</v>
      </c>
      <c r="AD7" s="2">
        <v>3596761.429999995</v>
      </c>
      <c r="AE7" s="2">
        <v>3439280.5099999961</v>
      </c>
      <c r="AF7" s="3">
        <v>3252256.9899999988</v>
      </c>
      <c r="AG7" s="2">
        <v>3128251.6399999992</v>
      </c>
      <c r="AH7" s="2">
        <v>2812414.82</v>
      </c>
      <c r="AI7" s="3">
        <v>2545116.6100000008</v>
      </c>
      <c r="AJ7" s="2">
        <v>2277292.2300000009</v>
      </c>
      <c r="AK7" s="2">
        <v>2116358.48</v>
      </c>
      <c r="AL7" s="3">
        <v>1978468.93</v>
      </c>
      <c r="AM7" s="2">
        <v>1860500.1</v>
      </c>
      <c r="AN7" s="2">
        <v>1747379.23</v>
      </c>
      <c r="AO7" s="3">
        <v>1683225.28</v>
      </c>
      <c r="AP7" s="2">
        <v>1586443.439999999</v>
      </c>
      <c r="AQ7" s="2">
        <v>1485566.549999998</v>
      </c>
      <c r="AR7" s="3">
        <v>1393615.9999999979</v>
      </c>
      <c r="AS7" s="2">
        <v>1356496.2299999991</v>
      </c>
      <c r="AT7" s="2">
        <v>1252527.849999998</v>
      </c>
      <c r="AU7" s="3">
        <v>1181023.699999999</v>
      </c>
      <c r="AV7" s="2">
        <v>1110824.1200000001</v>
      </c>
      <c r="AW7" s="2">
        <v>1034765.78</v>
      </c>
      <c r="AX7" s="3">
        <v>882361.9299999997</v>
      </c>
      <c r="AY7" s="2">
        <v>659898.89999999956</v>
      </c>
      <c r="AZ7" s="2">
        <v>624111.26999999932</v>
      </c>
      <c r="BA7" s="3">
        <v>588005.01999999909</v>
      </c>
      <c r="BB7" s="2">
        <v>563901.40999999922</v>
      </c>
      <c r="BC7" s="2">
        <v>508224.36999999982</v>
      </c>
      <c r="BD7" s="3">
        <v>393347.74999999988</v>
      </c>
      <c r="BE7" s="2">
        <v>327684.06</v>
      </c>
      <c r="BF7" s="2">
        <v>304486.24</v>
      </c>
      <c r="BG7" s="3">
        <v>251532.84000000011</v>
      </c>
      <c r="BH7" s="2">
        <v>160952.53</v>
      </c>
      <c r="BI7" s="2">
        <v>59097.820000000007</v>
      </c>
      <c r="BJ7" s="3">
        <v>4359.75</v>
      </c>
      <c r="BK7" s="2">
        <v>4359.75</v>
      </c>
      <c r="BL7">
        <v>4359.75</v>
      </c>
    </row>
    <row r="8" spans="1:64" ht="15.5" x14ac:dyDescent="0.35">
      <c r="A8" t="s">
        <v>70</v>
      </c>
      <c r="B8" s="2">
        <v>2372532.9800000079</v>
      </c>
      <c r="C8" s="2">
        <v>2129240.090000012</v>
      </c>
      <c r="D8" s="2">
        <v>2075837.200000003</v>
      </c>
      <c r="E8" s="3">
        <v>2000386.120000005</v>
      </c>
      <c r="F8" s="2">
        <v>1944090.5500000031</v>
      </c>
      <c r="G8" s="2">
        <v>1867239.300000004</v>
      </c>
      <c r="H8" s="3">
        <v>1810511.0100000061</v>
      </c>
      <c r="I8" s="2">
        <v>1736306.250000007</v>
      </c>
      <c r="J8" s="2">
        <v>1681394.260000007</v>
      </c>
      <c r="K8" s="3">
        <v>1607889.860000008</v>
      </c>
      <c r="L8" s="2">
        <v>1556572.260000007</v>
      </c>
      <c r="M8" s="2">
        <v>1479323.3800000071</v>
      </c>
      <c r="N8" s="3">
        <v>1409131.1900000069</v>
      </c>
      <c r="O8" s="2">
        <v>1336156.3600000059</v>
      </c>
      <c r="P8" s="2">
        <v>1294251.8100000061</v>
      </c>
      <c r="Q8" s="3">
        <v>1248996.2200000051</v>
      </c>
      <c r="R8" s="2">
        <v>1212293.6000000041</v>
      </c>
      <c r="S8" s="2">
        <v>1171211.570000005</v>
      </c>
      <c r="T8" s="3">
        <v>1135826.7200000051</v>
      </c>
      <c r="U8" s="2">
        <v>1089945.8500000059</v>
      </c>
      <c r="V8" s="2">
        <v>1047612.940000002</v>
      </c>
      <c r="W8" s="3">
        <v>1001932.270000002</v>
      </c>
      <c r="X8" s="2">
        <v>945125.05000000109</v>
      </c>
      <c r="Y8" s="2">
        <v>889872.56000000052</v>
      </c>
      <c r="Z8" s="3">
        <v>833823.62000000034</v>
      </c>
      <c r="AA8" s="2">
        <v>801392.18</v>
      </c>
      <c r="AB8" s="2">
        <v>770269.50000000035</v>
      </c>
      <c r="AC8" s="3">
        <v>747136.05000000028</v>
      </c>
      <c r="AD8" s="2">
        <v>726640.29000000062</v>
      </c>
      <c r="AE8" s="2">
        <v>687142.96000000066</v>
      </c>
      <c r="AF8" s="3">
        <v>645728.82000000053</v>
      </c>
      <c r="AG8" s="2">
        <v>615754.049999999</v>
      </c>
      <c r="AH8" s="2">
        <v>580956.28999999957</v>
      </c>
      <c r="AI8" s="3">
        <v>539195.44000000076</v>
      </c>
      <c r="AJ8" s="2">
        <v>495746.05000000098</v>
      </c>
      <c r="AK8" s="2">
        <v>460174.47000000108</v>
      </c>
      <c r="AL8" s="3">
        <v>422000.33000000112</v>
      </c>
      <c r="AM8" s="2">
        <v>401930.24000000098</v>
      </c>
      <c r="AN8" s="2">
        <v>376121.89000000118</v>
      </c>
      <c r="AO8" s="3">
        <v>363836.25000000099</v>
      </c>
      <c r="AP8" s="2">
        <v>339542.14000000071</v>
      </c>
      <c r="AQ8" s="2">
        <v>309547.23000000109</v>
      </c>
      <c r="AR8" s="3">
        <v>289819.36000000039</v>
      </c>
      <c r="AS8" s="2">
        <v>281922.20000000013</v>
      </c>
      <c r="AT8" s="2">
        <v>251451.37</v>
      </c>
      <c r="AU8" s="3">
        <v>231690.48</v>
      </c>
      <c r="AV8" s="2">
        <v>216235.14999999979</v>
      </c>
      <c r="AW8" s="2">
        <v>197002.75999999981</v>
      </c>
      <c r="AX8" s="3">
        <v>173598.37999999989</v>
      </c>
      <c r="AY8" s="2">
        <v>141305.28999999989</v>
      </c>
      <c r="AZ8" s="2">
        <v>132134.2699999999</v>
      </c>
      <c r="BA8" s="3">
        <v>124413.11</v>
      </c>
      <c r="BB8" s="2">
        <v>119104.21</v>
      </c>
      <c r="BC8" s="2">
        <v>108025.22</v>
      </c>
      <c r="BD8" s="3">
        <v>76253.829999999944</v>
      </c>
      <c r="BE8" s="2">
        <v>60198.14999999998</v>
      </c>
      <c r="BF8" s="2">
        <v>54298.189999999973</v>
      </c>
      <c r="BG8" s="3">
        <v>46184.589999999967</v>
      </c>
      <c r="BH8" s="2">
        <v>29647.189999999981</v>
      </c>
      <c r="BI8" s="2">
        <v>9207.3499999999985</v>
      </c>
      <c r="BJ8" s="3">
        <v>1612.18</v>
      </c>
      <c r="BK8" s="2">
        <v>1612.18</v>
      </c>
      <c r="BL8">
        <v>1612.18</v>
      </c>
    </row>
    <row r="9" spans="1:64" ht="15.5" x14ac:dyDescent="0.35">
      <c r="A9" t="s">
        <v>71</v>
      </c>
      <c r="B9" s="2">
        <v>160234001.00999951</v>
      </c>
      <c r="C9" s="2">
        <v>135984082.97999939</v>
      </c>
      <c r="D9" s="2">
        <v>130662131.2099999</v>
      </c>
      <c r="E9" s="3">
        <v>123322765.14000019</v>
      </c>
      <c r="F9" s="2">
        <v>118102446.6000002</v>
      </c>
      <c r="G9" s="2">
        <v>111638949.2500003</v>
      </c>
      <c r="H9" s="3">
        <v>106893689.3600003</v>
      </c>
      <c r="I9" s="2">
        <v>100069037.8900003</v>
      </c>
      <c r="J9" s="2">
        <v>95628431.05000028</v>
      </c>
      <c r="K9" s="3">
        <v>90200004.970000252</v>
      </c>
      <c r="L9" s="2">
        <v>85411121.29000026</v>
      </c>
      <c r="M9" s="2">
        <v>79196458.370000288</v>
      </c>
      <c r="N9" s="3">
        <v>74286958.990000278</v>
      </c>
      <c r="O9" s="2">
        <v>66302019.020000137</v>
      </c>
      <c r="P9" s="2">
        <v>63363116.300000153</v>
      </c>
      <c r="Q9" s="3">
        <v>59755860.400000148</v>
      </c>
      <c r="R9" s="2">
        <v>57177743.710000113</v>
      </c>
      <c r="S9" s="2">
        <v>54286011.980000101</v>
      </c>
      <c r="T9" s="3">
        <v>51932034.600000083</v>
      </c>
      <c r="U9" s="2">
        <v>49856115.390000097</v>
      </c>
      <c r="V9" s="2">
        <v>46303264.550000109</v>
      </c>
      <c r="W9" s="3">
        <v>44205408.40000008</v>
      </c>
      <c r="X9" s="2">
        <v>37990648.95000013</v>
      </c>
      <c r="Y9" s="2">
        <v>35328648.610000141</v>
      </c>
      <c r="Z9" s="3">
        <v>32250614.829999939</v>
      </c>
      <c r="AA9" s="2">
        <v>29983853.509999961</v>
      </c>
      <c r="AB9" s="2">
        <v>28480544.10999997</v>
      </c>
      <c r="AC9" s="3">
        <v>26793903.759999972</v>
      </c>
      <c r="AD9" s="2">
        <v>25842386.379999969</v>
      </c>
      <c r="AE9" s="2">
        <v>24190119.759999972</v>
      </c>
      <c r="AF9" s="3">
        <v>22264510.959999971</v>
      </c>
      <c r="AG9" s="2">
        <v>21336953.529999971</v>
      </c>
      <c r="AH9" s="2">
        <v>20070876.239999969</v>
      </c>
      <c r="AI9" s="3">
        <v>18792185.039999992</v>
      </c>
      <c r="AJ9" s="2">
        <v>15980964.65</v>
      </c>
      <c r="AK9" s="2">
        <v>14568941.089999991</v>
      </c>
      <c r="AL9" s="3">
        <v>11749143.34999999</v>
      </c>
      <c r="AM9" s="2">
        <v>10316667.089999979</v>
      </c>
      <c r="AN9" s="2">
        <v>9769579.7999999896</v>
      </c>
      <c r="AO9" s="3">
        <v>9429804.8699999936</v>
      </c>
      <c r="AP9" s="2">
        <v>9102477.9599999972</v>
      </c>
      <c r="AQ9" s="2">
        <v>8590104.6799999997</v>
      </c>
      <c r="AR9" s="3">
        <v>8143226.4700000007</v>
      </c>
      <c r="AS9" s="2">
        <v>7878599.6000000006</v>
      </c>
      <c r="AT9" s="2">
        <v>7544216.5700000022</v>
      </c>
      <c r="AU9" s="3">
        <v>7290665.1800000016</v>
      </c>
      <c r="AV9" s="2">
        <v>7067451.0900000017</v>
      </c>
      <c r="AW9" s="2">
        <v>6805991.4200000009</v>
      </c>
      <c r="AX9" s="3">
        <v>5152068.9300000016</v>
      </c>
      <c r="AY9" s="2">
        <v>2332273.38</v>
      </c>
      <c r="AZ9" s="2">
        <v>2169310.31</v>
      </c>
      <c r="BA9" s="3">
        <v>1741086.15</v>
      </c>
      <c r="BB9" s="2">
        <v>1441928.68</v>
      </c>
      <c r="BC9" s="2">
        <v>1150733.1800000011</v>
      </c>
      <c r="BD9" s="3">
        <v>1004815.72</v>
      </c>
      <c r="BE9" s="2">
        <v>846406.91999999993</v>
      </c>
      <c r="BF9" s="2">
        <v>801913.24</v>
      </c>
      <c r="BG9" s="3">
        <v>685818.12000000011</v>
      </c>
      <c r="BH9" s="2">
        <v>373960.44</v>
      </c>
      <c r="BI9" s="2">
        <v>179754.22</v>
      </c>
      <c r="BJ9" s="3">
        <v>83880.539999999994</v>
      </c>
      <c r="BK9" s="2">
        <v>83880.539999999994</v>
      </c>
      <c r="BL9">
        <v>83880.539999999994</v>
      </c>
    </row>
    <row r="10" spans="1:64" ht="15.5" x14ac:dyDescent="0.35">
      <c r="A10" t="s">
        <v>72</v>
      </c>
      <c r="B10" s="2">
        <v>78938053.28000021</v>
      </c>
      <c r="C10" s="2">
        <v>69690423.91000025</v>
      </c>
      <c r="D10" s="2">
        <v>67791557.380000293</v>
      </c>
      <c r="E10" s="3">
        <v>64561952.580000252</v>
      </c>
      <c r="F10" s="2">
        <v>62483441.520000257</v>
      </c>
      <c r="G10" s="2">
        <v>59258291.710000262</v>
      </c>
      <c r="H10" s="3">
        <v>56816526.570000201</v>
      </c>
      <c r="I10" s="2">
        <v>53778462.480000198</v>
      </c>
      <c r="J10" s="2">
        <v>51641484.92000021</v>
      </c>
      <c r="K10" s="3">
        <v>49300420.310000218</v>
      </c>
      <c r="L10" s="2">
        <v>47523295.520000212</v>
      </c>
      <c r="M10" s="2">
        <v>44685945.770000197</v>
      </c>
      <c r="N10" s="3">
        <v>42314861.890000209</v>
      </c>
      <c r="O10" s="2">
        <v>40769491.560000181</v>
      </c>
      <c r="P10" s="2">
        <v>39327721.580000162</v>
      </c>
      <c r="Q10" s="3">
        <v>37643749.610000163</v>
      </c>
      <c r="R10" s="2">
        <v>36064267.65000014</v>
      </c>
      <c r="S10" s="2">
        <v>34030355.4500001</v>
      </c>
      <c r="T10" s="3">
        <v>32625095.67999997</v>
      </c>
      <c r="U10" s="2">
        <v>31212719.779999979</v>
      </c>
      <c r="V10" s="2">
        <v>29104531.019999988</v>
      </c>
      <c r="W10" s="3">
        <v>27685742.919999968</v>
      </c>
      <c r="X10" s="2">
        <v>25633292.03999998</v>
      </c>
      <c r="Y10" s="2">
        <v>23985212.269999981</v>
      </c>
      <c r="Z10" s="3">
        <v>21999494.759999972</v>
      </c>
      <c r="AA10" s="2">
        <v>20869908.359999981</v>
      </c>
      <c r="AB10" s="2">
        <v>19674001.719999969</v>
      </c>
      <c r="AC10" s="3">
        <v>18530228.509999972</v>
      </c>
      <c r="AD10" s="2">
        <v>17816378.01999997</v>
      </c>
      <c r="AE10" s="2">
        <v>16537991.15999997</v>
      </c>
      <c r="AF10" s="3">
        <v>15295542.93999997</v>
      </c>
      <c r="AG10" s="2">
        <v>14517043.259999979</v>
      </c>
      <c r="AH10" s="2">
        <v>13388004.83999997</v>
      </c>
      <c r="AI10" s="3">
        <v>12382075.169999991</v>
      </c>
      <c r="AJ10" s="2">
        <v>11319870.630000001</v>
      </c>
      <c r="AK10" s="2">
        <v>10429764.219999989</v>
      </c>
      <c r="AL10" s="3">
        <v>9446049.0299999993</v>
      </c>
      <c r="AM10" s="2">
        <v>8370755.7599999961</v>
      </c>
      <c r="AN10" s="2">
        <v>7972633.6599999964</v>
      </c>
      <c r="AO10" s="3">
        <v>7690144.5499999961</v>
      </c>
      <c r="AP10" s="2">
        <v>7482503.3499999978</v>
      </c>
      <c r="AQ10" s="2">
        <v>7007372.5299999984</v>
      </c>
      <c r="AR10" s="3">
        <v>6684393.3099999996</v>
      </c>
      <c r="AS10" s="2">
        <v>6466596.4999999991</v>
      </c>
      <c r="AT10" s="2">
        <v>6170396.9600000009</v>
      </c>
      <c r="AU10" s="3">
        <v>5935163.4600000018</v>
      </c>
      <c r="AV10" s="2">
        <v>5720180.2400000021</v>
      </c>
      <c r="AW10" s="2">
        <v>5491418.6100000022</v>
      </c>
      <c r="AX10" s="3">
        <v>4150092.78</v>
      </c>
      <c r="AY10" s="2">
        <v>1961573.53</v>
      </c>
      <c r="AZ10" s="2">
        <v>1829701.7299999991</v>
      </c>
      <c r="BA10" s="3">
        <v>1683824.96</v>
      </c>
      <c r="BB10" s="2">
        <v>1424172.26</v>
      </c>
      <c r="BC10" s="2">
        <v>1132976.7600000009</v>
      </c>
      <c r="BD10" s="3">
        <v>992446.0500000004</v>
      </c>
      <c r="BE10" s="2">
        <v>834415.5</v>
      </c>
      <c r="BF10" s="2">
        <v>789921.82</v>
      </c>
      <c r="BG10" s="3">
        <v>673826.70000000019</v>
      </c>
      <c r="BH10" s="2">
        <v>371377.58</v>
      </c>
      <c r="BI10" s="2">
        <v>177171.36</v>
      </c>
      <c r="BJ10" s="3">
        <v>81297.679999999993</v>
      </c>
      <c r="BK10" s="2">
        <v>81297.679999999993</v>
      </c>
      <c r="BL10">
        <v>81297.679999999993</v>
      </c>
    </row>
    <row r="11" spans="1:64" ht="15.5" x14ac:dyDescent="0.35">
      <c r="A11" t="s">
        <v>73</v>
      </c>
      <c r="B11" s="2">
        <v>1829676.260000011</v>
      </c>
      <c r="C11" s="2">
        <v>1733802.0900000089</v>
      </c>
      <c r="D11" s="2">
        <v>1705774.410000009</v>
      </c>
      <c r="E11" s="3">
        <v>1649198.2000000081</v>
      </c>
      <c r="F11" s="2">
        <v>1579019.6800000069</v>
      </c>
      <c r="G11" s="2">
        <v>1507906.830000004</v>
      </c>
      <c r="H11" s="3">
        <v>1453151.930000006</v>
      </c>
      <c r="I11" s="2">
        <v>1402926.6800000051</v>
      </c>
      <c r="J11" s="2">
        <v>1375728.4300000051</v>
      </c>
      <c r="K11" s="3">
        <v>1323719.4700000039</v>
      </c>
      <c r="L11" s="2">
        <v>1287867.420000005</v>
      </c>
      <c r="M11" s="2">
        <v>1252768.760000004</v>
      </c>
      <c r="N11" s="3">
        <v>1191144.6100000059</v>
      </c>
      <c r="O11" s="2">
        <v>1127493.220000007</v>
      </c>
      <c r="P11" s="2">
        <v>1106252.0500000061</v>
      </c>
      <c r="Q11" s="3">
        <v>1079040.880000005</v>
      </c>
      <c r="R11" s="2">
        <v>1060169.6500000041</v>
      </c>
      <c r="S11" s="2">
        <v>992593.41000000248</v>
      </c>
      <c r="T11" s="3">
        <v>935070.97000000323</v>
      </c>
      <c r="U11" s="2">
        <v>862432.08000000054</v>
      </c>
      <c r="V11" s="2">
        <v>834141.45999999938</v>
      </c>
      <c r="W11" s="3">
        <v>800015.76000000082</v>
      </c>
      <c r="X11" s="2">
        <v>756603.57999999984</v>
      </c>
      <c r="Y11" s="2">
        <v>719284.30999999808</v>
      </c>
      <c r="Z11" s="3">
        <v>678788.18999999808</v>
      </c>
      <c r="AA11" s="2">
        <v>647069.14999999769</v>
      </c>
      <c r="AB11" s="2">
        <v>604161.45999999752</v>
      </c>
      <c r="AC11" s="3">
        <v>576188.55999999831</v>
      </c>
      <c r="AD11" s="2">
        <v>559938.97999999882</v>
      </c>
      <c r="AE11" s="2">
        <v>514921.18000000122</v>
      </c>
      <c r="AF11" s="3">
        <v>469934.06000000139</v>
      </c>
      <c r="AG11" s="2">
        <v>448782.45000000059</v>
      </c>
      <c r="AH11" s="2">
        <v>343264.20999999967</v>
      </c>
      <c r="AI11" s="3">
        <v>287038.59999999998</v>
      </c>
      <c r="AJ11" s="2">
        <v>253613.31999999989</v>
      </c>
      <c r="AK11" s="2">
        <v>237028.3799999998</v>
      </c>
      <c r="AL11" s="3">
        <v>220133.81999999989</v>
      </c>
      <c r="AM11" s="2">
        <v>208497.68999999989</v>
      </c>
      <c r="AN11" s="2">
        <v>195222.68999999989</v>
      </c>
      <c r="AO11" s="3">
        <v>176659.9099999996</v>
      </c>
      <c r="AP11" s="2">
        <v>171860.5699999996</v>
      </c>
      <c r="AQ11" s="2">
        <v>152701.13999999961</v>
      </c>
      <c r="AR11" s="3">
        <v>143571.1499999997</v>
      </c>
      <c r="AS11" s="2">
        <v>136620.19999999949</v>
      </c>
      <c r="AT11" s="2">
        <v>120511.89999999981</v>
      </c>
      <c r="AU11" s="3">
        <v>115252.9399999998</v>
      </c>
      <c r="AV11" s="2">
        <v>103690.7999999999</v>
      </c>
      <c r="AW11" s="2">
        <v>95184.119999999923</v>
      </c>
      <c r="AX11" s="3">
        <v>78731.36000000003</v>
      </c>
      <c r="AY11" s="2">
        <v>62551.400000000038</v>
      </c>
      <c r="AZ11" s="2">
        <v>58621.240000000013</v>
      </c>
      <c r="BA11" s="3">
        <v>52556.779999999977</v>
      </c>
      <c r="BB11" s="2">
        <v>47736.289999999994</v>
      </c>
      <c r="BC11" s="2">
        <v>42473.079999999987</v>
      </c>
      <c r="BD11" s="3">
        <v>36705.339999999997</v>
      </c>
      <c r="BE11" s="2">
        <v>31731.759999999991</v>
      </c>
      <c r="BF11" s="2">
        <v>29840.60999999999</v>
      </c>
      <c r="BG11" s="3">
        <v>18163.259999999991</v>
      </c>
      <c r="BH11" s="2">
        <v>11814.61</v>
      </c>
      <c r="BI11" s="2">
        <v>4951.4400000000014</v>
      </c>
      <c r="BJ11" s="3">
        <v>505.01</v>
      </c>
      <c r="BK11" s="2">
        <v>505.01</v>
      </c>
      <c r="BL11">
        <v>505.01</v>
      </c>
    </row>
    <row r="12" spans="1:64" ht="15.5" x14ac:dyDescent="0.35">
      <c r="A12" t="s">
        <v>74</v>
      </c>
      <c r="B12" s="2">
        <v>1388237663.009995</v>
      </c>
      <c r="C12" s="2">
        <v>1279870153.3199999</v>
      </c>
      <c r="D12" s="2">
        <v>1249330695.96</v>
      </c>
      <c r="E12" s="3">
        <v>1215349661.97</v>
      </c>
      <c r="F12" s="2">
        <v>1186050006.6699989</v>
      </c>
      <c r="G12" s="2">
        <v>1151513485.5699999</v>
      </c>
      <c r="H12" s="3">
        <v>1125225411.77</v>
      </c>
      <c r="I12" s="2">
        <v>1088896358.2600031</v>
      </c>
      <c r="J12" s="2">
        <v>1063684725.790005</v>
      </c>
      <c r="K12" s="3">
        <v>1024844847.150007</v>
      </c>
      <c r="L12" s="2">
        <v>997847177.07000649</v>
      </c>
      <c r="M12" s="2">
        <v>961163913.36000657</v>
      </c>
      <c r="N12" s="3">
        <v>922478900.25000727</v>
      </c>
      <c r="O12" s="2">
        <v>884870907.26000547</v>
      </c>
      <c r="P12" s="2">
        <v>862720070.33000636</v>
      </c>
      <c r="Q12" s="3">
        <v>837171375.57000589</v>
      </c>
      <c r="R12" s="2">
        <v>816885869.93000531</v>
      </c>
      <c r="S12" s="2">
        <v>794367028.78000546</v>
      </c>
      <c r="T12" s="3">
        <v>774362667.36000538</v>
      </c>
      <c r="U12" s="2">
        <v>751159380.99000478</v>
      </c>
      <c r="V12" s="2">
        <v>724608549.12000489</v>
      </c>
      <c r="W12" s="3">
        <v>697753596.8900038</v>
      </c>
      <c r="X12" s="2">
        <v>656426594.09000182</v>
      </c>
      <c r="Y12" s="2">
        <v>625273590.1900028</v>
      </c>
      <c r="Z12" s="3">
        <v>593232680.92000341</v>
      </c>
      <c r="AA12" s="2">
        <v>572209917.17000163</v>
      </c>
      <c r="AB12" s="2">
        <v>552727060.16000021</v>
      </c>
      <c r="AC12" s="3">
        <v>536918080.41000021</v>
      </c>
      <c r="AD12" s="2">
        <v>524015645.44000018</v>
      </c>
      <c r="AE12" s="2">
        <v>501978895.53999943</v>
      </c>
      <c r="AF12" s="3">
        <v>474700265.33999908</v>
      </c>
      <c r="AG12" s="2">
        <v>457719286.60999918</v>
      </c>
      <c r="AH12" s="2">
        <v>415079248.36999917</v>
      </c>
      <c r="AI12" s="3">
        <v>377567930.89999938</v>
      </c>
      <c r="AJ12" s="2">
        <v>340160767.69999868</v>
      </c>
      <c r="AK12" s="2">
        <v>317101867.55999911</v>
      </c>
      <c r="AL12" s="3">
        <v>297281624.69999927</v>
      </c>
      <c r="AM12" s="2">
        <v>278637725.65999949</v>
      </c>
      <c r="AN12" s="2">
        <v>261632010.91999951</v>
      </c>
      <c r="AO12" s="3">
        <v>252918623.47999951</v>
      </c>
      <c r="AP12" s="2">
        <v>237644496.8899996</v>
      </c>
      <c r="AQ12" s="2">
        <v>223081079.92999959</v>
      </c>
      <c r="AR12" s="3">
        <v>209522634.24999979</v>
      </c>
      <c r="AS12" s="2">
        <v>204340601.67999971</v>
      </c>
      <c r="AT12" s="2">
        <v>188373606.4899998</v>
      </c>
      <c r="AU12" s="3">
        <v>177804315.62999979</v>
      </c>
      <c r="AV12" s="2">
        <v>167957889.30999979</v>
      </c>
      <c r="AW12" s="2">
        <v>156760836.2099998</v>
      </c>
      <c r="AX12" s="3">
        <v>133374180.22999971</v>
      </c>
      <c r="AY12" s="2">
        <v>98799556.819999784</v>
      </c>
      <c r="AZ12" s="2">
        <v>93428743.379999816</v>
      </c>
      <c r="BA12" s="3">
        <v>87637515.929999873</v>
      </c>
      <c r="BB12" s="2">
        <v>83893853.179999918</v>
      </c>
      <c r="BC12" s="2">
        <v>75429261.319999993</v>
      </c>
      <c r="BD12" s="3">
        <v>58268128.579999998</v>
      </c>
      <c r="BE12" s="2">
        <v>48873893.43999999</v>
      </c>
      <c r="BF12" s="2">
        <v>45631132.789999992</v>
      </c>
      <c r="BG12" s="3">
        <v>37616956.109999999</v>
      </c>
      <c r="BH12" s="2">
        <v>23968977.710000001</v>
      </c>
      <c r="BI12" s="2">
        <v>8929200.2400000002</v>
      </c>
      <c r="BJ12" s="3">
        <v>806093.48</v>
      </c>
      <c r="BK12" s="2">
        <v>806093.48</v>
      </c>
      <c r="BL12">
        <v>806093.48</v>
      </c>
    </row>
    <row r="13" spans="1:64" ht="15.5" x14ac:dyDescent="0.35">
      <c r="A13" t="s">
        <v>75</v>
      </c>
      <c r="B13" s="2">
        <v>1025316424.550001</v>
      </c>
      <c r="C13" s="2">
        <v>972172752.73999941</v>
      </c>
      <c r="D13" s="2">
        <v>941676934.08999944</v>
      </c>
      <c r="E13" s="3">
        <v>910302738.77999997</v>
      </c>
      <c r="F13" s="2">
        <v>881011902.36000049</v>
      </c>
      <c r="G13" s="2">
        <v>849410251.7500006</v>
      </c>
      <c r="H13" s="3">
        <v>822526689.99000049</v>
      </c>
      <c r="I13" s="2">
        <v>789909987.77000046</v>
      </c>
      <c r="J13" s="2">
        <v>764901595.79000056</v>
      </c>
      <c r="K13" s="3">
        <v>734045726.86999989</v>
      </c>
      <c r="L13" s="2">
        <v>710032401.19999921</v>
      </c>
      <c r="M13" s="2">
        <v>679452141.48999918</v>
      </c>
      <c r="N13" s="3">
        <v>646582203.48000002</v>
      </c>
      <c r="O13" s="2">
        <v>617783189.4199996</v>
      </c>
      <c r="P13" s="2">
        <v>596204012.72000003</v>
      </c>
      <c r="Q13" s="3">
        <v>573033016.31999993</v>
      </c>
      <c r="R13" s="2">
        <v>552518391.65999997</v>
      </c>
      <c r="S13" s="2">
        <v>532289947.03000021</v>
      </c>
      <c r="T13" s="3">
        <v>513056029.17000008</v>
      </c>
      <c r="U13" s="2">
        <v>491940283.79000002</v>
      </c>
      <c r="V13" s="2">
        <v>469254440.90999961</v>
      </c>
      <c r="W13" s="3">
        <v>446977936.38000011</v>
      </c>
      <c r="X13" s="2">
        <v>417860309.45999908</v>
      </c>
      <c r="Y13" s="2">
        <v>394549964.09999949</v>
      </c>
      <c r="Z13" s="3">
        <v>372298214.98999971</v>
      </c>
      <c r="AA13" s="2">
        <v>356269164.25999951</v>
      </c>
      <c r="AB13" s="2">
        <v>340714434.75999987</v>
      </c>
      <c r="AC13" s="3">
        <v>327280989.91000009</v>
      </c>
      <c r="AD13" s="2">
        <v>315178247.64999998</v>
      </c>
      <c r="AE13" s="2">
        <v>299017773.01000011</v>
      </c>
      <c r="AF13" s="3">
        <v>281022451.20999998</v>
      </c>
      <c r="AG13" s="2">
        <v>266706418.23999989</v>
      </c>
      <c r="AH13" s="2">
        <v>234714426.22999981</v>
      </c>
      <c r="AI13" s="3">
        <v>210201632.89000019</v>
      </c>
      <c r="AJ13" s="2">
        <v>186771782.04000059</v>
      </c>
      <c r="AK13" s="2">
        <v>171720477.90000051</v>
      </c>
      <c r="AL13" s="3">
        <v>159520248.02000019</v>
      </c>
      <c r="AM13" s="2">
        <v>148690615.22999999</v>
      </c>
      <c r="AN13" s="2">
        <v>138490334.8299998</v>
      </c>
      <c r="AO13" s="3">
        <v>130824401.3999998</v>
      </c>
      <c r="AP13" s="2">
        <v>123303345.78999969</v>
      </c>
      <c r="AQ13" s="2">
        <v>114464645.10999981</v>
      </c>
      <c r="AR13" s="3">
        <v>106151032.7999998</v>
      </c>
      <c r="AS13" s="2">
        <v>101226510.51999991</v>
      </c>
      <c r="AT13" s="2">
        <v>93581455.529999897</v>
      </c>
      <c r="AU13" s="3">
        <v>87408916.869999975</v>
      </c>
      <c r="AV13" s="2">
        <v>80646460.419999987</v>
      </c>
      <c r="AW13" s="2">
        <v>74295904.329999924</v>
      </c>
      <c r="AX13" s="3">
        <v>63148511.679999851</v>
      </c>
      <c r="AY13" s="2">
        <v>48407862.519999944</v>
      </c>
      <c r="AZ13" s="2">
        <v>45229561.849999927</v>
      </c>
      <c r="BA13" s="3">
        <v>41857790.319999941</v>
      </c>
      <c r="BB13" s="2">
        <v>39706182.449999973</v>
      </c>
      <c r="BC13" s="2">
        <v>35647042.74999997</v>
      </c>
      <c r="BD13" s="3">
        <v>28394719.50000003</v>
      </c>
      <c r="BE13" s="2">
        <v>23182141.46000002</v>
      </c>
      <c r="BF13" s="2">
        <v>21158340.430000011</v>
      </c>
      <c r="BG13" s="3">
        <v>16367678.439999999</v>
      </c>
      <c r="BH13" s="2">
        <v>10445108.579999991</v>
      </c>
      <c r="BI13" s="2">
        <v>3787722.6199999978</v>
      </c>
      <c r="BJ13" s="3">
        <v>76825.600000000093</v>
      </c>
      <c r="BK13" s="2">
        <v>67229.970000000088</v>
      </c>
      <c r="BL13">
        <v>57634.340000000077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249</v>
      </c>
      <c r="D15" s="2">
        <v>70</v>
      </c>
      <c r="E15" s="3">
        <v>103</v>
      </c>
      <c r="F15" s="2">
        <v>71</v>
      </c>
      <c r="G15" s="2">
        <v>102</v>
      </c>
      <c r="H15" s="3">
        <v>69</v>
      </c>
      <c r="I15" s="2">
        <v>98</v>
      </c>
      <c r="J15" s="2">
        <v>68</v>
      </c>
      <c r="K15" s="3">
        <v>86</v>
      </c>
      <c r="L15" s="2">
        <v>61</v>
      </c>
      <c r="M15" s="2">
        <v>81</v>
      </c>
      <c r="N15" s="3">
        <v>82</v>
      </c>
      <c r="O15" s="2">
        <v>73</v>
      </c>
      <c r="P15" s="2">
        <v>55</v>
      </c>
      <c r="Q15" s="3">
        <v>57</v>
      </c>
      <c r="R15" s="2">
        <v>53</v>
      </c>
      <c r="S15" s="2">
        <v>51</v>
      </c>
      <c r="T15" s="3">
        <v>56</v>
      </c>
      <c r="U15" s="2">
        <v>47</v>
      </c>
      <c r="V15" s="2">
        <v>67</v>
      </c>
      <c r="W15" s="3">
        <v>61</v>
      </c>
      <c r="X15" s="2">
        <v>80</v>
      </c>
      <c r="Y15" s="2">
        <v>61</v>
      </c>
      <c r="Z15" s="3">
        <v>69</v>
      </c>
      <c r="AA15" s="2">
        <v>42</v>
      </c>
      <c r="AB15" s="2">
        <v>40</v>
      </c>
      <c r="AC15" s="3">
        <v>36</v>
      </c>
      <c r="AD15" s="2">
        <v>26</v>
      </c>
      <c r="AE15" s="2">
        <v>40</v>
      </c>
      <c r="AF15" s="3">
        <v>52</v>
      </c>
      <c r="AG15" s="2">
        <v>41</v>
      </c>
      <c r="AH15" s="2">
        <v>80</v>
      </c>
      <c r="AI15" s="3">
        <v>64</v>
      </c>
      <c r="AJ15" s="2">
        <v>55</v>
      </c>
      <c r="AK15" s="2">
        <v>52</v>
      </c>
      <c r="AL15" s="3">
        <v>39</v>
      </c>
      <c r="AM15" s="2">
        <v>34</v>
      </c>
      <c r="AN15" s="2">
        <v>22</v>
      </c>
      <c r="AO15" s="3">
        <v>16</v>
      </c>
      <c r="AP15" s="2">
        <v>11</v>
      </c>
      <c r="AQ15" s="2">
        <v>22</v>
      </c>
      <c r="AR15" s="3">
        <v>20</v>
      </c>
      <c r="AS15" s="2">
        <v>13</v>
      </c>
      <c r="AT15" s="2">
        <v>21</v>
      </c>
      <c r="AU15" s="3">
        <v>14</v>
      </c>
      <c r="AV15" s="2">
        <v>25</v>
      </c>
      <c r="AW15" s="2">
        <v>20</v>
      </c>
      <c r="AX15" s="3">
        <v>38</v>
      </c>
      <c r="AY15" s="2">
        <v>36</v>
      </c>
      <c r="AZ15" s="2">
        <v>9</v>
      </c>
      <c r="BA15" s="3">
        <v>14</v>
      </c>
      <c r="BB15" s="2">
        <v>9</v>
      </c>
      <c r="BC15" s="2">
        <v>13</v>
      </c>
      <c r="BD15" s="3">
        <v>13</v>
      </c>
      <c r="BE15" s="2">
        <v>17</v>
      </c>
      <c r="BF15" s="2">
        <v>6</v>
      </c>
      <c r="BG15" s="3">
        <v>17</v>
      </c>
      <c r="BH15" s="2">
        <v>20</v>
      </c>
      <c r="BI15" s="2">
        <v>20</v>
      </c>
      <c r="BJ15" s="3">
        <v>13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33</v>
      </c>
      <c r="D16" s="2">
        <v>5</v>
      </c>
      <c r="E16" s="3">
        <v>3</v>
      </c>
      <c r="F16" s="2">
        <v>3</v>
      </c>
      <c r="G16" s="2">
        <v>2</v>
      </c>
      <c r="H16" s="3">
        <v>1</v>
      </c>
      <c r="I16" s="2">
        <v>0</v>
      </c>
      <c r="J16" s="2">
        <v>2</v>
      </c>
      <c r="K16" s="3">
        <v>3</v>
      </c>
      <c r="L16" s="2">
        <v>6</v>
      </c>
      <c r="M16" s="2">
        <v>4</v>
      </c>
      <c r="N16" s="3">
        <v>1</v>
      </c>
      <c r="O16" s="2">
        <v>4</v>
      </c>
      <c r="P16" s="2">
        <v>1</v>
      </c>
      <c r="Q16" s="3">
        <v>1</v>
      </c>
      <c r="R16" s="2">
        <v>0</v>
      </c>
      <c r="S16" s="2">
        <v>5</v>
      </c>
      <c r="T16" s="3">
        <v>0</v>
      </c>
      <c r="U16" s="2">
        <v>4</v>
      </c>
      <c r="V16" s="2">
        <v>1</v>
      </c>
      <c r="W16" s="3">
        <v>8</v>
      </c>
      <c r="X16" s="2">
        <v>4</v>
      </c>
      <c r="Y16" s="2">
        <v>8</v>
      </c>
      <c r="Z16" s="3">
        <v>10</v>
      </c>
      <c r="AA16" s="2">
        <v>7</v>
      </c>
      <c r="AB16" s="2">
        <v>8</v>
      </c>
      <c r="AC16" s="3">
        <v>0</v>
      </c>
      <c r="AD16" s="2">
        <v>4</v>
      </c>
      <c r="AE16" s="2">
        <v>7</v>
      </c>
      <c r="AF16" s="3">
        <v>2</v>
      </c>
      <c r="AG16" s="2">
        <v>0</v>
      </c>
      <c r="AH16" s="2">
        <v>0</v>
      </c>
      <c r="AI16" s="3">
        <v>18</v>
      </c>
      <c r="AJ16" s="2">
        <v>30</v>
      </c>
      <c r="AK16" s="2">
        <v>2</v>
      </c>
      <c r="AL16" s="3">
        <v>3</v>
      </c>
      <c r="AM16" s="2">
        <v>1</v>
      </c>
      <c r="AN16" s="2">
        <v>5</v>
      </c>
      <c r="AO16" s="3">
        <v>1</v>
      </c>
      <c r="AP16" s="2">
        <v>4</v>
      </c>
      <c r="AQ16" s="2">
        <v>2</v>
      </c>
      <c r="AR16" s="3">
        <v>9</v>
      </c>
      <c r="AS16" s="2">
        <v>0</v>
      </c>
      <c r="AT16" s="2">
        <v>18</v>
      </c>
      <c r="AU16" s="3">
        <v>4</v>
      </c>
      <c r="AV16" s="2">
        <v>3</v>
      </c>
      <c r="AW16" s="2">
        <v>2</v>
      </c>
      <c r="AX16" s="3">
        <v>3</v>
      </c>
      <c r="AY16" s="2">
        <v>7</v>
      </c>
      <c r="AZ16" s="2">
        <v>1</v>
      </c>
      <c r="BA16" s="3">
        <v>0</v>
      </c>
      <c r="BB16" s="2">
        <v>0</v>
      </c>
      <c r="BC16" s="2">
        <v>1</v>
      </c>
      <c r="BD16" s="3">
        <v>4</v>
      </c>
      <c r="BE16" s="2">
        <v>0</v>
      </c>
      <c r="BF16" s="2">
        <v>2</v>
      </c>
      <c r="BG16" s="3">
        <v>0</v>
      </c>
      <c r="BH16" s="2">
        <v>1</v>
      </c>
      <c r="BI16" s="2">
        <v>3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6.6328125" bestFit="1" customWidth="1"/>
    <col min="2" max="4" width="14.453125" bestFit="1" customWidth="1"/>
    <col min="5" max="5" width="13.54296875" bestFit="1" customWidth="1"/>
    <col min="6" max="7" width="14.453125" bestFit="1" customWidth="1"/>
    <col min="8" max="8" width="13.54296875" bestFit="1" customWidth="1"/>
    <col min="9" max="10" width="14.453125" bestFit="1" customWidth="1"/>
    <col min="11" max="11" width="13.54296875" bestFit="1" customWidth="1"/>
    <col min="12" max="13" width="14.453125" bestFit="1" customWidth="1"/>
    <col min="14" max="14" width="13.54296875" bestFit="1" customWidth="1"/>
    <col min="15" max="16" width="14.453125" bestFit="1" customWidth="1"/>
    <col min="17" max="17" width="13.54296875" bestFit="1" customWidth="1"/>
    <col min="18" max="19" width="14.453125" bestFit="1" customWidth="1"/>
    <col min="20" max="20" width="13.54296875" bestFit="1" customWidth="1"/>
    <col min="21" max="22" width="14.453125" bestFit="1" customWidth="1"/>
    <col min="23" max="23" width="13.54296875" bestFit="1" customWidth="1"/>
    <col min="24" max="25" width="14.453125" bestFit="1" customWidth="1"/>
    <col min="26" max="26" width="13.54296875" bestFit="1" customWidth="1"/>
    <col min="27" max="28" width="14.453125" bestFit="1" customWidth="1"/>
    <col min="29" max="29" width="12.453125" bestFit="1" customWidth="1"/>
    <col min="30" max="31" width="13.36328125" bestFit="1" customWidth="1"/>
    <col min="32" max="32" width="12.453125" bestFit="1" customWidth="1"/>
    <col min="33" max="34" width="13.36328125" bestFit="1" customWidth="1"/>
    <col min="35" max="35" width="12.453125" bestFit="1" customWidth="1"/>
    <col min="36" max="37" width="13.36328125" bestFit="1" customWidth="1"/>
    <col min="38" max="38" width="12.453125" bestFit="1" customWidth="1"/>
    <col min="39" max="40" width="13.36328125" bestFit="1" customWidth="1"/>
    <col min="41" max="41" width="12.453125" bestFit="1" customWidth="1"/>
    <col min="42" max="43" width="13.36328125" bestFit="1" customWidth="1"/>
    <col min="44" max="44" width="12.453125" bestFit="1" customWidth="1"/>
    <col min="45" max="46" width="13.36328125" bestFit="1" customWidth="1"/>
    <col min="47" max="47" width="12.453125" bestFit="1" customWidth="1"/>
    <col min="48" max="49" width="13.36328125" bestFit="1" customWidth="1"/>
    <col min="50" max="50" width="12.453125" bestFit="1" customWidth="1"/>
    <col min="51" max="52" width="13.36328125" bestFit="1" customWidth="1"/>
    <col min="53" max="53" width="12.453125" bestFit="1" customWidth="1"/>
    <col min="54" max="55" width="13.36328125" bestFit="1" customWidth="1"/>
    <col min="56" max="56" width="12.453125" bestFit="1" customWidth="1"/>
    <col min="57" max="58" width="13.36328125" bestFit="1" customWidth="1"/>
    <col min="59" max="59" width="12.453125" bestFit="1" customWidth="1"/>
    <col min="60" max="61" width="13.36328125" bestFit="1" customWidth="1"/>
    <col min="62" max="64" width="10.4531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314</v>
      </c>
      <c r="C2" s="2">
        <v>279</v>
      </c>
      <c r="D2" s="2">
        <v>274</v>
      </c>
      <c r="E2" s="3">
        <v>274</v>
      </c>
      <c r="F2" s="2">
        <v>274</v>
      </c>
      <c r="G2" s="2">
        <v>273</v>
      </c>
      <c r="H2" s="3">
        <v>268</v>
      </c>
      <c r="I2" s="2">
        <v>266</v>
      </c>
      <c r="J2" s="2">
        <v>259</v>
      </c>
      <c r="K2" s="3">
        <v>259</v>
      </c>
      <c r="L2" s="2">
        <v>254</v>
      </c>
      <c r="M2" s="2">
        <v>246</v>
      </c>
      <c r="N2" s="3">
        <v>240</v>
      </c>
      <c r="O2" s="2">
        <v>226</v>
      </c>
      <c r="P2" s="2">
        <v>186</v>
      </c>
      <c r="Q2" s="3">
        <v>174</v>
      </c>
      <c r="R2" s="2">
        <v>145</v>
      </c>
      <c r="S2" s="2">
        <v>145</v>
      </c>
      <c r="T2" s="3">
        <v>138</v>
      </c>
      <c r="U2" s="2">
        <v>125</v>
      </c>
      <c r="V2" s="2">
        <v>108</v>
      </c>
      <c r="W2" s="3">
        <v>107</v>
      </c>
      <c r="X2" s="2">
        <v>103</v>
      </c>
      <c r="Y2" s="2">
        <v>97</v>
      </c>
      <c r="Z2" s="3">
        <v>97</v>
      </c>
      <c r="AA2" s="2">
        <v>86</v>
      </c>
      <c r="AB2" s="2">
        <v>86</v>
      </c>
      <c r="AC2" s="3">
        <v>62</v>
      </c>
      <c r="AD2" s="2">
        <v>60</v>
      </c>
      <c r="AE2" s="2">
        <v>59</v>
      </c>
      <c r="AF2" s="3">
        <v>57</v>
      </c>
      <c r="AG2" s="2">
        <v>57</v>
      </c>
      <c r="AH2" s="2">
        <v>57</v>
      </c>
      <c r="AI2" s="3">
        <v>55</v>
      </c>
      <c r="AJ2" s="2">
        <v>54</v>
      </c>
      <c r="AK2" s="2">
        <v>52</v>
      </c>
      <c r="AL2" s="3">
        <v>52</v>
      </c>
      <c r="AM2" s="2">
        <v>51</v>
      </c>
      <c r="AN2" s="2">
        <v>51</v>
      </c>
      <c r="AO2" s="3">
        <v>51</v>
      </c>
      <c r="AP2" s="2">
        <v>51</v>
      </c>
      <c r="AQ2" s="2">
        <v>50</v>
      </c>
      <c r="AR2" s="3">
        <v>50</v>
      </c>
      <c r="AS2" s="2">
        <v>49</v>
      </c>
      <c r="AT2" s="2">
        <v>49</v>
      </c>
      <c r="AU2" s="3">
        <v>48</v>
      </c>
      <c r="AV2" s="2">
        <v>48</v>
      </c>
      <c r="AW2" s="2">
        <v>48</v>
      </c>
      <c r="AX2" s="3">
        <v>48</v>
      </c>
      <c r="AY2" s="2">
        <v>48</v>
      </c>
      <c r="AZ2" s="2">
        <v>48</v>
      </c>
      <c r="BA2" s="3">
        <v>48</v>
      </c>
      <c r="BB2" s="2">
        <v>48</v>
      </c>
      <c r="BC2" s="2">
        <v>47</v>
      </c>
      <c r="BD2" s="3">
        <v>47</v>
      </c>
      <c r="BE2" s="2">
        <v>34</v>
      </c>
      <c r="BF2" s="2">
        <v>34</v>
      </c>
      <c r="BG2" s="3">
        <v>18</v>
      </c>
      <c r="BH2" s="2">
        <v>7</v>
      </c>
      <c r="BI2" s="2">
        <v>3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110</v>
      </c>
      <c r="C3" s="2">
        <v>110</v>
      </c>
      <c r="D3" s="2">
        <v>110</v>
      </c>
      <c r="E3" s="3">
        <v>110</v>
      </c>
      <c r="F3" s="2">
        <v>110</v>
      </c>
      <c r="G3" s="2">
        <v>110</v>
      </c>
      <c r="H3" s="3">
        <v>110</v>
      </c>
      <c r="I3" s="2">
        <v>110</v>
      </c>
      <c r="J3" s="2">
        <v>110</v>
      </c>
      <c r="K3" s="3">
        <v>110</v>
      </c>
      <c r="L3" s="2">
        <v>110</v>
      </c>
      <c r="M3" s="2">
        <v>110</v>
      </c>
      <c r="N3" s="3">
        <v>110</v>
      </c>
      <c r="O3" s="2">
        <v>110</v>
      </c>
      <c r="P3" s="2">
        <v>110</v>
      </c>
      <c r="Q3" s="3">
        <v>110</v>
      </c>
      <c r="R3" s="2">
        <v>110</v>
      </c>
      <c r="S3" s="2">
        <v>110</v>
      </c>
      <c r="T3" s="3">
        <v>110</v>
      </c>
      <c r="U3" s="2">
        <v>110</v>
      </c>
      <c r="V3" s="2">
        <v>110</v>
      </c>
      <c r="W3" s="3">
        <v>110</v>
      </c>
      <c r="X3" s="2">
        <v>110</v>
      </c>
      <c r="Y3" s="2">
        <v>110</v>
      </c>
      <c r="Z3" s="3">
        <v>109</v>
      </c>
      <c r="AA3" s="2">
        <v>61</v>
      </c>
      <c r="AB3" s="2">
        <v>42</v>
      </c>
      <c r="AC3" s="3">
        <v>26</v>
      </c>
      <c r="AD3" s="2">
        <v>18</v>
      </c>
      <c r="AE3" s="2">
        <v>18</v>
      </c>
      <c r="AF3" s="3">
        <v>17</v>
      </c>
      <c r="AG3" s="2">
        <v>17</v>
      </c>
      <c r="AH3" s="2">
        <v>17</v>
      </c>
      <c r="AI3" s="3">
        <v>17</v>
      </c>
      <c r="AJ3" s="2">
        <v>17</v>
      </c>
      <c r="AK3" s="2">
        <v>17</v>
      </c>
      <c r="AL3" s="3">
        <v>17</v>
      </c>
      <c r="AM3" s="2">
        <v>17</v>
      </c>
      <c r="AN3" s="2">
        <v>17</v>
      </c>
      <c r="AO3" s="3">
        <v>17</v>
      </c>
      <c r="AP3" s="2">
        <v>17</v>
      </c>
      <c r="AQ3" s="2">
        <v>17</v>
      </c>
      <c r="AR3" s="3">
        <v>17</v>
      </c>
      <c r="AS3" s="2">
        <v>17</v>
      </c>
      <c r="AT3" s="2">
        <v>13</v>
      </c>
      <c r="AU3" s="3">
        <v>7</v>
      </c>
      <c r="AV3" s="2">
        <v>7</v>
      </c>
      <c r="AW3" s="2">
        <v>7</v>
      </c>
      <c r="AX3" s="3">
        <v>7</v>
      </c>
      <c r="AY3" s="2">
        <v>7</v>
      </c>
      <c r="AZ3" s="2">
        <v>7</v>
      </c>
      <c r="BA3" s="3">
        <v>7</v>
      </c>
      <c r="BB3" s="2">
        <v>7</v>
      </c>
      <c r="BC3" s="2">
        <v>7</v>
      </c>
      <c r="BD3" s="3">
        <v>7</v>
      </c>
      <c r="BE3" s="2">
        <v>7</v>
      </c>
      <c r="BF3" s="2">
        <v>7</v>
      </c>
      <c r="BG3" s="3">
        <v>7</v>
      </c>
      <c r="BH3" s="2">
        <v>5</v>
      </c>
      <c r="BI3" s="2">
        <v>5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7049966.0100000128</v>
      </c>
      <c r="C5" s="2">
        <v>6551310.2400000161</v>
      </c>
      <c r="D5" s="2">
        <v>6420226.0000000168</v>
      </c>
      <c r="E5" s="3">
        <v>6420226.0000000168</v>
      </c>
      <c r="F5" s="2">
        <v>6420226.0000000168</v>
      </c>
      <c r="G5" s="2">
        <v>6341819.0400000168</v>
      </c>
      <c r="H5" s="3">
        <v>6282865.5400000159</v>
      </c>
      <c r="I5" s="2">
        <v>6257564.8600000162</v>
      </c>
      <c r="J5" s="2">
        <v>6213476.3800000148</v>
      </c>
      <c r="K5" s="3">
        <v>6213476.3800000148</v>
      </c>
      <c r="L5" s="2">
        <v>6156716.4500000151</v>
      </c>
      <c r="M5" s="2">
        <v>6062334.0100000137</v>
      </c>
      <c r="N5" s="3">
        <v>5997300.0900000138</v>
      </c>
      <c r="O5" s="2">
        <v>5842132.8700000122</v>
      </c>
      <c r="P5" s="2">
        <v>5483241.3900000136</v>
      </c>
      <c r="Q5" s="3">
        <v>5388713.7400000133</v>
      </c>
      <c r="R5" s="2">
        <v>5029625.0600000098</v>
      </c>
      <c r="S5" s="2">
        <v>5029625.0600000098</v>
      </c>
      <c r="T5" s="3">
        <v>4974806.640000009</v>
      </c>
      <c r="U5" s="2">
        <v>4814135.5000000084</v>
      </c>
      <c r="V5" s="2">
        <v>4708468.5900000082</v>
      </c>
      <c r="W5" s="3">
        <v>4702200.0700000087</v>
      </c>
      <c r="X5" s="2">
        <v>4636753.8400000101</v>
      </c>
      <c r="Y5" s="2">
        <v>4599418.4300000099</v>
      </c>
      <c r="Z5" s="3">
        <v>4489992.51000001</v>
      </c>
      <c r="AA5" s="2">
        <v>3701987.510000004</v>
      </c>
      <c r="AB5" s="2">
        <v>3117244.6700000032</v>
      </c>
      <c r="AC5" s="3">
        <v>2186503.0299999998</v>
      </c>
      <c r="AD5" s="2">
        <v>2023010.18</v>
      </c>
      <c r="AE5" s="2">
        <v>2011053.61</v>
      </c>
      <c r="AF5" s="3">
        <v>1813085.28</v>
      </c>
      <c r="AG5" s="2">
        <v>1813085.28</v>
      </c>
      <c r="AH5" s="2">
        <v>1813085.28</v>
      </c>
      <c r="AI5" s="3">
        <v>1784969.89</v>
      </c>
      <c r="AJ5" s="2">
        <v>1771500.86</v>
      </c>
      <c r="AK5" s="2">
        <v>1742274.3</v>
      </c>
      <c r="AL5" s="3">
        <v>1742274.3</v>
      </c>
      <c r="AM5" s="2">
        <v>1734265.93</v>
      </c>
      <c r="AN5" s="2">
        <v>1734265.93</v>
      </c>
      <c r="AO5" s="3">
        <v>1734265.93</v>
      </c>
      <c r="AP5" s="2">
        <v>1734265.93</v>
      </c>
      <c r="AQ5" s="2">
        <v>1725783.22</v>
      </c>
      <c r="AR5" s="3">
        <v>1725783.22</v>
      </c>
      <c r="AS5" s="2">
        <v>1717953.41</v>
      </c>
      <c r="AT5" s="2">
        <v>1685331.41</v>
      </c>
      <c r="AU5" s="3">
        <v>1627900.83</v>
      </c>
      <c r="AV5" s="2">
        <v>1627900.83</v>
      </c>
      <c r="AW5" s="2">
        <v>1627900.83</v>
      </c>
      <c r="AX5" s="3">
        <v>1627900.83</v>
      </c>
      <c r="AY5" s="2">
        <v>1627900.83</v>
      </c>
      <c r="AZ5" s="2">
        <v>1627900.83</v>
      </c>
      <c r="BA5" s="3">
        <v>1627900.83</v>
      </c>
      <c r="BB5" s="2">
        <v>1627900.83</v>
      </c>
      <c r="BC5" s="2">
        <v>1609569.03</v>
      </c>
      <c r="BD5" s="3">
        <v>1609569.03</v>
      </c>
      <c r="BE5" s="2">
        <v>1529103.19</v>
      </c>
      <c r="BF5" s="2">
        <v>1529103.19</v>
      </c>
      <c r="BG5" s="3">
        <v>1077261.46</v>
      </c>
      <c r="BH5" s="2">
        <v>511622.62999999989</v>
      </c>
      <c r="BI5" s="2">
        <v>334192.55</v>
      </c>
      <c r="BJ5" s="3">
        <v>0</v>
      </c>
      <c r="BK5" s="2">
        <v>0</v>
      </c>
      <c r="BL5">
        <v>0</v>
      </c>
    </row>
    <row r="6" spans="1:64" ht="15.5" x14ac:dyDescent="0.35">
      <c r="A6" t="s">
        <v>68</v>
      </c>
      <c r="B6" s="2">
        <v>3388650.2600000049</v>
      </c>
      <c r="C6" s="2">
        <v>3183661.9600000051</v>
      </c>
      <c r="D6" s="2">
        <v>3119800.8300000052</v>
      </c>
      <c r="E6" s="3">
        <v>3119800.8300000052</v>
      </c>
      <c r="F6" s="2">
        <v>3119800.8300000052</v>
      </c>
      <c r="G6" s="2">
        <v>3075171.8700000048</v>
      </c>
      <c r="H6" s="3">
        <v>3049257.5700000059</v>
      </c>
      <c r="I6" s="2">
        <v>3038749.0500000059</v>
      </c>
      <c r="J6" s="2">
        <v>3021586.380000005</v>
      </c>
      <c r="K6" s="3">
        <v>3021586.380000005</v>
      </c>
      <c r="L6" s="2">
        <v>2996909.3700000038</v>
      </c>
      <c r="M6" s="2">
        <v>2953847.720000003</v>
      </c>
      <c r="N6" s="3">
        <v>2929303.6900000018</v>
      </c>
      <c r="O6" s="2">
        <v>2860935.1800000011</v>
      </c>
      <c r="P6" s="2">
        <v>2731247.359999998</v>
      </c>
      <c r="Q6" s="3">
        <v>2697817.629999998</v>
      </c>
      <c r="R6" s="2">
        <v>2563117.8099999982</v>
      </c>
      <c r="S6" s="2">
        <v>2563117.8099999982</v>
      </c>
      <c r="T6" s="3">
        <v>2543826.2299999981</v>
      </c>
      <c r="U6" s="2">
        <v>2477693.5999999992</v>
      </c>
      <c r="V6" s="2">
        <v>2442786.1799999988</v>
      </c>
      <c r="W6" s="3">
        <v>2440444.899999999</v>
      </c>
      <c r="X6" s="2">
        <v>2414347.37</v>
      </c>
      <c r="Y6" s="2">
        <v>2401661.5099999988</v>
      </c>
      <c r="Z6" s="3">
        <v>2346858.7399999988</v>
      </c>
      <c r="AA6" s="2">
        <v>1938834.8999999971</v>
      </c>
      <c r="AB6" s="2">
        <v>1563643.329999998</v>
      </c>
      <c r="AC6" s="3">
        <v>1101186.2299999991</v>
      </c>
      <c r="AD6" s="2">
        <v>1009890.22</v>
      </c>
      <c r="AE6" s="2">
        <v>1004986.86</v>
      </c>
      <c r="AF6" s="3">
        <v>878906.23000000045</v>
      </c>
      <c r="AG6" s="2">
        <v>878906.23000000045</v>
      </c>
      <c r="AH6" s="2">
        <v>878906.23000000045</v>
      </c>
      <c r="AI6" s="3">
        <v>871447.77000000037</v>
      </c>
      <c r="AJ6" s="2">
        <v>865915.4500000003</v>
      </c>
      <c r="AK6" s="2">
        <v>852816.41000000027</v>
      </c>
      <c r="AL6" s="3">
        <v>852816.41000000027</v>
      </c>
      <c r="AM6" s="2">
        <v>849813.42000000027</v>
      </c>
      <c r="AN6" s="2">
        <v>849813.42000000027</v>
      </c>
      <c r="AO6" s="3">
        <v>849813.42000000027</v>
      </c>
      <c r="AP6" s="2">
        <v>849813.42000000027</v>
      </c>
      <c r="AQ6" s="2">
        <v>846858.44000000029</v>
      </c>
      <c r="AR6" s="3">
        <v>846858.44000000029</v>
      </c>
      <c r="AS6" s="2">
        <v>844234.15000000026</v>
      </c>
      <c r="AT6" s="2">
        <v>825317.51000000013</v>
      </c>
      <c r="AU6" s="3">
        <v>793983.29999999993</v>
      </c>
      <c r="AV6" s="2">
        <v>793983.29999999993</v>
      </c>
      <c r="AW6" s="2">
        <v>793983.29999999993</v>
      </c>
      <c r="AX6" s="3">
        <v>793983.29999999993</v>
      </c>
      <c r="AY6" s="2">
        <v>793983.29999999993</v>
      </c>
      <c r="AZ6" s="2">
        <v>793983.29999999993</v>
      </c>
      <c r="BA6" s="3">
        <v>793983.29999999993</v>
      </c>
      <c r="BB6" s="2">
        <v>793983.29999999993</v>
      </c>
      <c r="BC6" s="2">
        <v>785655.29999999993</v>
      </c>
      <c r="BD6" s="3">
        <v>785655.29999999993</v>
      </c>
      <c r="BE6" s="2">
        <v>758858.74999999977</v>
      </c>
      <c r="BF6" s="2">
        <v>758858.74999999977</v>
      </c>
      <c r="BG6" s="3">
        <v>530012.77</v>
      </c>
      <c r="BH6" s="2">
        <v>251486.88000000009</v>
      </c>
      <c r="BI6" s="2">
        <v>165777.85999999999</v>
      </c>
      <c r="BJ6" s="3">
        <v>0</v>
      </c>
      <c r="BK6" s="2">
        <v>0</v>
      </c>
      <c r="BL6">
        <v>0</v>
      </c>
    </row>
    <row r="7" spans="1:64" ht="15.5" x14ac:dyDescent="0.35">
      <c r="A7" t="s">
        <v>69</v>
      </c>
      <c r="B7" s="2">
        <v>2213008.5799999991</v>
      </c>
      <c r="C7" s="2">
        <v>2091347.6099999989</v>
      </c>
      <c r="D7" s="2">
        <v>2065873.7699999991</v>
      </c>
      <c r="E7" s="3">
        <v>2065873.7699999991</v>
      </c>
      <c r="F7" s="2">
        <v>2065873.7699999991</v>
      </c>
      <c r="G7" s="2">
        <v>2052564.0699999989</v>
      </c>
      <c r="H7" s="3">
        <v>2032300.87</v>
      </c>
      <c r="I7" s="2">
        <v>2022702.86</v>
      </c>
      <c r="J7" s="2">
        <v>2009723</v>
      </c>
      <c r="K7" s="3">
        <v>2009723</v>
      </c>
      <c r="L7" s="2">
        <v>1992097.35</v>
      </c>
      <c r="M7" s="2">
        <v>1963392.2</v>
      </c>
      <c r="N7" s="3">
        <v>1937965.280000001</v>
      </c>
      <c r="O7" s="2">
        <v>1890167.4200000011</v>
      </c>
      <c r="P7" s="2">
        <v>1793842.0200000009</v>
      </c>
      <c r="Q7" s="3">
        <v>1761361.860000001</v>
      </c>
      <c r="R7" s="2">
        <v>1657957.530000001</v>
      </c>
      <c r="S7" s="2">
        <v>1657957.530000001</v>
      </c>
      <c r="T7" s="3">
        <v>1640033.5200000009</v>
      </c>
      <c r="U7" s="2">
        <v>1589796.1500000011</v>
      </c>
      <c r="V7" s="2">
        <v>1550725.22</v>
      </c>
      <c r="W7" s="3">
        <v>1548760.03</v>
      </c>
      <c r="X7" s="2">
        <v>1531292.4500000009</v>
      </c>
      <c r="Y7" s="2">
        <v>1518189.790000001</v>
      </c>
      <c r="Z7" s="3">
        <v>1485538.810000001</v>
      </c>
      <c r="AA7" s="2">
        <v>1217307.7000000009</v>
      </c>
      <c r="AB7" s="2">
        <v>1072523.2000000009</v>
      </c>
      <c r="AC7" s="3">
        <v>729347.79999999993</v>
      </c>
      <c r="AD7" s="2">
        <v>673716.1</v>
      </c>
      <c r="AE7" s="2">
        <v>669466.96</v>
      </c>
      <c r="AF7" s="3">
        <v>610424.49</v>
      </c>
      <c r="AG7" s="2">
        <v>610424.49</v>
      </c>
      <c r="AH7" s="2">
        <v>610424.49</v>
      </c>
      <c r="AI7" s="3">
        <v>602928.34999999986</v>
      </c>
      <c r="AJ7" s="2">
        <v>598013.94999999995</v>
      </c>
      <c r="AK7" s="2">
        <v>588382.20999999985</v>
      </c>
      <c r="AL7" s="3">
        <v>588382.20999999985</v>
      </c>
      <c r="AM7" s="2">
        <v>585848.58999999985</v>
      </c>
      <c r="AN7" s="2">
        <v>585848.58999999985</v>
      </c>
      <c r="AO7" s="3">
        <v>585848.58999999985</v>
      </c>
      <c r="AP7" s="2">
        <v>585848.58999999985</v>
      </c>
      <c r="AQ7" s="2">
        <v>583277.5199999999</v>
      </c>
      <c r="AR7" s="3">
        <v>583277.5199999999</v>
      </c>
      <c r="AS7" s="2">
        <v>580655.72999999986</v>
      </c>
      <c r="AT7" s="2">
        <v>570498.37</v>
      </c>
      <c r="AU7" s="3">
        <v>552691.82000000018</v>
      </c>
      <c r="AV7" s="2">
        <v>552691.82000000018</v>
      </c>
      <c r="AW7" s="2">
        <v>552691.82000000018</v>
      </c>
      <c r="AX7" s="3">
        <v>552691.82000000018</v>
      </c>
      <c r="AY7" s="2">
        <v>552691.82000000018</v>
      </c>
      <c r="AZ7" s="2">
        <v>552691.82000000018</v>
      </c>
      <c r="BA7" s="3">
        <v>552691.82000000018</v>
      </c>
      <c r="BB7" s="2">
        <v>552691.82000000018</v>
      </c>
      <c r="BC7" s="2">
        <v>545619.10000000009</v>
      </c>
      <c r="BD7" s="3">
        <v>545619.10000000009</v>
      </c>
      <c r="BE7" s="2">
        <v>518411.48</v>
      </c>
      <c r="BF7" s="2">
        <v>518411.48</v>
      </c>
      <c r="BG7" s="3">
        <v>357620.59999999992</v>
      </c>
      <c r="BH7" s="2">
        <v>166121.09</v>
      </c>
      <c r="BI7" s="2">
        <v>105832.33</v>
      </c>
      <c r="BJ7" s="3">
        <v>0</v>
      </c>
      <c r="BK7" s="2">
        <v>0</v>
      </c>
      <c r="BL7">
        <v>0</v>
      </c>
    </row>
    <row r="8" spans="1:64" ht="15.5" x14ac:dyDescent="0.35">
      <c r="A8" t="s">
        <v>70</v>
      </c>
      <c r="B8" s="2">
        <v>344051.74999999948</v>
      </c>
      <c r="C8" s="2">
        <v>326133.68999999948</v>
      </c>
      <c r="D8" s="2">
        <v>318953.39999999938</v>
      </c>
      <c r="E8" s="3">
        <v>318953.39999999938</v>
      </c>
      <c r="F8" s="2">
        <v>318953.39999999938</v>
      </c>
      <c r="G8" s="2">
        <v>314761.60999999952</v>
      </c>
      <c r="H8" s="3">
        <v>309650.6099999994</v>
      </c>
      <c r="I8" s="2">
        <v>307983.13999999937</v>
      </c>
      <c r="J8" s="2">
        <v>304650.55999999947</v>
      </c>
      <c r="K8" s="3">
        <v>304650.55999999947</v>
      </c>
      <c r="L8" s="2">
        <v>300430.51999999961</v>
      </c>
      <c r="M8" s="2">
        <v>292507.43999999948</v>
      </c>
      <c r="N8" s="3">
        <v>286669.02999999962</v>
      </c>
      <c r="O8" s="2">
        <v>273796.72999999981</v>
      </c>
      <c r="P8" s="2">
        <v>265012.42999999988</v>
      </c>
      <c r="Q8" s="3">
        <v>258929.2999999999</v>
      </c>
      <c r="R8" s="2">
        <v>243540.1899999998</v>
      </c>
      <c r="S8" s="2">
        <v>243540.1899999998</v>
      </c>
      <c r="T8" s="3">
        <v>238870.54999999981</v>
      </c>
      <c r="U8" s="2">
        <v>228798.05999999979</v>
      </c>
      <c r="V8" s="2">
        <v>218854.4899999997</v>
      </c>
      <c r="W8" s="3">
        <v>218348.05999999971</v>
      </c>
      <c r="X8" s="2">
        <v>213940.21999999971</v>
      </c>
      <c r="Y8" s="2">
        <v>210572.21999999971</v>
      </c>
      <c r="Z8" s="3">
        <v>210542.77999999971</v>
      </c>
      <c r="AA8" s="2">
        <v>180121.15999999989</v>
      </c>
      <c r="AB8" s="2">
        <v>161470.18999999989</v>
      </c>
      <c r="AC8" s="3">
        <v>90019.789999999964</v>
      </c>
      <c r="AD8" s="2">
        <v>79970.169999999984</v>
      </c>
      <c r="AE8" s="2">
        <v>79497.719999999987</v>
      </c>
      <c r="AF8" s="3">
        <v>78453.949999999983</v>
      </c>
      <c r="AG8" s="2">
        <v>78453.949999999983</v>
      </c>
      <c r="AH8" s="2">
        <v>78453.949999999983</v>
      </c>
      <c r="AI8" s="3">
        <v>76608.829999999987</v>
      </c>
      <c r="AJ8" s="2">
        <v>75300.66</v>
      </c>
      <c r="AK8" s="2">
        <v>72574.240000000005</v>
      </c>
      <c r="AL8" s="3">
        <v>72574.240000000005</v>
      </c>
      <c r="AM8" s="2">
        <v>71904.73</v>
      </c>
      <c r="AN8" s="2">
        <v>71904.73</v>
      </c>
      <c r="AO8" s="3">
        <v>71904.73</v>
      </c>
      <c r="AP8" s="2">
        <v>71904.73</v>
      </c>
      <c r="AQ8" s="2">
        <v>71228.319999999992</v>
      </c>
      <c r="AR8" s="3">
        <v>71228.319999999992</v>
      </c>
      <c r="AS8" s="2">
        <v>70590.84</v>
      </c>
      <c r="AT8" s="2">
        <v>67602.84</v>
      </c>
      <c r="AU8" s="3">
        <v>62444.020000000011</v>
      </c>
      <c r="AV8" s="2">
        <v>62444.020000000011</v>
      </c>
      <c r="AW8" s="2">
        <v>62444.020000000011</v>
      </c>
      <c r="AX8" s="3">
        <v>62444.020000000011</v>
      </c>
      <c r="AY8" s="2">
        <v>62444.020000000011</v>
      </c>
      <c r="AZ8" s="2">
        <v>62444.020000000011</v>
      </c>
      <c r="BA8" s="3">
        <v>62444.020000000011</v>
      </c>
      <c r="BB8" s="2">
        <v>62444.020000000011</v>
      </c>
      <c r="BC8" s="2">
        <v>60525.560000000019</v>
      </c>
      <c r="BD8" s="3">
        <v>60525.560000000019</v>
      </c>
      <c r="BE8" s="2">
        <v>53291.000000000007</v>
      </c>
      <c r="BF8" s="2">
        <v>53291.000000000007</v>
      </c>
      <c r="BG8" s="3">
        <v>44387.210000000006</v>
      </c>
      <c r="BH8" s="2">
        <v>25519.99</v>
      </c>
      <c r="BI8" s="2">
        <v>22015.23</v>
      </c>
      <c r="BJ8" s="3">
        <v>0</v>
      </c>
      <c r="BK8" s="2">
        <v>0</v>
      </c>
      <c r="BL8">
        <v>0</v>
      </c>
    </row>
    <row r="9" spans="1:64" ht="15.5" x14ac:dyDescent="0.35">
      <c r="A9" t="s">
        <v>71</v>
      </c>
      <c r="B9" s="2">
        <v>11157226.4</v>
      </c>
      <c r="C9" s="2">
        <v>7886475.4200000018</v>
      </c>
      <c r="D9" s="2">
        <v>7547265.0600000024</v>
      </c>
      <c r="E9" s="3">
        <v>7547265.0600000024</v>
      </c>
      <c r="F9" s="2">
        <v>7547265.0600000024</v>
      </c>
      <c r="G9" s="2">
        <v>7477371.0600000024</v>
      </c>
      <c r="H9" s="3">
        <v>7300981.0600000024</v>
      </c>
      <c r="I9" s="2">
        <v>7171862.5900000026</v>
      </c>
      <c r="J9" s="2">
        <v>6876188.2999999998</v>
      </c>
      <c r="K9" s="3">
        <v>6876188.2999999998</v>
      </c>
      <c r="L9" s="2">
        <v>6595062.2999999998</v>
      </c>
      <c r="M9" s="2">
        <v>6172350.3000000017</v>
      </c>
      <c r="N9" s="3">
        <v>5917248.9900000002</v>
      </c>
      <c r="O9" s="2">
        <v>5254291.8899999997</v>
      </c>
      <c r="P9" s="2">
        <v>4435114.3500000034</v>
      </c>
      <c r="Q9" s="3">
        <v>4153001.030000004</v>
      </c>
      <c r="R9" s="2">
        <v>3284301.1300000031</v>
      </c>
      <c r="S9" s="2">
        <v>3284301.1300000031</v>
      </c>
      <c r="T9" s="3">
        <v>2966062.260000003</v>
      </c>
      <c r="U9" s="2">
        <v>2523687.6100000022</v>
      </c>
      <c r="V9" s="2">
        <v>1843511.930000002</v>
      </c>
      <c r="W9" s="3">
        <v>1813553.330000001</v>
      </c>
      <c r="X9" s="2">
        <v>1745653.850000001</v>
      </c>
      <c r="Y9" s="2">
        <v>1524726.350000001</v>
      </c>
      <c r="Z9" s="3">
        <v>1524726.350000001</v>
      </c>
      <c r="AA9" s="2">
        <v>1323198.840000001</v>
      </c>
      <c r="AB9" s="2">
        <v>1323198.840000001</v>
      </c>
      <c r="AC9" s="3">
        <v>922998.55000000063</v>
      </c>
      <c r="AD9" s="2">
        <v>896483.35000000068</v>
      </c>
      <c r="AE9" s="2">
        <v>889070.35000000068</v>
      </c>
      <c r="AF9" s="3">
        <v>867220.97000000067</v>
      </c>
      <c r="AG9" s="2">
        <v>867220.97000000067</v>
      </c>
      <c r="AH9" s="2">
        <v>867220.97000000067</v>
      </c>
      <c r="AI9" s="3">
        <v>849335.97000000067</v>
      </c>
      <c r="AJ9" s="2">
        <v>817345.55000000051</v>
      </c>
      <c r="AK9" s="2">
        <v>736869.35000000033</v>
      </c>
      <c r="AL9" s="3">
        <v>736869.35000000033</v>
      </c>
      <c r="AM9" s="2">
        <v>718627.10000000033</v>
      </c>
      <c r="AN9" s="2">
        <v>718627.10000000033</v>
      </c>
      <c r="AO9" s="3">
        <v>718627.10000000033</v>
      </c>
      <c r="AP9" s="2">
        <v>718627.10000000033</v>
      </c>
      <c r="AQ9" s="2">
        <v>703881.10000000033</v>
      </c>
      <c r="AR9" s="3">
        <v>703881.10000000033</v>
      </c>
      <c r="AS9" s="2">
        <v>692882.35000000033</v>
      </c>
      <c r="AT9" s="2">
        <v>692882.35000000033</v>
      </c>
      <c r="AU9" s="3">
        <v>683666.10000000033</v>
      </c>
      <c r="AV9" s="2">
        <v>683666.10000000033</v>
      </c>
      <c r="AW9" s="2">
        <v>683666.10000000033</v>
      </c>
      <c r="AX9" s="3">
        <v>683666.10000000033</v>
      </c>
      <c r="AY9" s="2">
        <v>683666.10000000033</v>
      </c>
      <c r="AZ9" s="2">
        <v>683666.10000000033</v>
      </c>
      <c r="BA9" s="3">
        <v>683666.10000000033</v>
      </c>
      <c r="BB9" s="2">
        <v>683666.10000000033</v>
      </c>
      <c r="BC9" s="2">
        <v>679268.7000000003</v>
      </c>
      <c r="BD9" s="3">
        <v>679268.7000000003</v>
      </c>
      <c r="BE9" s="2">
        <v>601567.41</v>
      </c>
      <c r="BF9" s="2">
        <v>601567.41</v>
      </c>
      <c r="BG9" s="3">
        <v>351594.61</v>
      </c>
      <c r="BH9" s="2">
        <v>126363.88</v>
      </c>
      <c r="BI9" s="2">
        <v>46795.96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6444005.2399999984</v>
      </c>
      <c r="C10" s="2">
        <v>5648770.2899999991</v>
      </c>
      <c r="D10" s="2">
        <v>5480805.9000000004</v>
      </c>
      <c r="E10" s="3">
        <v>5480805.9000000004</v>
      </c>
      <c r="F10" s="2">
        <v>5480805.9000000004</v>
      </c>
      <c r="G10" s="2">
        <v>5598817.7499999991</v>
      </c>
      <c r="H10" s="3">
        <v>5423232.6600000001</v>
      </c>
      <c r="I10" s="2">
        <v>5354431.54</v>
      </c>
      <c r="J10" s="2">
        <v>5119310.82</v>
      </c>
      <c r="K10" s="3">
        <v>5119310.82</v>
      </c>
      <c r="L10" s="2">
        <v>4918105.4899999974</v>
      </c>
      <c r="M10" s="2">
        <v>4594974.6799999978</v>
      </c>
      <c r="N10" s="3">
        <v>4431746.4399999985</v>
      </c>
      <c r="O10" s="2">
        <v>3996060.0000000042</v>
      </c>
      <c r="P10" s="2">
        <v>3545423.510000004</v>
      </c>
      <c r="Q10" s="3">
        <v>3395673.8000000031</v>
      </c>
      <c r="R10" s="2">
        <v>2645367.1800000011</v>
      </c>
      <c r="S10" s="2">
        <v>2645367.1800000011</v>
      </c>
      <c r="T10" s="3">
        <v>2498440.1400000011</v>
      </c>
      <c r="U10" s="2">
        <v>2255351.680000002</v>
      </c>
      <c r="V10" s="2">
        <v>1602127.1600000011</v>
      </c>
      <c r="W10" s="3">
        <v>1572168.560000001</v>
      </c>
      <c r="X10" s="2">
        <v>1504269.080000001</v>
      </c>
      <c r="Y10" s="2">
        <v>1401602.26</v>
      </c>
      <c r="Z10" s="3">
        <v>1401602.26</v>
      </c>
      <c r="AA10" s="2">
        <v>1259375.49</v>
      </c>
      <c r="AB10" s="2">
        <v>1259375.49</v>
      </c>
      <c r="AC10" s="3">
        <v>869030.43000000063</v>
      </c>
      <c r="AD10" s="2">
        <v>853709.33000000066</v>
      </c>
      <c r="AE10" s="2">
        <v>846296.33000000066</v>
      </c>
      <c r="AF10" s="3">
        <v>827980.75000000058</v>
      </c>
      <c r="AG10" s="2">
        <v>827980.75000000058</v>
      </c>
      <c r="AH10" s="2">
        <v>827980.75000000058</v>
      </c>
      <c r="AI10" s="3">
        <v>810095.75000000058</v>
      </c>
      <c r="AJ10" s="2">
        <v>808361.44000000053</v>
      </c>
      <c r="AK10" s="2">
        <v>736869.35000000033</v>
      </c>
      <c r="AL10" s="3">
        <v>736869.35000000033</v>
      </c>
      <c r="AM10" s="2">
        <v>718627.10000000033</v>
      </c>
      <c r="AN10" s="2">
        <v>718627.10000000033</v>
      </c>
      <c r="AO10" s="3">
        <v>718627.10000000033</v>
      </c>
      <c r="AP10" s="2">
        <v>718627.10000000033</v>
      </c>
      <c r="AQ10" s="2">
        <v>703881.10000000033</v>
      </c>
      <c r="AR10" s="3">
        <v>703881.10000000033</v>
      </c>
      <c r="AS10" s="2">
        <v>692882.35000000033</v>
      </c>
      <c r="AT10" s="2">
        <v>692882.35000000033</v>
      </c>
      <c r="AU10" s="3">
        <v>683666.10000000033</v>
      </c>
      <c r="AV10" s="2">
        <v>683666.10000000033</v>
      </c>
      <c r="AW10" s="2">
        <v>683666.10000000033</v>
      </c>
      <c r="AX10" s="3">
        <v>683666.10000000033</v>
      </c>
      <c r="AY10" s="2">
        <v>683666.10000000033</v>
      </c>
      <c r="AZ10" s="2">
        <v>683666.10000000033</v>
      </c>
      <c r="BA10" s="3">
        <v>683666.10000000033</v>
      </c>
      <c r="BB10" s="2">
        <v>683666.10000000033</v>
      </c>
      <c r="BC10" s="2">
        <v>679268.7000000003</v>
      </c>
      <c r="BD10" s="3">
        <v>679268.7000000003</v>
      </c>
      <c r="BE10" s="2">
        <v>601567.41</v>
      </c>
      <c r="BF10" s="2">
        <v>601567.41</v>
      </c>
      <c r="BG10" s="3">
        <v>351594.61</v>
      </c>
      <c r="BH10" s="2">
        <v>126363.88</v>
      </c>
      <c r="BI10" s="2">
        <v>46795.96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573371.47999999975</v>
      </c>
      <c r="C11" s="2">
        <v>497011.92999999988</v>
      </c>
      <c r="D11" s="2">
        <v>471865.4599999999</v>
      </c>
      <c r="E11" s="3">
        <v>471865.4599999999</v>
      </c>
      <c r="F11" s="2">
        <v>471865.4599999999</v>
      </c>
      <c r="G11" s="2">
        <v>457706.9499999999</v>
      </c>
      <c r="H11" s="3">
        <v>455731.9499999999</v>
      </c>
      <c r="I11" s="2">
        <v>455167.60999999993</v>
      </c>
      <c r="J11" s="2">
        <v>451761.48999999982</v>
      </c>
      <c r="K11" s="3">
        <v>451761.48999999982</v>
      </c>
      <c r="L11" s="2">
        <v>448288.45999999967</v>
      </c>
      <c r="M11" s="2">
        <v>444539.89999999967</v>
      </c>
      <c r="N11" s="3">
        <v>442209.96999999968</v>
      </c>
      <c r="O11" s="2">
        <v>436204.96999999962</v>
      </c>
      <c r="P11" s="2">
        <v>341501.29</v>
      </c>
      <c r="Q11" s="3">
        <v>328277.57000000012</v>
      </c>
      <c r="R11" s="2">
        <v>257079.75</v>
      </c>
      <c r="S11" s="2">
        <v>257079.75</v>
      </c>
      <c r="T11" s="3">
        <v>254412.33</v>
      </c>
      <c r="U11" s="2">
        <v>236467.6700000001</v>
      </c>
      <c r="V11" s="2">
        <v>233644.2000000001</v>
      </c>
      <c r="W11" s="3">
        <v>233258.53000000009</v>
      </c>
      <c r="X11" s="2">
        <v>220568.49000000011</v>
      </c>
      <c r="Y11" s="2">
        <v>219280.7000000001</v>
      </c>
      <c r="Z11" s="3">
        <v>197337.97000000009</v>
      </c>
      <c r="AA11" s="2">
        <v>131169.89000000001</v>
      </c>
      <c r="AB11" s="2">
        <v>85054.09</v>
      </c>
      <c r="AC11" s="3">
        <v>68256.14999999998</v>
      </c>
      <c r="AD11" s="2">
        <v>64392.149999999987</v>
      </c>
      <c r="AE11" s="2">
        <v>63913.779999999977</v>
      </c>
      <c r="AF11" s="3">
        <v>55233.659999999982</v>
      </c>
      <c r="AG11" s="2">
        <v>55233.659999999982</v>
      </c>
      <c r="AH11" s="2">
        <v>55233.659999999982</v>
      </c>
      <c r="AI11" s="3">
        <v>47918.990000000013</v>
      </c>
      <c r="AJ11" s="2">
        <v>47658.960000000006</v>
      </c>
      <c r="AK11" s="2">
        <v>46870.2</v>
      </c>
      <c r="AL11" s="3">
        <v>46870.2</v>
      </c>
      <c r="AM11" s="2">
        <v>46471.199999999997</v>
      </c>
      <c r="AN11" s="2">
        <v>46471.199999999997</v>
      </c>
      <c r="AO11" s="3">
        <v>46471.199999999997</v>
      </c>
      <c r="AP11" s="2">
        <v>46471.199999999997</v>
      </c>
      <c r="AQ11" s="2">
        <v>46034.2</v>
      </c>
      <c r="AR11" s="3">
        <v>46034.2</v>
      </c>
      <c r="AS11" s="2">
        <v>45659.199999999997</v>
      </c>
      <c r="AT11" s="2">
        <v>45099.199999999997</v>
      </c>
      <c r="AU11" s="3">
        <v>43811.45</v>
      </c>
      <c r="AV11" s="2">
        <v>43811.45</v>
      </c>
      <c r="AW11" s="2">
        <v>43811.45</v>
      </c>
      <c r="AX11" s="3">
        <v>43811.45</v>
      </c>
      <c r="AY11" s="2">
        <v>43811.45</v>
      </c>
      <c r="AZ11" s="2">
        <v>43811.45</v>
      </c>
      <c r="BA11" s="3">
        <v>43811.45</v>
      </c>
      <c r="BB11" s="2">
        <v>43811.45</v>
      </c>
      <c r="BC11" s="2">
        <v>43287.429999999993</v>
      </c>
      <c r="BD11" s="3">
        <v>43287.429999999993</v>
      </c>
      <c r="BE11" s="2">
        <v>36811.19</v>
      </c>
      <c r="BF11" s="2">
        <v>36811.19</v>
      </c>
      <c r="BG11" s="3">
        <v>33504.67</v>
      </c>
      <c r="BH11" s="2">
        <v>18574.05</v>
      </c>
      <c r="BI11" s="2">
        <v>17169.150000000001</v>
      </c>
      <c r="BJ11" s="3">
        <v>0</v>
      </c>
      <c r="BK11" s="2">
        <v>0</v>
      </c>
      <c r="BL11">
        <v>0</v>
      </c>
    </row>
    <row r="12" spans="1:64" ht="15.5" x14ac:dyDescent="0.35">
      <c r="A12" t="s">
        <v>74</v>
      </c>
      <c r="B12" s="2">
        <v>283488617.62000018</v>
      </c>
      <c r="C12" s="2">
        <v>267227726.46000031</v>
      </c>
      <c r="D12" s="2">
        <v>263508345.3400003</v>
      </c>
      <c r="E12" s="3">
        <v>263508345.3400003</v>
      </c>
      <c r="F12" s="2">
        <v>263508345.3400003</v>
      </c>
      <c r="G12" s="2">
        <v>261412447.3400003</v>
      </c>
      <c r="H12" s="3">
        <v>258856936.34000039</v>
      </c>
      <c r="I12" s="2">
        <v>257599160.90000039</v>
      </c>
      <c r="J12" s="2">
        <v>255892085.3600004</v>
      </c>
      <c r="K12" s="3">
        <v>255892085.3600004</v>
      </c>
      <c r="L12" s="2">
        <v>253629997.51000041</v>
      </c>
      <c r="M12" s="2">
        <v>249877483.5200004</v>
      </c>
      <c r="N12" s="3">
        <v>246709960.07000041</v>
      </c>
      <c r="O12" s="2">
        <v>240533889.20000029</v>
      </c>
      <c r="P12" s="2">
        <v>226538953.14000019</v>
      </c>
      <c r="Q12" s="3">
        <v>222293572.73000029</v>
      </c>
      <c r="R12" s="2">
        <v>208819087.29000011</v>
      </c>
      <c r="S12" s="2">
        <v>208819087.29000011</v>
      </c>
      <c r="T12" s="3">
        <v>206526591.97000009</v>
      </c>
      <c r="U12" s="2">
        <v>199915067.08000019</v>
      </c>
      <c r="V12" s="2">
        <v>194943232.0500001</v>
      </c>
      <c r="W12" s="3">
        <v>194690016.75000009</v>
      </c>
      <c r="X12" s="2">
        <v>192486082.76000011</v>
      </c>
      <c r="Y12" s="2">
        <v>190802063.07000011</v>
      </c>
      <c r="Z12" s="3">
        <v>187268563.07000011</v>
      </c>
      <c r="AA12" s="2">
        <v>157502375.7799997</v>
      </c>
      <c r="AB12" s="2">
        <v>137542351.72999981</v>
      </c>
      <c r="AC12" s="3">
        <v>99259016.179999948</v>
      </c>
      <c r="AD12" s="2">
        <v>93024620.879999965</v>
      </c>
      <c r="AE12" s="2">
        <v>92509211.85999997</v>
      </c>
      <c r="AF12" s="3">
        <v>86196289.549999967</v>
      </c>
      <c r="AG12" s="2">
        <v>86196289.549999967</v>
      </c>
      <c r="AH12" s="2">
        <v>86196289.549999967</v>
      </c>
      <c r="AI12" s="3">
        <v>85273722.019999966</v>
      </c>
      <c r="AJ12" s="2">
        <v>84619636.199999958</v>
      </c>
      <c r="AK12" s="2">
        <v>83256418.419999957</v>
      </c>
      <c r="AL12" s="3">
        <v>83256418.419999957</v>
      </c>
      <c r="AM12" s="2">
        <v>82921660.589999974</v>
      </c>
      <c r="AN12" s="2">
        <v>82921660.589999974</v>
      </c>
      <c r="AO12" s="3">
        <v>82921660.589999974</v>
      </c>
      <c r="AP12" s="2">
        <v>82921660.589999974</v>
      </c>
      <c r="AQ12" s="2">
        <v>82583452.329999968</v>
      </c>
      <c r="AR12" s="3">
        <v>82583452.329999968</v>
      </c>
      <c r="AS12" s="2">
        <v>82264711.029999971</v>
      </c>
      <c r="AT12" s="2">
        <v>80770711.029999971</v>
      </c>
      <c r="AU12" s="3">
        <v>78191297.769999981</v>
      </c>
      <c r="AV12" s="2">
        <v>78191297.769999981</v>
      </c>
      <c r="AW12" s="2">
        <v>78191297.769999981</v>
      </c>
      <c r="AX12" s="3">
        <v>78191297.769999981</v>
      </c>
      <c r="AY12" s="2">
        <v>78191297.769999981</v>
      </c>
      <c r="AZ12" s="2">
        <v>78191297.769999981</v>
      </c>
      <c r="BA12" s="3">
        <v>78191297.769999981</v>
      </c>
      <c r="BB12" s="2">
        <v>78191297.769999981</v>
      </c>
      <c r="BC12" s="2">
        <v>77232062.87999998</v>
      </c>
      <c r="BD12" s="3">
        <v>77232062.87999998</v>
      </c>
      <c r="BE12" s="2">
        <v>73614761.339999974</v>
      </c>
      <c r="BF12" s="2">
        <v>73614761.339999974</v>
      </c>
      <c r="BG12" s="3">
        <v>50736724.599999987</v>
      </c>
      <c r="BH12" s="2">
        <v>23541754.629999999</v>
      </c>
      <c r="BI12" s="2">
        <v>14966188.15</v>
      </c>
      <c r="BJ12" s="3">
        <v>0</v>
      </c>
      <c r="BK12" s="2">
        <v>0</v>
      </c>
      <c r="BL12">
        <v>0</v>
      </c>
    </row>
    <row r="13" spans="1:64" ht="15.5" x14ac:dyDescent="0.35">
      <c r="A13" t="s">
        <v>75</v>
      </c>
      <c r="B13" s="2">
        <v>234928644.61000001</v>
      </c>
      <c r="C13" s="2">
        <v>227421207.74000001</v>
      </c>
      <c r="D13" s="2">
        <v>222817165.34</v>
      </c>
      <c r="E13" s="3">
        <v>219697364.50999999</v>
      </c>
      <c r="F13" s="2">
        <v>216577563.68000001</v>
      </c>
      <c r="G13" s="2">
        <v>212968507.41</v>
      </c>
      <c r="H13" s="3">
        <v>208244825.0399999</v>
      </c>
      <c r="I13" s="2">
        <v>204480670.45999989</v>
      </c>
      <c r="J13" s="2">
        <v>200547171.63999999</v>
      </c>
      <c r="K13" s="3">
        <v>197525585.2599999</v>
      </c>
      <c r="L13" s="2">
        <v>193312970.68999991</v>
      </c>
      <c r="M13" s="2">
        <v>188285224.43999991</v>
      </c>
      <c r="N13" s="3">
        <v>183253979.60999981</v>
      </c>
      <c r="O13" s="2">
        <v>176635845.73999989</v>
      </c>
      <c r="P13" s="2">
        <v>164497984.53999999</v>
      </c>
      <c r="Q13" s="3">
        <v>159032592.92999989</v>
      </c>
      <c r="R13" s="2">
        <v>147937055.45999989</v>
      </c>
      <c r="S13" s="2">
        <v>145373937.64999989</v>
      </c>
      <c r="T13" s="3">
        <v>141401180.31999999</v>
      </c>
      <c r="U13" s="2">
        <v>135088322.89999989</v>
      </c>
      <c r="V13" s="2">
        <v>129486133.41</v>
      </c>
      <c r="W13" s="3">
        <v>126900172.09</v>
      </c>
      <c r="X13" s="2">
        <v>122986839.75</v>
      </c>
      <c r="Y13" s="2">
        <v>119554233.83</v>
      </c>
      <c r="Z13" s="3">
        <v>115537169.27</v>
      </c>
      <c r="AA13" s="2">
        <v>97973502.650000185</v>
      </c>
      <c r="AB13" s="2">
        <v>89460805.430000037</v>
      </c>
      <c r="AC13" s="3">
        <v>66241212.510000043</v>
      </c>
      <c r="AD13" s="2">
        <v>62184433.98999998</v>
      </c>
      <c r="AE13" s="2">
        <v>60811138.909999996</v>
      </c>
      <c r="AF13" s="3">
        <v>57906051.789999992</v>
      </c>
      <c r="AG13" s="2">
        <v>57027145.559999987</v>
      </c>
      <c r="AH13" s="2">
        <v>56148239.329999998</v>
      </c>
      <c r="AI13" s="3">
        <v>54611663.030000001</v>
      </c>
      <c r="AJ13" s="2">
        <v>53384874.719999999</v>
      </c>
      <c r="AK13" s="2">
        <v>51941683.890000001</v>
      </c>
      <c r="AL13" s="3">
        <v>51088867.479999997</v>
      </c>
      <c r="AM13" s="2">
        <v>50045436.760000013</v>
      </c>
      <c r="AN13" s="2">
        <v>49195623.340000004</v>
      </c>
      <c r="AO13" s="3">
        <v>48345809.920000002</v>
      </c>
      <c r="AP13" s="2">
        <v>47495996.5</v>
      </c>
      <c r="AQ13" s="2">
        <v>46446858.880000003</v>
      </c>
      <c r="AR13" s="3">
        <v>45600000.43999999</v>
      </c>
      <c r="AS13" s="2">
        <v>44560366.61999999</v>
      </c>
      <c r="AT13" s="2">
        <v>43111214.549999997</v>
      </c>
      <c r="AU13" s="3">
        <v>41210525.860000022</v>
      </c>
      <c r="AV13" s="2">
        <v>40416542.560000017</v>
      </c>
      <c r="AW13" s="2">
        <v>39622559.26000002</v>
      </c>
      <c r="AX13" s="3">
        <v>38828575.960000023</v>
      </c>
      <c r="AY13" s="2">
        <v>38034592.660000019</v>
      </c>
      <c r="AZ13" s="2">
        <v>37240609.360000022</v>
      </c>
      <c r="BA13" s="3">
        <v>36446626.060000017</v>
      </c>
      <c r="BB13" s="2">
        <v>35652642.76000002</v>
      </c>
      <c r="BC13" s="2">
        <v>34399104.570000023</v>
      </c>
      <c r="BD13" s="3">
        <v>33613449.270000018</v>
      </c>
      <c r="BE13" s="2">
        <v>30795896.190000031</v>
      </c>
      <c r="BF13" s="2">
        <v>30037037.440000031</v>
      </c>
      <c r="BG13" s="3">
        <v>20130900.749999989</v>
      </c>
      <c r="BH13" s="2">
        <v>8965622.5199999921</v>
      </c>
      <c r="BI13" s="2">
        <v>5281111.9200000018</v>
      </c>
      <c r="BJ13" s="3">
        <v>0</v>
      </c>
      <c r="BK13" s="2">
        <v>0</v>
      </c>
      <c r="BL13">
        <v>0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35</v>
      </c>
      <c r="D15" s="2">
        <v>5</v>
      </c>
      <c r="E15" s="3">
        <v>0</v>
      </c>
      <c r="F15" s="2">
        <v>0</v>
      </c>
      <c r="G15" s="2">
        <v>1</v>
      </c>
      <c r="H15" s="3">
        <v>5</v>
      </c>
      <c r="I15" s="2">
        <v>2</v>
      </c>
      <c r="J15" s="2">
        <v>7</v>
      </c>
      <c r="K15" s="3">
        <v>0</v>
      </c>
      <c r="L15" s="2">
        <v>5</v>
      </c>
      <c r="M15" s="2">
        <v>8</v>
      </c>
      <c r="N15" s="3">
        <v>6</v>
      </c>
      <c r="O15" s="2">
        <v>14</v>
      </c>
      <c r="P15" s="2">
        <v>40</v>
      </c>
      <c r="Q15" s="3">
        <v>12</v>
      </c>
      <c r="R15" s="2">
        <v>29</v>
      </c>
      <c r="S15" s="2">
        <v>0</v>
      </c>
      <c r="T15" s="3">
        <v>7</v>
      </c>
      <c r="U15" s="2">
        <v>13</v>
      </c>
      <c r="V15" s="2">
        <v>17</v>
      </c>
      <c r="W15" s="3">
        <v>1</v>
      </c>
      <c r="X15" s="2">
        <v>4</v>
      </c>
      <c r="Y15" s="2">
        <v>6</v>
      </c>
      <c r="Z15" s="3">
        <v>0</v>
      </c>
      <c r="AA15" s="2">
        <v>11</v>
      </c>
      <c r="AB15" s="2">
        <v>0</v>
      </c>
      <c r="AC15" s="3">
        <v>24</v>
      </c>
      <c r="AD15" s="2">
        <v>2</v>
      </c>
      <c r="AE15" s="2">
        <v>1</v>
      </c>
      <c r="AF15" s="3">
        <v>2</v>
      </c>
      <c r="AG15" s="2">
        <v>0</v>
      </c>
      <c r="AH15" s="2">
        <v>0</v>
      </c>
      <c r="AI15" s="3">
        <v>2</v>
      </c>
      <c r="AJ15" s="2">
        <v>1</v>
      </c>
      <c r="AK15" s="2">
        <v>2</v>
      </c>
      <c r="AL15" s="3">
        <v>0</v>
      </c>
      <c r="AM15" s="2">
        <v>1</v>
      </c>
      <c r="AN15" s="2">
        <v>0</v>
      </c>
      <c r="AO15" s="3">
        <v>0</v>
      </c>
      <c r="AP15" s="2">
        <v>0</v>
      </c>
      <c r="AQ15" s="2">
        <v>1</v>
      </c>
      <c r="AR15" s="3">
        <v>0</v>
      </c>
      <c r="AS15" s="2">
        <v>1</v>
      </c>
      <c r="AT15" s="2">
        <v>0</v>
      </c>
      <c r="AU15" s="3">
        <v>1</v>
      </c>
      <c r="AV15" s="2">
        <v>0</v>
      </c>
      <c r="AW15" s="2">
        <v>0</v>
      </c>
      <c r="AX15" s="3">
        <v>0</v>
      </c>
      <c r="AY15" s="2">
        <v>0</v>
      </c>
      <c r="AZ15" s="2">
        <v>0</v>
      </c>
      <c r="BA15" s="3">
        <v>0</v>
      </c>
      <c r="BB15" s="2">
        <v>0</v>
      </c>
      <c r="BC15" s="2">
        <v>1</v>
      </c>
      <c r="BD15" s="3">
        <v>0</v>
      </c>
      <c r="BE15" s="2">
        <v>13</v>
      </c>
      <c r="BF15" s="2">
        <v>0</v>
      </c>
      <c r="BG15" s="3">
        <v>16</v>
      </c>
      <c r="BH15" s="2">
        <v>11</v>
      </c>
      <c r="BI15" s="2">
        <v>4</v>
      </c>
      <c r="BJ15" s="3">
        <v>3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0</v>
      </c>
      <c r="E16" s="3">
        <v>0</v>
      </c>
      <c r="F16" s="2">
        <v>0</v>
      </c>
      <c r="G16" s="2">
        <v>0</v>
      </c>
      <c r="H16" s="3">
        <v>0</v>
      </c>
      <c r="I16" s="2">
        <v>0</v>
      </c>
      <c r="J16" s="2">
        <v>0</v>
      </c>
      <c r="K16" s="3">
        <v>0</v>
      </c>
      <c r="L16" s="2">
        <v>0</v>
      </c>
      <c r="M16" s="2">
        <v>0</v>
      </c>
      <c r="N16" s="3">
        <v>0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0</v>
      </c>
      <c r="X16" s="2">
        <v>0</v>
      </c>
      <c r="Y16" s="2">
        <v>0</v>
      </c>
      <c r="Z16" s="3">
        <v>1</v>
      </c>
      <c r="AA16" s="2">
        <v>48</v>
      </c>
      <c r="AB16" s="2">
        <v>19</v>
      </c>
      <c r="AC16" s="3">
        <v>16</v>
      </c>
      <c r="AD16" s="2">
        <v>8</v>
      </c>
      <c r="AE16" s="2">
        <v>0</v>
      </c>
      <c r="AF16" s="3">
        <v>1</v>
      </c>
      <c r="AG16" s="2">
        <v>0</v>
      </c>
      <c r="AH16" s="2">
        <v>0</v>
      </c>
      <c r="AI16" s="3">
        <v>0</v>
      </c>
      <c r="AJ16" s="2">
        <v>0</v>
      </c>
      <c r="AK16" s="2">
        <v>0</v>
      </c>
      <c r="AL16" s="3">
        <v>0</v>
      </c>
      <c r="AM16" s="2">
        <v>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4</v>
      </c>
      <c r="AU16" s="3">
        <v>6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0</v>
      </c>
      <c r="BH16" s="2">
        <v>2</v>
      </c>
      <c r="BI16" s="2">
        <v>0</v>
      </c>
      <c r="BJ16" s="3">
        <v>5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16"/>
  <sheetViews>
    <sheetView workbookViewId="0"/>
  </sheetViews>
  <sheetFormatPr defaultRowHeight="14.5" x14ac:dyDescent="0.35"/>
  <cols>
    <col min="1" max="1" width="13" bestFit="1" customWidth="1"/>
    <col min="2" max="4" width="13" hidden="1" bestFit="1" customWidth="1"/>
    <col min="5" max="5" width="13" bestFit="1" customWidth="1"/>
    <col min="6" max="7" width="13" hidden="1" bestFit="1" customWidth="1"/>
    <col min="8" max="8" width="13" bestFit="1" customWidth="1"/>
    <col min="9" max="10" width="13" hidden="1" bestFit="1" customWidth="1"/>
    <col min="11" max="11" width="13" bestFit="1" customWidth="1"/>
    <col min="12" max="13" width="13" hidden="1" bestFit="1" customWidth="1"/>
    <col min="14" max="14" width="13" bestFit="1" customWidth="1"/>
    <col min="15" max="16" width="13" hidden="1" bestFit="1" customWidth="1"/>
    <col min="17" max="17" width="13" bestFit="1" customWidth="1"/>
    <col min="18" max="19" width="13" hidden="1" bestFit="1" customWidth="1"/>
    <col min="20" max="20" width="13" bestFit="1" customWidth="1"/>
    <col min="21" max="22" width="13" hidden="1" bestFit="1" customWidth="1"/>
    <col min="23" max="23" width="13" bestFit="1" customWidth="1"/>
    <col min="24" max="25" width="13" hidden="1" bestFit="1" customWidth="1"/>
    <col min="26" max="26" width="13" bestFit="1" customWidth="1"/>
    <col min="27" max="28" width="13" hidden="1" bestFit="1" customWidth="1"/>
    <col min="29" max="29" width="13" bestFit="1" customWidth="1"/>
    <col min="30" max="31" width="13" hidden="1" bestFit="1" customWidth="1"/>
    <col min="32" max="32" width="13" bestFit="1" customWidth="1"/>
    <col min="33" max="34" width="13" hidden="1" bestFit="1" customWidth="1"/>
    <col min="35" max="35" width="13" bestFit="1" customWidth="1"/>
    <col min="36" max="37" width="13" hidden="1" bestFit="1" customWidth="1"/>
    <col min="38" max="38" width="13" bestFit="1" customWidth="1"/>
    <col min="39" max="40" width="13" hidden="1" bestFit="1" customWidth="1"/>
    <col min="41" max="41" width="13" bestFit="1" customWidth="1"/>
    <col min="42" max="43" width="13" hidden="1" bestFit="1" customWidth="1"/>
    <col min="44" max="44" width="13" bestFit="1" customWidth="1"/>
    <col min="45" max="46" width="13" hidden="1" bestFit="1" customWidth="1"/>
    <col min="47" max="47" width="13" bestFit="1" customWidth="1"/>
    <col min="48" max="49" width="13" hidden="1" bestFit="1" customWidth="1"/>
    <col min="50" max="50" width="13" bestFit="1" customWidth="1"/>
    <col min="51" max="52" width="13" hidden="1" bestFit="1" customWidth="1"/>
    <col min="53" max="53" width="13" bestFit="1" customWidth="1"/>
    <col min="54" max="55" width="13" hidden="1" bestFit="1" customWidth="1"/>
    <col min="56" max="56" width="13" bestFit="1" customWidth="1"/>
    <col min="57" max="58" width="13" hidden="1" bestFit="1" customWidth="1"/>
    <col min="59" max="59" width="13" bestFit="1" customWidth="1"/>
    <col min="60" max="61" width="13" hidden="1" bestFit="1" customWidth="1"/>
    <col min="62" max="62" width="13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21</v>
      </c>
      <c r="C2" s="2">
        <v>16</v>
      </c>
      <c r="D2" s="2">
        <v>16</v>
      </c>
      <c r="E2" s="3">
        <v>16</v>
      </c>
      <c r="F2" s="2">
        <v>16</v>
      </c>
      <c r="G2" s="2">
        <v>16</v>
      </c>
      <c r="H2" s="3">
        <v>16</v>
      </c>
      <c r="I2" s="2">
        <v>15</v>
      </c>
      <c r="J2" s="2">
        <v>13</v>
      </c>
      <c r="K2" s="3">
        <v>13</v>
      </c>
      <c r="L2" s="2">
        <v>13</v>
      </c>
      <c r="M2" s="2">
        <v>13</v>
      </c>
      <c r="N2" s="3">
        <v>13</v>
      </c>
      <c r="O2" s="2">
        <v>13</v>
      </c>
      <c r="P2" s="2">
        <v>13</v>
      </c>
      <c r="Q2" s="3">
        <v>13</v>
      </c>
      <c r="R2" s="2">
        <v>13</v>
      </c>
      <c r="S2" s="2">
        <v>13</v>
      </c>
      <c r="T2" s="3">
        <v>13</v>
      </c>
      <c r="U2" s="2">
        <v>12</v>
      </c>
      <c r="V2" s="2">
        <v>12</v>
      </c>
      <c r="W2" s="3">
        <v>12</v>
      </c>
      <c r="X2" s="2">
        <v>12</v>
      </c>
      <c r="Y2" s="2">
        <v>12</v>
      </c>
      <c r="Z2" s="3">
        <v>11</v>
      </c>
      <c r="AA2" s="2">
        <v>9</v>
      </c>
      <c r="AB2" s="2">
        <v>9</v>
      </c>
      <c r="AC2" s="3">
        <v>9</v>
      </c>
      <c r="AD2" s="2">
        <v>9</v>
      </c>
      <c r="AE2" s="2">
        <v>9</v>
      </c>
      <c r="AF2" s="3">
        <v>6</v>
      </c>
      <c r="AG2" s="2">
        <v>6</v>
      </c>
      <c r="AH2" s="2">
        <v>6</v>
      </c>
      <c r="AI2" s="3">
        <v>6</v>
      </c>
      <c r="AJ2" s="2">
        <v>6</v>
      </c>
      <c r="AK2" s="2">
        <v>5</v>
      </c>
      <c r="AL2" s="3">
        <v>0</v>
      </c>
      <c r="AM2" s="2">
        <v>0</v>
      </c>
      <c r="AN2" s="2">
        <v>0</v>
      </c>
      <c r="AO2" s="3">
        <v>0</v>
      </c>
      <c r="AP2" s="2">
        <v>0</v>
      </c>
      <c r="AQ2" s="2">
        <v>0</v>
      </c>
      <c r="AR2" s="3">
        <v>0</v>
      </c>
      <c r="AS2" s="2">
        <v>0</v>
      </c>
      <c r="AT2" s="2">
        <v>0</v>
      </c>
      <c r="AU2" s="3">
        <v>0</v>
      </c>
      <c r="AV2" s="2">
        <v>0</v>
      </c>
      <c r="AW2" s="2">
        <v>0</v>
      </c>
      <c r="AX2" s="3">
        <v>0</v>
      </c>
      <c r="AY2" s="2">
        <v>0</v>
      </c>
      <c r="AZ2" s="2">
        <v>0</v>
      </c>
      <c r="BA2" s="3">
        <v>0</v>
      </c>
      <c r="BB2" s="2">
        <v>0</v>
      </c>
      <c r="BC2" s="2">
        <v>0</v>
      </c>
      <c r="BD2" s="3">
        <v>0</v>
      </c>
      <c r="BE2" s="2">
        <v>0</v>
      </c>
      <c r="BF2" s="2">
        <v>0</v>
      </c>
      <c r="BG2" s="3">
        <v>0</v>
      </c>
      <c r="BH2" s="2">
        <v>0</v>
      </c>
      <c r="BI2" s="2">
        <v>0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13</v>
      </c>
      <c r="C3" s="2">
        <v>13</v>
      </c>
      <c r="D3" s="2">
        <v>13</v>
      </c>
      <c r="E3" s="3">
        <v>13</v>
      </c>
      <c r="F3" s="2">
        <v>13</v>
      </c>
      <c r="G3" s="2">
        <v>13</v>
      </c>
      <c r="H3" s="3">
        <v>13</v>
      </c>
      <c r="I3" s="2">
        <v>13</v>
      </c>
      <c r="J3" s="2">
        <v>13</v>
      </c>
      <c r="K3" s="3">
        <v>13</v>
      </c>
      <c r="L3" s="2">
        <v>13</v>
      </c>
      <c r="M3" s="2">
        <v>13</v>
      </c>
      <c r="N3" s="3">
        <v>13</v>
      </c>
      <c r="O3" s="2">
        <v>13</v>
      </c>
      <c r="P3" s="2">
        <v>13</v>
      </c>
      <c r="Q3" s="3">
        <v>13</v>
      </c>
      <c r="R3" s="2">
        <v>13</v>
      </c>
      <c r="S3" s="2">
        <v>13</v>
      </c>
      <c r="T3" s="3">
        <v>13</v>
      </c>
      <c r="U3" s="2">
        <v>13</v>
      </c>
      <c r="V3" s="2">
        <v>13</v>
      </c>
      <c r="W3" s="3">
        <v>12</v>
      </c>
      <c r="X3" s="2">
        <v>12</v>
      </c>
      <c r="Y3" s="2">
        <v>12</v>
      </c>
      <c r="Z3" s="3">
        <v>12</v>
      </c>
      <c r="AA3" s="2">
        <v>12</v>
      </c>
      <c r="AB3" s="2">
        <v>12</v>
      </c>
      <c r="AC3" s="3">
        <v>12</v>
      </c>
      <c r="AD3" s="2">
        <v>12</v>
      </c>
      <c r="AE3" s="2">
        <v>11</v>
      </c>
      <c r="AF3" s="3">
        <v>11</v>
      </c>
      <c r="AG3" s="2">
        <v>11</v>
      </c>
      <c r="AH3" s="2">
        <v>8</v>
      </c>
      <c r="AI3" s="3">
        <v>8</v>
      </c>
      <c r="AJ3" s="2">
        <v>7</v>
      </c>
      <c r="AK3" s="2">
        <v>7</v>
      </c>
      <c r="AL3" s="3">
        <v>0</v>
      </c>
      <c r="AM3" s="2">
        <v>0</v>
      </c>
      <c r="AN3" s="2">
        <v>0</v>
      </c>
      <c r="AO3" s="3">
        <v>0</v>
      </c>
      <c r="AP3" s="2">
        <v>0</v>
      </c>
      <c r="AQ3" s="2">
        <v>0</v>
      </c>
      <c r="AR3" s="3">
        <v>0</v>
      </c>
      <c r="AS3" s="2">
        <v>0</v>
      </c>
      <c r="AT3" s="2">
        <v>0</v>
      </c>
      <c r="AU3" s="3">
        <v>0</v>
      </c>
      <c r="AV3" s="2">
        <v>0</v>
      </c>
      <c r="AW3" s="2">
        <v>0</v>
      </c>
      <c r="AX3" s="3">
        <v>0</v>
      </c>
      <c r="AY3" s="2">
        <v>0</v>
      </c>
      <c r="AZ3" s="2">
        <v>0</v>
      </c>
      <c r="BA3" s="3">
        <v>0</v>
      </c>
      <c r="BB3" s="2">
        <v>0</v>
      </c>
      <c r="BC3" s="2">
        <v>0</v>
      </c>
      <c r="BD3" s="3">
        <v>0</v>
      </c>
      <c r="BE3" s="2">
        <v>0</v>
      </c>
      <c r="BF3" s="2">
        <v>0</v>
      </c>
      <c r="BG3" s="3">
        <v>0</v>
      </c>
      <c r="BH3" s="2">
        <v>0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1</v>
      </c>
      <c r="C4" s="2">
        <v>1</v>
      </c>
      <c r="D4" s="2">
        <v>1</v>
      </c>
      <c r="E4" s="3">
        <v>1</v>
      </c>
      <c r="F4" s="2">
        <v>1</v>
      </c>
      <c r="G4" s="2">
        <v>1</v>
      </c>
      <c r="H4" s="3">
        <v>1</v>
      </c>
      <c r="I4" s="2">
        <v>1</v>
      </c>
      <c r="J4" s="2">
        <v>1</v>
      </c>
      <c r="K4" s="3">
        <v>1</v>
      </c>
      <c r="L4" s="2">
        <v>1</v>
      </c>
      <c r="M4" s="2">
        <v>1</v>
      </c>
      <c r="N4" s="3">
        <v>1</v>
      </c>
      <c r="O4" s="2">
        <v>1</v>
      </c>
      <c r="P4" s="2">
        <v>1</v>
      </c>
      <c r="Q4" s="3">
        <v>1</v>
      </c>
      <c r="R4" s="2">
        <v>1</v>
      </c>
      <c r="S4" s="2">
        <v>1</v>
      </c>
      <c r="T4" s="3">
        <v>1</v>
      </c>
      <c r="U4" s="2">
        <v>1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1143088.19</v>
      </c>
      <c r="C5" s="2">
        <v>1077239.06</v>
      </c>
      <c r="D5" s="2">
        <v>1077239.06</v>
      </c>
      <c r="E5" s="3">
        <v>1077239.06</v>
      </c>
      <c r="F5" s="2">
        <v>1077239.06</v>
      </c>
      <c r="G5" s="2">
        <v>1077239.06</v>
      </c>
      <c r="H5" s="3">
        <v>1077239.06</v>
      </c>
      <c r="I5" s="2">
        <v>1070873.75</v>
      </c>
      <c r="J5" s="2">
        <v>1050621.96</v>
      </c>
      <c r="K5" s="3">
        <v>1050621.96</v>
      </c>
      <c r="L5" s="2">
        <v>1050621.96</v>
      </c>
      <c r="M5" s="2">
        <v>1050621.96</v>
      </c>
      <c r="N5" s="3">
        <v>1050621.96</v>
      </c>
      <c r="O5" s="2">
        <v>1050621.96</v>
      </c>
      <c r="P5" s="2">
        <v>1050621.96</v>
      </c>
      <c r="Q5" s="3">
        <v>1050621.96</v>
      </c>
      <c r="R5" s="2">
        <v>1050621.96</v>
      </c>
      <c r="S5" s="2">
        <v>1050621.96</v>
      </c>
      <c r="T5" s="3">
        <v>1050621.96</v>
      </c>
      <c r="U5" s="2">
        <v>1001804.69</v>
      </c>
      <c r="V5" s="2">
        <v>971277.04000000015</v>
      </c>
      <c r="W5" s="3">
        <v>939150.44000000018</v>
      </c>
      <c r="X5" s="2">
        <v>939150.44000000018</v>
      </c>
      <c r="Y5" s="2">
        <v>939150.44000000018</v>
      </c>
      <c r="Z5" s="3">
        <v>898985.50000000023</v>
      </c>
      <c r="AA5" s="2">
        <v>810905.26000000013</v>
      </c>
      <c r="AB5" s="2">
        <v>810905.26000000013</v>
      </c>
      <c r="AC5" s="3">
        <v>810905.26000000013</v>
      </c>
      <c r="AD5" s="2">
        <v>810905.26000000013</v>
      </c>
      <c r="AE5" s="2">
        <v>775833.83000000007</v>
      </c>
      <c r="AF5" s="3">
        <v>634142.82000000007</v>
      </c>
      <c r="AG5" s="2">
        <v>634142.82000000007</v>
      </c>
      <c r="AH5" s="2">
        <v>540308.78</v>
      </c>
      <c r="AI5" s="3">
        <v>540308.78</v>
      </c>
      <c r="AJ5" s="2">
        <v>503443.03</v>
      </c>
      <c r="AK5" s="2">
        <v>446026.66</v>
      </c>
      <c r="AL5" s="3">
        <v>0</v>
      </c>
      <c r="AM5" s="2">
        <v>0</v>
      </c>
      <c r="AN5" s="2">
        <v>0</v>
      </c>
      <c r="AO5" s="3">
        <v>0</v>
      </c>
      <c r="AP5" s="2">
        <v>0</v>
      </c>
      <c r="AQ5" s="2">
        <v>0</v>
      </c>
      <c r="AR5" s="3">
        <v>0</v>
      </c>
      <c r="AS5" s="2">
        <v>0</v>
      </c>
      <c r="AT5" s="2">
        <v>0</v>
      </c>
      <c r="AU5" s="3">
        <v>0</v>
      </c>
      <c r="AV5" s="2">
        <v>0</v>
      </c>
      <c r="AW5" s="2">
        <v>0</v>
      </c>
      <c r="AX5" s="3">
        <v>0</v>
      </c>
      <c r="AY5" s="2">
        <v>0</v>
      </c>
      <c r="AZ5" s="2">
        <v>0</v>
      </c>
      <c r="BA5" s="3">
        <v>0</v>
      </c>
      <c r="BB5" s="2">
        <v>0</v>
      </c>
      <c r="BC5" s="2">
        <v>0</v>
      </c>
      <c r="BD5" s="3">
        <v>0</v>
      </c>
      <c r="BE5" s="2">
        <v>0</v>
      </c>
      <c r="BF5" s="2">
        <v>0</v>
      </c>
      <c r="BG5" s="3">
        <v>0</v>
      </c>
      <c r="BH5" s="2">
        <v>0</v>
      </c>
      <c r="BI5" s="2">
        <v>0</v>
      </c>
      <c r="BJ5" s="3">
        <v>0</v>
      </c>
      <c r="BK5" s="2">
        <v>0</v>
      </c>
      <c r="BL5">
        <v>0</v>
      </c>
    </row>
    <row r="6" spans="1:64" ht="15.5" x14ac:dyDescent="0.35">
      <c r="A6" t="s">
        <v>68</v>
      </c>
      <c r="B6" s="2">
        <v>538429.12000000011</v>
      </c>
      <c r="C6" s="2">
        <v>508756.44</v>
      </c>
      <c r="D6" s="2">
        <v>508756.44</v>
      </c>
      <c r="E6" s="3">
        <v>508756.44</v>
      </c>
      <c r="F6" s="2">
        <v>508756.44</v>
      </c>
      <c r="G6" s="2">
        <v>508756.44</v>
      </c>
      <c r="H6" s="3">
        <v>508756.44</v>
      </c>
      <c r="I6" s="2">
        <v>506146.12000000011</v>
      </c>
      <c r="J6" s="2">
        <v>498876.03</v>
      </c>
      <c r="K6" s="3">
        <v>498876.03</v>
      </c>
      <c r="L6" s="2">
        <v>498876.03</v>
      </c>
      <c r="M6" s="2">
        <v>498876.03</v>
      </c>
      <c r="N6" s="3">
        <v>498876.03</v>
      </c>
      <c r="O6" s="2">
        <v>498876.03</v>
      </c>
      <c r="P6" s="2">
        <v>498876.03</v>
      </c>
      <c r="Q6" s="3">
        <v>498876.03</v>
      </c>
      <c r="R6" s="2">
        <v>498876.03</v>
      </c>
      <c r="S6" s="2">
        <v>498876.03</v>
      </c>
      <c r="T6" s="3">
        <v>498876.03</v>
      </c>
      <c r="U6" s="2">
        <v>480907.22999999992</v>
      </c>
      <c r="V6" s="2">
        <v>464959.30999999988</v>
      </c>
      <c r="W6" s="3">
        <v>446297.21</v>
      </c>
      <c r="X6" s="2">
        <v>446297.21</v>
      </c>
      <c r="Y6" s="2">
        <v>446297.21</v>
      </c>
      <c r="Z6" s="3">
        <v>427987.89</v>
      </c>
      <c r="AA6" s="2">
        <v>389855.83</v>
      </c>
      <c r="AB6" s="2">
        <v>389855.83</v>
      </c>
      <c r="AC6" s="3">
        <v>389855.83</v>
      </c>
      <c r="AD6" s="2">
        <v>389855.83</v>
      </c>
      <c r="AE6" s="2">
        <v>366777</v>
      </c>
      <c r="AF6" s="3">
        <v>311091.67999999988</v>
      </c>
      <c r="AG6" s="2">
        <v>311091.67999999988</v>
      </c>
      <c r="AH6" s="2">
        <v>257261.3</v>
      </c>
      <c r="AI6" s="3">
        <v>257261.3</v>
      </c>
      <c r="AJ6" s="2">
        <v>234654.33</v>
      </c>
      <c r="AK6" s="2">
        <v>208590.27</v>
      </c>
      <c r="AL6" s="3">
        <v>0</v>
      </c>
      <c r="AM6" s="2">
        <v>0</v>
      </c>
      <c r="AN6" s="2">
        <v>0</v>
      </c>
      <c r="AO6" s="3">
        <v>0</v>
      </c>
      <c r="AP6" s="2">
        <v>0</v>
      </c>
      <c r="AQ6" s="2">
        <v>0</v>
      </c>
      <c r="AR6" s="3">
        <v>0</v>
      </c>
      <c r="AS6" s="2">
        <v>0</v>
      </c>
      <c r="AT6" s="2">
        <v>0</v>
      </c>
      <c r="AU6" s="3">
        <v>0</v>
      </c>
      <c r="AV6" s="2">
        <v>0</v>
      </c>
      <c r="AW6" s="2">
        <v>0</v>
      </c>
      <c r="AX6" s="3">
        <v>0</v>
      </c>
      <c r="AY6" s="2">
        <v>0</v>
      </c>
      <c r="AZ6" s="2">
        <v>0</v>
      </c>
      <c r="BA6" s="3">
        <v>0</v>
      </c>
      <c r="BB6" s="2">
        <v>0</v>
      </c>
      <c r="BC6" s="2">
        <v>0</v>
      </c>
      <c r="BD6" s="3">
        <v>0</v>
      </c>
      <c r="BE6" s="2">
        <v>0</v>
      </c>
      <c r="BF6" s="2">
        <v>0</v>
      </c>
      <c r="BG6" s="3">
        <v>0</v>
      </c>
      <c r="BH6" s="2">
        <v>0</v>
      </c>
      <c r="BI6" s="2">
        <v>0</v>
      </c>
      <c r="BJ6" s="3">
        <v>0</v>
      </c>
      <c r="BK6" s="2">
        <v>0</v>
      </c>
      <c r="BL6">
        <v>0</v>
      </c>
    </row>
    <row r="7" spans="1:64" ht="15.5" x14ac:dyDescent="0.35">
      <c r="A7" t="s">
        <v>69</v>
      </c>
      <c r="B7" s="2">
        <v>336435.15</v>
      </c>
      <c r="C7" s="2">
        <v>319299.90999999992</v>
      </c>
      <c r="D7" s="2">
        <v>319299.90999999992</v>
      </c>
      <c r="E7" s="3">
        <v>319299.90999999992</v>
      </c>
      <c r="F7" s="2">
        <v>319299.90999999992</v>
      </c>
      <c r="G7" s="2">
        <v>319299.90999999992</v>
      </c>
      <c r="H7" s="3">
        <v>319299.90999999992</v>
      </c>
      <c r="I7" s="2">
        <v>318056.0199999999</v>
      </c>
      <c r="J7" s="2">
        <v>312204.93999999989</v>
      </c>
      <c r="K7" s="3">
        <v>312204.93999999989</v>
      </c>
      <c r="L7" s="2">
        <v>312204.93999999989</v>
      </c>
      <c r="M7" s="2">
        <v>312204.93999999989</v>
      </c>
      <c r="N7" s="3">
        <v>312204.93999999989</v>
      </c>
      <c r="O7" s="2">
        <v>312204.93999999989</v>
      </c>
      <c r="P7" s="2">
        <v>312204.93999999989</v>
      </c>
      <c r="Q7" s="3">
        <v>312204.93999999989</v>
      </c>
      <c r="R7" s="2">
        <v>312204.93999999989</v>
      </c>
      <c r="S7" s="2">
        <v>312204.93999999989</v>
      </c>
      <c r="T7" s="3">
        <v>312204.93999999989</v>
      </c>
      <c r="U7" s="2">
        <v>300214.64</v>
      </c>
      <c r="V7" s="2">
        <v>293519.01</v>
      </c>
      <c r="W7" s="3">
        <v>283079.88</v>
      </c>
      <c r="X7" s="2">
        <v>283079.88</v>
      </c>
      <c r="Y7" s="2">
        <v>283079.88</v>
      </c>
      <c r="Z7" s="3">
        <v>270003.56999999989</v>
      </c>
      <c r="AA7" s="2">
        <v>244040.01</v>
      </c>
      <c r="AB7" s="2">
        <v>244040.01</v>
      </c>
      <c r="AC7" s="3">
        <v>244040.01</v>
      </c>
      <c r="AD7" s="2">
        <v>244040.01</v>
      </c>
      <c r="AE7" s="2">
        <v>234669.40999999989</v>
      </c>
      <c r="AF7" s="3">
        <v>194139.27</v>
      </c>
      <c r="AG7" s="2">
        <v>194139.27</v>
      </c>
      <c r="AH7" s="2">
        <v>163498.28999999989</v>
      </c>
      <c r="AI7" s="3">
        <v>163498.28999999989</v>
      </c>
      <c r="AJ7" s="2">
        <v>153901.51</v>
      </c>
      <c r="AK7" s="2">
        <v>138195.71</v>
      </c>
      <c r="AL7" s="3">
        <v>0</v>
      </c>
      <c r="AM7" s="2">
        <v>0</v>
      </c>
      <c r="AN7" s="2">
        <v>0</v>
      </c>
      <c r="AO7" s="3">
        <v>0</v>
      </c>
      <c r="AP7" s="2">
        <v>0</v>
      </c>
      <c r="AQ7" s="2">
        <v>0</v>
      </c>
      <c r="AR7" s="3">
        <v>0</v>
      </c>
      <c r="AS7" s="2">
        <v>0</v>
      </c>
      <c r="AT7" s="2">
        <v>0</v>
      </c>
      <c r="AU7" s="3">
        <v>0</v>
      </c>
      <c r="AV7" s="2">
        <v>0</v>
      </c>
      <c r="AW7" s="2">
        <v>0</v>
      </c>
      <c r="AX7" s="3">
        <v>0</v>
      </c>
      <c r="AY7" s="2">
        <v>0</v>
      </c>
      <c r="AZ7" s="2">
        <v>0</v>
      </c>
      <c r="BA7" s="3">
        <v>0</v>
      </c>
      <c r="BB7" s="2">
        <v>0</v>
      </c>
      <c r="BC7" s="2">
        <v>0</v>
      </c>
      <c r="BD7" s="3">
        <v>0</v>
      </c>
      <c r="BE7" s="2">
        <v>0</v>
      </c>
      <c r="BF7" s="2">
        <v>0</v>
      </c>
      <c r="BG7" s="3">
        <v>0</v>
      </c>
      <c r="BH7" s="2">
        <v>0</v>
      </c>
      <c r="BI7" s="2">
        <v>0</v>
      </c>
      <c r="BJ7" s="3">
        <v>0</v>
      </c>
      <c r="BK7" s="2">
        <v>0</v>
      </c>
      <c r="BL7">
        <v>0</v>
      </c>
    </row>
    <row r="8" spans="1:64" ht="15.5" x14ac:dyDescent="0.35">
      <c r="A8" t="s">
        <v>70</v>
      </c>
      <c r="B8" s="2">
        <v>89535.3</v>
      </c>
      <c r="C8" s="2">
        <v>86290.880000000005</v>
      </c>
      <c r="D8" s="2">
        <v>86290.880000000005</v>
      </c>
      <c r="E8" s="3">
        <v>86290.880000000005</v>
      </c>
      <c r="F8" s="2">
        <v>86290.880000000005</v>
      </c>
      <c r="G8" s="2">
        <v>86290.880000000005</v>
      </c>
      <c r="H8" s="3">
        <v>86290.880000000005</v>
      </c>
      <c r="I8" s="2">
        <v>85864.37000000001</v>
      </c>
      <c r="J8" s="2">
        <v>84197.190000000017</v>
      </c>
      <c r="K8" s="3">
        <v>84197.190000000017</v>
      </c>
      <c r="L8" s="2">
        <v>84197.190000000017</v>
      </c>
      <c r="M8" s="2">
        <v>84197.190000000017</v>
      </c>
      <c r="N8" s="3">
        <v>84197.190000000017</v>
      </c>
      <c r="O8" s="2">
        <v>84197.190000000017</v>
      </c>
      <c r="P8" s="2">
        <v>84197.190000000017</v>
      </c>
      <c r="Q8" s="3">
        <v>84197.190000000017</v>
      </c>
      <c r="R8" s="2">
        <v>84197.190000000017</v>
      </c>
      <c r="S8" s="2">
        <v>84197.190000000017</v>
      </c>
      <c r="T8" s="3">
        <v>84197.190000000017</v>
      </c>
      <c r="U8" s="2">
        <v>80592.60000000002</v>
      </c>
      <c r="V8" s="2">
        <v>78614.610000000015</v>
      </c>
      <c r="W8" s="3">
        <v>75729.240000000005</v>
      </c>
      <c r="X8" s="2">
        <v>75729.240000000005</v>
      </c>
      <c r="Y8" s="2">
        <v>75729.240000000005</v>
      </c>
      <c r="Z8" s="3">
        <v>74152.47</v>
      </c>
      <c r="AA8" s="2">
        <v>70998.930000000008</v>
      </c>
      <c r="AB8" s="2">
        <v>70998.930000000008</v>
      </c>
      <c r="AC8" s="3">
        <v>70998.930000000008</v>
      </c>
      <c r="AD8" s="2">
        <v>70998.930000000008</v>
      </c>
      <c r="AE8" s="2">
        <v>68746.930000000008</v>
      </c>
      <c r="AF8" s="3">
        <v>57185.53</v>
      </c>
      <c r="AG8" s="2">
        <v>57185.53</v>
      </c>
      <c r="AH8" s="2">
        <v>47886.850000000013</v>
      </c>
      <c r="AI8" s="3">
        <v>47886.850000000013</v>
      </c>
      <c r="AJ8" s="2">
        <v>43594.850000000013</v>
      </c>
      <c r="AK8" s="2">
        <v>39127.08</v>
      </c>
      <c r="AL8" s="3">
        <v>0</v>
      </c>
      <c r="AM8" s="2">
        <v>0</v>
      </c>
      <c r="AN8" s="2">
        <v>0</v>
      </c>
      <c r="AO8" s="3">
        <v>0</v>
      </c>
      <c r="AP8" s="2">
        <v>0</v>
      </c>
      <c r="AQ8" s="2">
        <v>0</v>
      </c>
      <c r="AR8" s="3">
        <v>0</v>
      </c>
      <c r="AS8" s="2">
        <v>0</v>
      </c>
      <c r="AT8" s="2">
        <v>0</v>
      </c>
      <c r="AU8" s="3">
        <v>0</v>
      </c>
      <c r="AV8" s="2">
        <v>0</v>
      </c>
      <c r="AW8" s="2">
        <v>0</v>
      </c>
      <c r="AX8" s="3">
        <v>0</v>
      </c>
      <c r="AY8" s="2">
        <v>0</v>
      </c>
      <c r="AZ8" s="2">
        <v>0</v>
      </c>
      <c r="BA8" s="3">
        <v>0</v>
      </c>
      <c r="BB8" s="2">
        <v>0</v>
      </c>
      <c r="BC8" s="2">
        <v>0</v>
      </c>
      <c r="BD8" s="3">
        <v>0</v>
      </c>
      <c r="BE8" s="2">
        <v>0</v>
      </c>
      <c r="BF8" s="2">
        <v>0</v>
      </c>
      <c r="BG8" s="3">
        <v>0</v>
      </c>
      <c r="BH8" s="2">
        <v>0</v>
      </c>
      <c r="BI8" s="2">
        <v>0</v>
      </c>
      <c r="BJ8" s="3">
        <v>0</v>
      </c>
      <c r="BK8" s="2">
        <v>0</v>
      </c>
      <c r="BL8">
        <v>0</v>
      </c>
    </row>
    <row r="9" spans="1:64" ht="15.5" x14ac:dyDescent="0.35">
      <c r="A9" t="s">
        <v>71</v>
      </c>
      <c r="B9" s="2">
        <v>7167449.7399999993</v>
      </c>
      <c r="C9" s="2">
        <v>6183536.0099999998</v>
      </c>
      <c r="D9" s="2">
        <v>6183536.0099999998</v>
      </c>
      <c r="E9" s="3">
        <v>6183536.0099999998</v>
      </c>
      <c r="F9" s="2">
        <v>6183536.0099999998</v>
      </c>
      <c r="G9" s="2">
        <v>6183536.0099999998</v>
      </c>
      <c r="H9" s="3">
        <v>6183536.0099999998</v>
      </c>
      <c r="I9" s="2">
        <v>6103862.0099999998</v>
      </c>
      <c r="J9" s="2">
        <v>5957945.9100000001</v>
      </c>
      <c r="K9" s="3">
        <v>5957945.9100000001</v>
      </c>
      <c r="L9" s="2">
        <v>5957945.9100000001</v>
      </c>
      <c r="M9" s="2">
        <v>5957945.9100000001</v>
      </c>
      <c r="N9" s="3">
        <v>5957945.9100000001</v>
      </c>
      <c r="O9" s="2">
        <v>5957945.9100000001</v>
      </c>
      <c r="P9" s="2">
        <v>5957945.9100000001</v>
      </c>
      <c r="Q9" s="3">
        <v>5957945.9100000001</v>
      </c>
      <c r="R9" s="2">
        <v>5957945.9100000001</v>
      </c>
      <c r="S9" s="2">
        <v>5957945.9100000001</v>
      </c>
      <c r="T9" s="3">
        <v>5957945.9100000001</v>
      </c>
      <c r="U9" s="2">
        <v>5345059.6499999994</v>
      </c>
      <c r="V9" s="2">
        <v>5259965.01</v>
      </c>
      <c r="W9" s="3">
        <v>5259965.01</v>
      </c>
      <c r="X9" s="2">
        <v>5259965.01</v>
      </c>
      <c r="Y9" s="2">
        <v>5259965.01</v>
      </c>
      <c r="Z9" s="3">
        <v>4663159.8100000015</v>
      </c>
      <c r="AA9" s="2">
        <v>3430993.41</v>
      </c>
      <c r="AB9" s="2">
        <v>3430993.41</v>
      </c>
      <c r="AC9" s="3">
        <v>3430993.41</v>
      </c>
      <c r="AD9" s="2">
        <v>3430993.41</v>
      </c>
      <c r="AE9" s="2">
        <v>3430993.41</v>
      </c>
      <c r="AF9" s="3">
        <v>2013933.66</v>
      </c>
      <c r="AG9" s="2">
        <v>2013933.66</v>
      </c>
      <c r="AH9" s="2">
        <v>2013933.66</v>
      </c>
      <c r="AI9" s="3">
        <v>2013933.66</v>
      </c>
      <c r="AJ9" s="2">
        <v>2013933.66</v>
      </c>
      <c r="AK9" s="2">
        <v>1866111.3</v>
      </c>
      <c r="AL9" s="3">
        <v>0</v>
      </c>
      <c r="AM9" s="2">
        <v>0</v>
      </c>
      <c r="AN9" s="2">
        <v>0</v>
      </c>
      <c r="AO9" s="3">
        <v>0</v>
      </c>
      <c r="AP9" s="2">
        <v>0</v>
      </c>
      <c r="AQ9" s="2">
        <v>0</v>
      </c>
      <c r="AR9" s="3">
        <v>0</v>
      </c>
      <c r="AS9" s="2">
        <v>0</v>
      </c>
      <c r="AT9" s="2">
        <v>0</v>
      </c>
      <c r="AU9" s="3">
        <v>0</v>
      </c>
      <c r="AV9" s="2">
        <v>0</v>
      </c>
      <c r="AW9" s="2">
        <v>0</v>
      </c>
      <c r="AX9" s="3">
        <v>0</v>
      </c>
      <c r="AY9" s="2">
        <v>0</v>
      </c>
      <c r="AZ9" s="2">
        <v>0</v>
      </c>
      <c r="BA9" s="3">
        <v>0</v>
      </c>
      <c r="BB9" s="2">
        <v>0</v>
      </c>
      <c r="BC9" s="2">
        <v>0</v>
      </c>
      <c r="BD9" s="3">
        <v>0</v>
      </c>
      <c r="BE9" s="2">
        <v>0</v>
      </c>
      <c r="BF9" s="2">
        <v>0</v>
      </c>
      <c r="BG9" s="3">
        <v>0</v>
      </c>
      <c r="BH9" s="2">
        <v>0</v>
      </c>
      <c r="BI9" s="2">
        <v>0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3833860.06</v>
      </c>
      <c r="C10" s="2">
        <v>3055732.439999999</v>
      </c>
      <c r="D10" s="2">
        <v>3055732.439999999</v>
      </c>
      <c r="E10" s="3">
        <v>3055732.439999999</v>
      </c>
      <c r="F10" s="2">
        <v>3055732.439999999</v>
      </c>
      <c r="G10" s="2">
        <v>3055732.439999999</v>
      </c>
      <c r="H10" s="3">
        <v>3055732.439999999</v>
      </c>
      <c r="I10" s="2">
        <v>3025502.83</v>
      </c>
      <c r="J10" s="2">
        <v>2913747.01</v>
      </c>
      <c r="K10" s="3">
        <v>2913747.01</v>
      </c>
      <c r="L10" s="2">
        <v>2913747.01</v>
      </c>
      <c r="M10" s="2">
        <v>2913747.01</v>
      </c>
      <c r="N10" s="3">
        <v>2913747.01</v>
      </c>
      <c r="O10" s="2">
        <v>2913747.01</v>
      </c>
      <c r="P10" s="2">
        <v>2913747.01</v>
      </c>
      <c r="Q10" s="3">
        <v>2913747.01</v>
      </c>
      <c r="R10" s="2">
        <v>2913747.01</v>
      </c>
      <c r="S10" s="2">
        <v>2913747.01</v>
      </c>
      <c r="T10" s="3">
        <v>2913747.01</v>
      </c>
      <c r="U10" s="2">
        <v>2668292.7999999998</v>
      </c>
      <c r="V10" s="2">
        <v>2595366.85</v>
      </c>
      <c r="W10" s="3">
        <v>2595366.85</v>
      </c>
      <c r="X10" s="2">
        <v>2595366.85</v>
      </c>
      <c r="Y10" s="2">
        <v>2595366.85</v>
      </c>
      <c r="Z10" s="3">
        <v>2355904.7799999998</v>
      </c>
      <c r="AA10" s="2">
        <v>1828071.58</v>
      </c>
      <c r="AB10" s="2">
        <v>1828071.58</v>
      </c>
      <c r="AC10" s="3">
        <v>1828071.58</v>
      </c>
      <c r="AD10" s="2">
        <v>1828071.58</v>
      </c>
      <c r="AE10" s="2">
        <v>1828071.58</v>
      </c>
      <c r="AF10" s="3">
        <v>1068754.44</v>
      </c>
      <c r="AG10" s="2">
        <v>1068754.44</v>
      </c>
      <c r="AH10" s="2">
        <v>1068754.44</v>
      </c>
      <c r="AI10" s="3">
        <v>1068754.44</v>
      </c>
      <c r="AJ10" s="2">
        <v>1068754.44</v>
      </c>
      <c r="AK10" s="2">
        <v>936108.41000000015</v>
      </c>
      <c r="AL10" s="3">
        <v>0</v>
      </c>
      <c r="AM10" s="2">
        <v>0</v>
      </c>
      <c r="AN10" s="2">
        <v>0</v>
      </c>
      <c r="AO10" s="3">
        <v>0</v>
      </c>
      <c r="AP10" s="2">
        <v>0</v>
      </c>
      <c r="AQ10" s="2">
        <v>0</v>
      </c>
      <c r="AR10" s="3">
        <v>0</v>
      </c>
      <c r="AS10" s="2">
        <v>0</v>
      </c>
      <c r="AT10" s="2">
        <v>0</v>
      </c>
      <c r="AU10" s="3">
        <v>0</v>
      </c>
      <c r="AV10" s="2">
        <v>0</v>
      </c>
      <c r="AW10" s="2">
        <v>0</v>
      </c>
      <c r="AX10" s="3">
        <v>0</v>
      </c>
      <c r="AY10" s="2">
        <v>0</v>
      </c>
      <c r="AZ10" s="2">
        <v>0</v>
      </c>
      <c r="BA10" s="3">
        <v>0</v>
      </c>
      <c r="BB10" s="2">
        <v>0</v>
      </c>
      <c r="BC10" s="2">
        <v>0</v>
      </c>
      <c r="BD10" s="3">
        <v>0</v>
      </c>
      <c r="BE10" s="2">
        <v>0</v>
      </c>
      <c r="BF10" s="2">
        <v>0</v>
      </c>
      <c r="BG10" s="3">
        <v>0</v>
      </c>
      <c r="BH10" s="2">
        <v>0</v>
      </c>
      <c r="BI10" s="2">
        <v>0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15664.88</v>
      </c>
      <c r="C11" s="2">
        <v>14343.73</v>
      </c>
      <c r="D11" s="2">
        <v>14343.73</v>
      </c>
      <c r="E11" s="3">
        <v>14343.73</v>
      </c>
      <c r="F11" s="2">
        <v>14343.73</v>
      </c>
      <c r="G11" s="2">
        <v>14343.73</v>
      </c>
      <c r="H11" s="3">
        <v>14343.73</v>
      </c>
      <c r="I11" s="2">
        <v>14156.14</v>
      </c>
      <c r="J11" s="2">
        <v>13780.96</v>
      </c>
      <c r="K11" s="3">
        <v>13780.96</v>
      </c>
      <c r="L11" s="2">
        <v>13780.96</v>
      </c>
      <c r="M11" s="2">
        <v>13780.96</v>
      </c>
      <c r="N11" s="3">
        <v>13780.96</v>
      </c>
      <c r="O11" s="2">
        <v>13780.96</v>
      </c>
      <c r="P11" s="2">
        <v>13780.96</v>
      </c>
      <c r="Q11" s="3">
        <v>13780.96</v>
      </c>
      <c r="R11" s="2">
        <v>13780.96</v>
      </c>
      <c r="S11" s="2">
        <v>13780.96</v>
      </c>
      <c r="T11" s="3">
        <v>13780.96</v>
      </c>
      <c r="U11" s="2">
        <v>13119.91</v>
      </c>
      <c r="V11" s="2">
        <v>9555.07</v>
      </c>
      <c r="W11" s="3">
        <v>9415.07</v>
      </c>
      <c r="X11" s="2">
        <v>9415.07</v>
      </c>
      <c r="Y11" s="2">
        <v>9415.07</v>
      </c>
      <c r="Z11" s="3">
        <v>8756.5299999999988</v>
      </c>
      <c r="AA11" s="2">
        <v>7439.4499999999989</v>
      </c>
      <c r="AB11" s="2">
        <v>7439.4499999999989</v>
      </c>
      <c r="AC11" s="3">
        <v>7439.4499999999989</v>
      </c>
      <c r="AD11" s="2">
        <v>7439.4499999999989</v>
      </c>
      <c r="AE11" s="2">
        <v>7069.4499999999989</v>
      </c>
      <c r="AF11" s="3">
        <v>5086.2999999999993</v>
      </c>
      <c r="AG11" s="2">
        <v>5086.2999999999993</v>
      </c>
      <c r="AH11" s="2">
        <v>5022.2999999999993</v>
      </c>
      <c r="AI11" s="3">
        <v>5022.2999999999993</v>
      </c>
      <c r="AJ11" s="2">
        <v>4652.2999999999993</v>
      </c>
      <c r="AK11" s="2">
        <v>4032.3</v>
      </c>
      <c r="AL11" s="3">
        <v>0</v>
      </c>
      <c r="AM11" s="2">
        <v>0</v>
      </c>
      <c r="AN11" s="2">
        <v>0</v>
      </c>
      <c r="AO11" s="3">
        <v>0</v>
      </c>
      <c r="AP11" s="2">
        <v>0</v>
      </c>
      <c r="AQ11" s="2">
        <v>0</v>
      </c>
      <c r="AR11" s="3">
        <v>0</v>
      </c>
      <c r="AS11" s="2">
        <v>0</v>
      </c>
      <c r="AT11" s="2">
        <v>0</v>
      </c>
      <c r="AU11" s="3">
        <v>0</v>
      </c>
      <c r="AV11" s="2">
        <v>0</v>
      </c>
      <c r="AW11" s="2">
        <v>0</v>
      </c>
      <c r="AX11" s="3">
        <v>0</v>
      </c>
      <c r="AY11" s="2">
        <v>0</v>
      </c>
      <c r="AZ11" s="2">
        <v>0</v>
      </c>
      <c r="BA11" s="3">
        <v>0</v>
      </c>
      <c r="BB11" s="2">
        <v>0</v>
      </c>
      <c r="BC11" s="2">
        <v>0</v>
      </c>
      <c r="BD11" s="3">
        <v>0</v>
      </c>
      <c r="BE11" s="2">
        <v>0</v>
      </c>
      <c r="BF11" s="2">
        <v>0</v>
      </c>
      <c r="BG11" s="3">
        <v>0</v>
      </c>
      <c r="BH11" s="2">
        <v>0</v>
      </c>
      <c r="BI11" s="2">
        <v>0</v>
      </c>
      <c r="BJ11" s="3">
        <v>0</v>
      </c>
      <c r="BK11" s="2">
        <v>0</v>
      </c>
      <c r="BL11">
        <v>0</v>
      </c>
    </row>
    <row r="12" spans="1:64" ht="15.5" x14ac:dyDescent="0.35">
      <c r="A12" t="s">
        <v>74</v>
      </c>
      <c r="B12" s="2">
        <v>48338284.479999997</v>
      </c>
      <c r="C12" s="2">
        <v>45651379.810000002</v>
      </c>
      <c r="D12" s="2">
        <v>45651379.810000002</v>
      </c>
      <c r="E12" s="3">
        <v>45651379.810000002</v>
      </c>
      <c r="F12" s="2">
        <v>45651379.810000002</v>
      </c>
      <c r="G12" s="2">
        <v>45651379.810000002</v>
      </c>
      <c r="H12" s="3">
        <v>45651379.810000002</v>
      </c>
      <c r="I12" s="2">
        <v>45438121.109999999</v>
      </c>
      <c r="J12" s="2">
        <v>44624527.840000004</v>
      </c>
      <c r="K12" s="3">
        <v>44624527.840000004</v>
      </c>
      <c r="L12" s="2">
        <v>44624527.840000004</v>
      </c>
      <c r="M12" s="2">
        <v>44624527.840000004</v>
      </c>
      <c r="N12" s="3">
        <v>44624527.840000004</v>
      </c>
      <c r="O12" s="2">
        <v>44624527.840000004</v>
      </c>
      <c r="P12" s="2">
        <v>44624527.840000004</v>
      </c>
      <c r="Q12" s="3">
        <v>44624527.840000004</v>
      </c>
      <c r="R12" s="2">
        <v>44624527.840000004</v>
      </c>
      <c r="S12" s="2">
        <v>44624527.840000004</v>
      </c>
      <c r="T12" s="3">
        <v>44624527.840000004</v>
      </c>
      <c r="U12" s="2">
        <v>42822229.969999999</v>
      </c>
      <c r="V12" s="2">
        <v>41852246.340000004</v>
      </c>
      <c r="W12" s="3">
        <v>40988396.340000004</v>
      </c>
      <c r="X12" s="2">
        <v>40988396.340000004</v>
      </c>
      <c r="Y12" s="2">
        <v>40988396.340000004</v>
      </c>
      <c r="Z12" s="3">
        <v>39120264.880000003</v>
      </c>
      <c r="AA12" s="2">
        <v>35384001.959999993</v>
      </c>
      <c r="AB12" s="2">
        <v>35384001.959999993</v>
      </c>
      <c r="AC12" s="3">
        <v>35384001.959999993</v>
      </c>
      <c r="AD12" s="2">
        <v>35384001.959999993</v>
      </c>
      <c r="AE12" s="2">
        <v>33768001.959999993</v>
      </c>
      <c r="AF12" s="3">
        <v>28017297.789999999</v>
      </c>
      <c r="AG12" s="2">
        <v>28017297.789999999</v>
      </c>
      <c r="AH12" s="2">
        <v>23378624.050000001</v>
      </c>
      <c r="AI12" s="3">
        <v>23378624.050000001</v>
      </c>
      <c r="AJ12" s="2">
        <v>21742624.050000001</v>
      </c>
      <c r="AK12" s="2">
        <v>19508739.050000001</v>
      </c>
      <c r="AL12" s="3">
        <v>0</v>
      </c>
      <c r="AM12" s="2">
        <v>0</v>
      </c>
      <c r="AN12" s="2">
        <v>0</v>
      </c>
      <c r="AO12" s="3">
        <v>0</v>
      </c>
      <c r="AP12" s="2">
        <v>0</v>
      </c>
      <c r="AQ12" s="2">
        <v>0</v>
      </c>
      <c r="AR12" s="3">
        <v>0</v>
      </c>
      <c r="AS12" s="2">
        <v>0</v>
      </c>
      <c r="AT12" s="2">
        <v>0</v>
      </c>
      <c r="AU12" s="3">
        <v>0</v>
      </c>
      <c r="AV12" s="2">
        <v>0</v>
      </c>
      <c r="AW12" s="2">
        <v>0</v>
      </c>
      <c r="AX12" s="3">
        <v>0</v>
      </c>
      <c r="AY12" s="2">
        <v>0</v>
      </c>
      <c r="AZ12" s="2">
        <v>0</v>
      </c>
      <c r="BA12" s="3">
        <v>0</v>
      </c>
      <c r="BB12" s="2">
        <v>0</v>
      </c>
      <c r="BC12" s="2">
        <v>0</v>
      </c>
      <c r="BD12" s="3">
        <v>0</v>
      </c>
      <c r="BE12" s="2">
        <v>0</v>
      </c>
      <c r="BF12" s="2">
        <v>0</v>
      </c>
      <c r="BG12" s="3">
        <v>0</v>
      </c>
      <c r="BH12" s="2">
        <v>0</v>
      </c>
      <c r="BI12" s="2">
        <v>0</v>
      </c>
      <c r="BJ12" s="3">
        <v>0</v>
      </c>
      <c r="BK12" s="2">
        <v>0</v>
      </c>
      <c r="BL12">
        <v>0</v>
      </c>
    </row>
    <row r="13" spans="1:64" ht="15.5" x14ac:dyDescent="0.35">
      <c r="A13" t="s">
        <v>75</v>
      </c>
      <c r="B13" s="2">
        <v>32968628.719999999</v>
      </c>
      <c r="C13" s="2">
        <v>32432882.219999999</v>
      </c>
      <c r="D13" s="2">
        <v>31924125.780000001</v>
      </c>
      <c r="E13" s="3">
        <v>31415369.34</v>
      </c>
      <c r="F13" s="2">
        <v>30906612.899999999</v>
      </c>
      <c r="G13" s="2">
        <v>30397856.460000001</v>
      </c>
      <c r="H13" s="3">
        <v>29889100.02</v>
      </c>
      <c r="I13" s="2">
        <v>29289769.920000002</v>
      </c>
      <c r="J13" s="2">
        <v>28360158</v>
      </c>
      <c r="K13" s="3">
        <v>27861281.969999999</v>
      </c>
      <c r="L13" s="2">
        <v>27362405.940000001</v>
      </c>
      <c r="M13" s="2">
        <v>26863529.91</v>
      </c>
      <c r="N13" s="3">
        <v>26364653.879999999</v>
      </c>
      <c r="O13" s="2">
        <v>25865777.850000001</v>
      </c>
      <c r="P13" s="2">
        <v>25366901.82</v>
      </c>
      <c r="Q13" s="3">
        <v>24868025.789999999</v>
      </c>
      <c r="R13" s="2">
        <v>24369149.760000002</v>
      </c>
      <c r="S13" s="2">
        <v>23870273.73</v>
      </c>
      <c r="T13" s="3">
        <v>23371397.699999999</v>
      </c>
      <c r="U13" s="2">
        <v>22130383.000000011</v>
      </c>
      <c r="V13" s="2">
        <v>21237713.670000009</v>
      </c>
      <c r="W13" s="3">
        <v>20397576.70000001</v>
      </c>
      <c r="X13" s="2">
        <v>19951279.49000001</v>
      </c>
      <c r="Y13" s="2">
        <v>19504982.280000009</v>
      </c>
      <c r="Z13" s="3">
        <v>18294261.500000011</v>
      </c>
      <c r="AA13" s="2">
        <v>16417934.29000001</v>
      </c>
      <c r="AB13" s="2">
        <v>16028078.46000001</v>
      </c>
      <c r="AC13" s="3">
        <v>15638222.63000001</v>
      </c>
      <c r="AD13" s="2">
        <v>15248366.80000001</v>
      </c>
      <c r="AE13" s="2">
        <v>14497422</v>
      </c>
      <c r="AF13" s="3">
        <v>11698980.460000001</v>
      </c>
      <c r="AG13" s="2">
        <v>11387888.779999999</v>
      </c>
      <c r="AH13" s="2">
        <v>9649143.3400000017</v>
      </c>
      <c r="AI13" s="3">
        <v>9391882.0400000028</v>
      </c>
      <c r="AJ13" s="2">
        <v>8774003.4900000002</v>
      </c>
      <c r="AK13" s="2">
        <v>7530474.9800000004</v>
      </c>
      <c r="AL13" s="3">
        <v>0</v>
      </c>
      <c r="AM13" s="2">
        <v>0</v>
      </c>
      <c r="AN13" s="2">
        <v>0</v>
      </c>
      <c r="AO13" s="3">
        <v>0</v>
      </c>
      <c r="AP13" s="2">
        <v>0</v>
      </c>
      <c r="AQ13" s="2">
        <v>0</v>
      </c>
      <c r="AR13" s="3">
        <v>0</v>
      </c>
      <c r="AS13" s="2">
        <v>0</v>
      </c>
      <c r="AT13" s="2">
        <v>0</v>
      </c>
      <c r="AU13" s="3">
        <v>0</v>
      </c>
      <c r="AV13" s="2">
        <v>0</v>
      </c>
      <c r="AW13" s="2">
        <v>0</v>
      </c>
      <c r="AX13" s="3">
        <v>0</v>
      </c>
      <c r="AY13" s="2">
        <v>0</v>
      </c>
      <c r="AZ13" s="2">
        <v>0</v>
      </c>
      <c r="BA13" s="3">
        <v>0</v>
      </c>
      <c r="BB13" s="2">
        <v>0</v>
      </c>
      <c r="BC13" s="2">
        <v>0</v>
      </c>
      <c r="BD13" s="3">
        <v>0</v>
      </c>
      <c r="BE13" s="2">
        <v>0</v>
      </c>
      <c r="BF13" s="2">
        <v>0</v>
      </c>
      <c r="BG13" s="3">
        <v>0</v>
      </c>
      <c r="BH13" s="2">
        <v>0</v>
      </c>
      <c r="BI13" s="2">
        <v>0</v>
      </c>
      <c r="BJ13" s="3">
        <v>0</v>
      </c>
      <c r="BK13" s="2">
        <v>0</v>
      </c>
      <c r="BL13">
        <v>0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5</v>
      </c>
      <c r="D15" s="2">
        <v>0</v>
      </c>
      <c r="E15" s="3">
        <v>0</v>
      </c>
      <c r="F15" s="2">
        <v>0</v>
      </c>
      <c r="G15" s="2">
        <v>0</v>
      </c>
      <c r="H15" s="3">
        <v>0</v>
      </c>
      <c r="I15" s="2">
        <v>1</v>
      </c>
      <c r="J15" s="2">
        <v>2</v>
      </c>
      <c r="K15" s="3">
        <v>0</v>
      </c>
      <c r="L15" s="2">
        <v>0</v>
      </c>
      <c r="M15" s="2">
        <v>0</v>
      </c>
      <c r="N15" s="3">
        <v>0</v>
      </c>
      <c r="O15" s="2">
        <v>0</v>
      </c>
      <c r="P15" s="2">
        <v>0</v>
      </c>
      <c r="Q15" s="3">
        <v>0</v>
      </c>
      <c r="R15" s="2">
        <v>0</v>
      </c>
      <c r="S15" s="2">
        <v>0</v>
      </c>
      <c r="T15" s="3">
        <v>0</v>
      </c>
      <c r="U15" s="2">
        <v>1</v>
      </c>
      <c r="V15" s="2">
        <v>0</v>
      </c>
      <c r="W15" s="3">
        <v>0</v>
      </c>
      <c r="X15" s="2">
        <v>0</v>
      </c>
      <c r="Y15" s="2">
        <v>0</v>
      </c>
      <c r="Z15" s="3">
        <v>1</v>
      </c>
      <c r="AA15" s="2">
        <v>2</v>
      </c>
      <c r="AB15" s="2">
        <v>0</v>
      </c>
      <c r="AC15" s="3">
        <v>0</v>
      </c>
      <c r="AD15" s="2">
        <v>0</v>
      </c>
      <c r="AE15" s="2">
        <v>0</v>
      </c>
      <c r="AF15" s="3">
        <v>3</v>
      </c>
      <c r="AG15" s="2">
        <v>0</v>
      </c>
      <c r="AH15" s="2">
        <v>0</v>
      </c>
      <c r="AI15" s="3">
        <v>0</v>
      </c>
      <c r="AJ15" s="2">
        <v>0</v>
      </c>
      <c r="AK15" s="2">
        <v>1</v>
      </c>
      <c r="AL15" s="3">
        <v>5</v>
      </c>
      <c r="AM15" s="2">
        <v>0</v>
      </c>
      <c r="AN15" s="2">
        <v>0</v>
      </c>
      <c r="AO15" s="3">
        <v>0</v>
      </c>
      <c r="AP15" s="2">
        <v>0</v>
      </c>
      <c r="AQ15" s="2">
        <v>0</v>
      </c>
      <c r="AR15" s="3">
        <v>0</v>
      </c>
      <c r="AS15" s="2">
        <v>0</v>
      </c>
      <c r="AT15" s="2">
        <v>0</v>
      </c>
      <c r="AU15" s="3">
        <v>0</v>
      </c>
      <c r="AV15" s="2">
        <v>0</v>
      </c>
      <c r="AW15" s="2">
        <v>0</v>
      </c>
      <c r="AX15" s="3">
        <v>0</v>
      </c>
      <c r="AY15" s="2">
        <v>0</v>
      </c>
      <c r="AZ15" s="2">
        <v>0</v>
      </c>
      <c r="BA15" s="3">
        <v>0</v>
      </c>
      <c r="BB15" s="2">
        <v>0</v>
      </c>
      <c r="BC15" s="2">
        <v>0</v>
      </c>
      <c r="BD15" s="3">
        <v>0</v>
      </c>
      <c r="BE15" s="2">
        <v>0</v>
      </c>
      <c r="BF15" s="2">
        <v>0</v>
      </c>
      <c r="BG15" s="3">
        <v>0</v>
      </c>
      <c r="BH15" s="2">
        <v>0</v>
      </c>
      <c r="BI15" s="2">
        <v>0</v>
      </c>
      <c r="BJ15" s="3">
        <v>0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0</v>
      </c>
      <c r="E16" s="3">
        <v>0</v>
      </c>
      <c r="F16" s="2">
        <v>0</v>
      </c>
      <c r="G16" s="2">
        <v>0</v>
      </c>
      <c r="H16" s="3">
        <v>0</v>
      </c>
      <c r="I16" s="2">
        <v>0</v>
      </c>
      <c r="J16" s="2">
        <v>0</v>
      </c>
      <c r="K16" s="3">
        <v>0</v>
      </c>
      <c r="L16" s="2">
        <v>0</v>
      </c>
      <c r="M16" s="2">
        <v>0</v>
      </c>
      <c r="N16" s="3">
        <v>0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1</v>
      </c>
      <c r="X16" s="2">
        <v>0</v>
      </c>
      <c r="Y16" s="2">
        <v>0</v>
      </c>
      <c r="Z16" s="3">
        <v>0</v>
      </c>
      <c r="AA16" s="2">
        <v>0</v>
      </c>
      <c r="AB16" s="2">
        <v>0</v>
      </c>
      <c r="AC16" s="3">
        <v>0</v>
      </c>
      <c r="AD16" s="2">
        <v>0</v>
      </c>
      <c r="AE16" s="2">
        <v>1</v>
      </c>
      <c r="AF16" s="3">
        <v>0</v>
      </c>
      <c r="AG16" s="2">
        <v>0</v>
      </c>
      <c r="AH16" s="2">
        <v>3</v>
      </c>
      <c r="AI16" s="3">
        <v>0</v>
      </c>
      <c r="AJ16" s="2">
        <v>1</v>
      </c>
      <c r="AK16" s="2">
        <v>0</v>
      </c>
      <c r="AL16" s="3">
        <v>7</v>
      </c>
      <c r="AM16" s="2">
        <v>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0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0</v>
      </c>
      <c r="BH16" s="2">
        <v>0</v>
      </c>
      <c r="BI16" s="2">
        <v>0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L16"/>
  <sheetViews>
    <sheetView workbookViewId="0">
      <selection activeCell="AC36" sqref="AC36"/>
    </sheetView>
  </sheetViews>
  <sheetFormatPr defaultRowHeight="14.5" x14ac:dyDescent="0.35"/>
  <cols>
    <col min="1" max="1" width="13" bestFit="1" customWidth="1"/>
    <col min="2" max="4" width="13" hidden="1" bestFit="1" customWidth="1"/>
    <col min="5" max="5" width="13" bestFit="1" customWidth="1"/>
    <col min="6" max="7" width="13" hidden="1" bestFit="1" customWidth="1"/>
    <col min="8" max="8" width="13" bestFit="1" customWidth="1"/>
    <col min="9" max="10" width="13" hidden="1" bestFit="1" customWidth="1"/>
    <col min="11" max="11" width="13" bestFit="1" customWidth="1"/>
    <col min="12" max="13" width="13" hidden="1" bestFit="1" customWidth="1"/>
    <col min="14" max="14" width="13" bestFit="1" customWidth="1"/>
    <col min="15" max="16" width="13" hidden="1" bestFit="1" customWidth="1"/>
    <col min="17" max="17" width="13" bestFit="1" customWidth="1"/>
    <col min="18" max="19" width="13" hidden="1" bestFit="1" customWidth="1"/>
    <col min="20" max="20" width="13" bestFit="1" customWidth="1"/>
    <col min="21" max="22" width="13" hidden="1" bestFit="1" customWidth="1"/>
    <col min="23" max="23" width="13" bestFit="1" customWidth="1"/>
    <col min="24" max="25" width="13" hidden="1" bestFit="1" customWidth="1"/>
    <col min="26" max="26" width="13" bestFit="1" customWidth="1"/>
    <col min="27" max="28" width="13" hidden="1" bestFit="1" customWidth="1"/>
    <col min="29" max="29" width="13" bestFit="1" customWidth="1"/>
    <col min="30" max="31" width="13" hidden="1" bestFit="1" customWidth="1"/>
    <col min="32" max="32" width="13" bestFit="1" customWidth="1"/>
    <col min="33" max="34" width="13" hidden="1" bestFit="1" customWidth="1"/>
    <col min="35" max="35" width="13" bestFit="1" customWidth="1"/>
    <col min="36" max="37" width="13" hidden="1" bestFit="1" customWidth="1"/>
    <col min="38" max="38" width="13" bestFit="1" customWidth="1"/>
    <col min="39" max="40" width="13" hidden="1" bestFit="1" customWidth="1"/>
    <col min="41" max="41" width="13" bestFit="1" customWidth="1"/>
    <col min="42" max="43" width="13" hidden="1" bestFit="1" customWidth="1"/>
    <col min="44" max="44" width="13" bestFit="1" customWidth="1"/>
    <col min="45" max="46" width="13" hidden="1" bestFit="1" customWidth="1"/>
    <col min="47" max="47" width="13" bestFit="1" customWidth="1"/>
    <col min="48" max="49" width="13" hidden="1" bestFit="1" customWidth="1"/>
    <col min="50" max="50" width="13" bestFit="1" customWidth="1"/>
    <col min="51" max="52" width="13" hidden="1" bestFit="1" customWidth="1"/>
    <col min="53" max="53" width="13" bestFit="1" customWidth="1"/>
    <col min="54" max="55" width="13" hidden="1" bestFit="1" customWidth="1"/>
    <col min="56" max="56" width="13" bestFit="1" customWidth="1"/>
    <col min="57" max="58" width="13" hidden="1" bestFit="1" customWidth="1"/>
    <col min="59" max="59" width="13" bestFit="1" customWidth="1"/>
    <col min="60" max="61" width="13" hidden="1" bestFit="1" customWidth="1"/>
    <col min="62" max="62" width="13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2</v>
      </c>
      <c r="C2" s="2">
        <v>2</v>
      </c>
      <c r="D2" s="2">
        <v>2</v>
      </c>
      <c r="E2" s="3">
        <v>2</v>
      </c>
      <c r="F2" s="2">
        <v>2</v>
      </c>
      <c r="G2" s="2">
        <v>1</v>
      </c>
      <c r="H2" s="3">
        <v>1</v>
      </c>
      <c r="I2" s="2">
        <v>1</v>
      </c>
      <c r="J2" s="2">
        <v>1</v>
      </c>
      <c r="K2" s="3">
        <v>1</v>
      </c>
      <c r="L2" s="2">
        <v>1</v>
      </c>
      <c r="M2" s="2">
        <v>1</v>
      </c>
      <c r="N2" s="3">
        <v>1</v>
      </c>
      <c r="O2" s="2">
        <v>1</v>
      </c>
      <c r="P2" s="2">
        <v>1</v>
      </c>
      <c r="Q2" s="3">
        <v>1</v>
      </c>
      <c r="R2" s="2">
        <v>1</v>
      </c>
      <c r="S2" s="2">
        <v>1</v>
      </c>
      <c r="T2" s="3">
        <v>1</v>
      </c>
      <c r="U2" s="2">
        <v>1</v>
      </c>
      <c r="V2" s="2">
        <v>1</v>
      </c>
      <c r="W2" s="3">
        <v>1</v>
      </c>
      <c r="X2" s="2">
        <v>1</v>
      </c>
      <c r="Y2" s="2">
        <v>1</v>
      </c>
      <c r="Z2" s="3">
        <v>1</v>
      </c>
      <c r="AA2" s="2">
        <v>1</v>
      </c>
      <c r="AB2" s="2">
        <v>1</v>
      </c>
      <c r="AC2" s="3">
        <v>1</v>
      </c>
      <c r="AD2" s="2">
        <v>1</v>
      </c>
      <c r="AE2" s="2">
        <v>1</v>
      </c>
      <c r="AF2" s="3">
        <v>1</v>
      </c>
      <c r="AG2" s="2">
        <v>0</v>
      </c>
      <c r="AH2" s="2">
        <v>0</v>
      </c>
      <c r="AI2" s="3">
        <v>0</v>
      </c>
      <c r="AJ2" s="2">
        <v>0</v>
      </c>
      <c r="AK2" s="2">
        <v>0</v>
      </c>
      <c r="AL2" s="3">
        <v>0</v>
      </c>
      <c r="AM2" s="2">
        <v>0</v>
      </c>
      <c r="AN2" s="2">
        <v>0</v>
      </c>
      <c r="AO2" s="3">
        <v>0</v>
      </c>
      <c r="AP2" s="2">
        <v>0</v>
      </c>
      <c r="AQ2" s="2">
        <v>0</v>
      </c>
      <c r="AR2" s="3">
        <v>0</v>
      </c>
      <c r="AS2" s="2">
        <v>0</v>
      </c>
      <c r="AT2" s="2">
        <v>0</v>
      </c>
      <c r="AU2" s="3">
        <v>0</v>
      </c>
      <c r="AV2" s="2">
        <v>0</v>
      </c>
      <c r="AW2" s="2">
        <v>0</v>
      </c>
      <c r="AX2" s="3">
        <v>0</v>
      </c>
      <c r="AY2" s="2">
        <v>0</v>
      </c>
      <c r="AZ2" s="2">
        <v>0</v>
      </c>
      <c r="BA2" s="3">
        <v>0</v>
      </c>
      <c r="BB2" s="2">
        <v>0</v>
      </c>
      <c r="BC2" s="2">
        <v>0</v>
      </c>
      <c r="BD2" s="3">
        <v>0</v>
      </c>
      <c r="BE2" s="2">
        <v>0</v>
      </c>
      <c r="BF2" s="2">
        <v>0</v>
      </c>
      <c r="BG2" s="3">
        <v>0</v>
      </c>
      <c r="BH2" s="2">
        <v>0</v>
      </c>
      <c r="BI2" s="2">
        <v>0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478</v>
      </c>
      <c r="C3" s="2">
        <v>478</v>
      </c>
      <c r="D3" s="2">
        <v>478</v>
      </c>
      <c r="E3" s="3">
        <v>478</v>
      </c>
      <c r="F3" s="2">
        <v>478</v>
      </c>
      <c r="G3" s="2">
        <v>478</v>
      </c>
      <c r="H3" s="3">
        <v>478</v>
      </c>
      <c r="I3" s="2">
        <v>478</v>
      </c>
      <c r="J3" s="2">
        <v>475</v>
      </c>
      <c r="K3" s="3">
        <v>309</v>
      </c>
      <c r="L3" s="2">
        <v>17</v>
      </c>
      <c r="M3" s="2">
        <v>1</v>
      </c>
      <c r="N3" s="3">
        <v>0</v>
      </c>
      <c r="O3" s="2">
        <v>0</v>
      </c>
      <c r="P3" s="2">
        <v>0</v>
      </c>
      <c r="Q3" s="3">
        <v>0</v>
      </c>
      <c r="R3" s="2">
        <v>0</v>
      </c>
      <c r="S3" s="2">
        <v>0</v>
      </c>
      <c r="T3" s="3">
        <v>0</v>
      </c>
      <c r="U3" s="2">
        <v>0</v>
      </c>
      <c r="V3" s="2">
        <v>0</v>
      </c>
      <c r="W3" s="3">
        <v>0</v>
      </c>
      <c r="X3" s="2">
        <v>0</v>
      </c>
      <c r="Y3" s="2">
        <v>0</v>
      </c>
      <c r="Z3" s="3">
        <v>0</v>
      </c>
      <c r="AA3" s="2">
        <v>0</v>
      </c>
      <c r="AB3" s="2">
        <v>0</v>
      </c>
      <c r="AC3" s="3">
        <v>0</v>
      </c>
      <c r="AD3" s="2">
        <v>0</v>
      </c>
      <c r="AE3" s="2">
        <v>0</v>
      </c>
      <c r="AF3" s="3">
        <v>0</v>
      </c>
      <c r="AG3" s="2">
        <v>0</v>
      </c>
      <c r="AH3" s="2">
        <v>0</v>
      </c>
      <c r="AI3" s="3">
        <v>0</v>
      </c>
      <c r="AJ3" s="2">
        <v>0</v>
      </c>
      <c r="AK3" s="2">
        <v>0</v>
      </c>
      <c r="AL3" s="3">
        <v>0</v>
      </c>
      <c r="AM3" s="2">
        <v>0</v>
      </c>
      <c r="AN3" s="2">
        <v>0</v>
      </c>
      <c r="AO3" s="3">
        <v>0</v>
      </c>
      <c r="AP3" s="2">
        <v>0</v>
      </c>
      <c r="AQ3" s="2">
        <v>0</v>
      </c>
      <c r="AR3" s="3">
        <v>0</v>
      </c>
      <c r="AS3" s="2">
        <v>0</v>
      </c>
      <c r="AT3" s="2">
        <v>0</v>
      </c>
      <c r="AU3" s="3">
        <v>0</v>
      </c>
      <c r="AV3" s="2">
        <v>0</v>
      </c>
      <c r="AW3" s="2">
        <v>0</v>
      </c>
      <c r="AX3" s="3">
        <v>0</v>
      </c>
      <c r="AY3" s="2">
        <v>0</v>
      </c>
      <c r="AZ3" s="2">
        <v>0</v>
      </c>
      <c r="BA3" s="3">
        <v>0</v>
      </c>
      <c r="BB3" s="2">
        <v>0</v>
      </c>
      <c r="BC3" s="2">
        <v>0</v>
      </c>
      <c r="BD3" s="3">
        <v>0</v>
      </c>
      <c r="BE3" s="2">
        <v>0</v>
      </c>
      <c r="BF3" s="2">
        <v>0</v>
      </c>
      <c r="BG3" s="3">
        <v>0</v>
      </c>
      <c r="BH3" s="2">
        <v>0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2148560.6600000202</v>
      </c>
      <c r="C5" s="2">
        <v>2148560.6600000202</v>
      </c>
      <c r="D5" s="2">
        <v>2148560.6600000202</v>
      </c>
      <c r="E5" s="3">
        <v>2148560.6600000202</v>
      </c>
      <c r="F5" s="2">
        <v>2148560.6600000202</v>
      </c>
      <c r="G5" s="2">
        <v>2143214.6300000199</v>
      </c>
      <c r="H5" s="3">
        <v>2143214.6300000199</v>
      </c>
      <c r="I5" s="2">
        <v>2143214.6300000199</v>
      </c>
      <c r="J5" s="2">
        <v>2130250.5800000201</v>
      </c>
      <c r="K5" s="3">
        <v>1358450.390000002</v>
      </c>
      <c r="L5" s="2">
        <v>81445.360000000015</v>
      </c>
      <c r="M5" s="2">
        <v>12304.93</v>
      </c>
      <c r="N5" s="3">
        <v>7984.75</v>
      </c>
      <c r="O5" s="2">
        <v>7984.75</v>
      </c>
      <c r="P5" s="2">
        <v>7984.75</v>
      </c>
      <c r="Q5" s="3">
        <v>7984.75</v>
      </c>
      <c r="R5" s="2">
        <v>7984.75</v>
      </c>
      <c r="S5" s="2">
        <v>7984.75</v>
      </c>
      <c r="T5" s="3">
        <v>7984.75</v>
      </c>
      <c r="U5" s="2">
        <v>7984.75</v>
      </c>
      <c r="V5" s="2">
        <v>7984.75</v>
      </c>
      <c r="W5" s="3">
        <v>7984.75</v>
      </c>
      <c r="X5" s="2">
        <v>7984.75</v>
      </c>
      <c r="Y5" s="2">
        <v>7984.75</v>
      </c>
      <c r="Z5" s="3">
        <v>7984.75</v>
      </c>
      <c r="AA5" s="2">
        <v>7984.75</v>
      </c>
      <c r="AB5" s="2">
        <v>7984.75</v>
      </c>
      <c r="AC5" s="3">
        <v>7984.75</v>
      </c>
      <c r="AD5" s="2">
        <v>7984.75</v>
      </c>
      <c r="AE5" s="2">
        <v>7984.75</v>
      </c>
      <c r="AF5" s="3">
        <v>7984.75</v>
      </c>
      <c r="AG5" s="2">
        <v>0</v>
      </c>
      <c r="AH5" s="2">
        <v>0</v>
      </c>
      <c r="AI5" s="3">
        <v>0</v>
      </c>
      <c r="AJ5" s="2">
        <v>0</v>
      </c>
      <c r="AK5" s="2">
        <v>0</v>
      </c>
      <c r="AL5" s="3">
        <v>0</v>
      </c>
      <c r="AM5" s="2">
        <v>0</v>
      </c>
      <c r="AN5" s="2">
        <v>0</v>
      </c>
      <c r="AO5" s="3">
        <v>0</v>
      </c>
      <c r="AP5" s="2">
        <v>0</v>
      </c>
      <c r="AQ5" s="2">
        <v>0</v>
      </c>
      <c r="AR5" s="3">
        <v>0</v>
      </c>
      <c r="AS5" s="2">
        <v>0</v>
      </c>
      <c r="AT5" s="2">
        <v>0</v>
      </c>
      <c r="AU5" s="3">
        <v>0</v>
      </c>
      <c r="AV5" s="2">
        <v>0</v>
      </c>
      <c r="AW5" s="2">
        <v>0</v>
      </c>
      <c r="AX5" s="3">
        <v>0</v>
      </c>
      <c r="AY5" s="2">
        <v>0</v>
      </c>
      <c r="AZ5" s="2">
        <v>0</v>
      </c>
      <c r="BA5" s="3">
        <v>0</v>
      </c>
      <c r="BB5" s="2">
        <v>0</v>
      </c>
      <c r="BC5" s="2">
        <v>0</v>
      </c>
      <c r="BD5" s="3">
        <v>0</v>
      </c>
      <c r="BE5" s="2">
        <v>0</v>
      </c>
      <c r="BF5" s="2">
        <v>0</v>
      </c>
      <c r="BG5" s="3">
        <v>0</v>
      </c>
      <c r="BH5" s="2">
        <v>0</v>
      </c>
      <c r="BI5" s="2">
        <v>0</v>
      </c>
      <c r="BJ5" s="3">
        <v>0</v>
      </c>
      <c r="BK5" s="2">
        <v>0</v>
      </c>
      <c r="BL5">
        <v>0</v>
      </c>
    </row>
    <row r="6" spans="1:64" ht="15.5" x14ac:dyDescent="0.35">
      <c r="A6" t="s">
        <v>68</v>
      </c>
      <c r="B6" s="2">
        <v>1175756.8700000071</v>
      </c>
      <c r="C6" s="2">
        <v>1175756.8700000071</v>
      </c>
      <c r="D6" s="2">
        <v>1175756.8700000071</v>
      </c>
      <c r="E6" s="3">
        <v>1175756.8700000071</v>
      </c>
      <c r="F6" s="2">
        <v>1175756.8700000071</v>
      </c>
      <c r="G6" s="2">
        <v>1173402.000000007</v>
      </c>
      <c r="H6" s="3">
        <v>1173402.000000007</v>
      </c>
      <c r="I6" s="2">
        <v>1173402.000000007</v>
      </c>
      <c r="J6" s="2">
        <v>1166120.1300000071</v>
      </c>
      <c r="K6" s="3">
        <v>753226.95000000158</v>
      </c>
      <c r="L6" s="2">
        <v>44202.150000000009</v>
      </c>
      <c r="M6" s="2">
        <v>5365.51</v>
      </c>
      <c r="N6" s="3">
        <v>2938.22</v>
      </c>
      <c r="O6" s="2">
        <v>2938.22</v>
      </c>
      <c r="P6" s="2">
        <v>2938.22</v>
      </c>
      <c r="Q6" s="3">
        <v>2938.22</v>
      </c>
      <c r="R6" s="2">
        <v>2938.22</v>
      </c>
      <c r="S6" s="2">
        <v>2938.22</v>
      </c>
      <c r="T6" s="3">
        <v>2938.22</v>
      </c>
      <c r="U6" s="2">
        <v>2938.22</v>
      </c>
      <c r="V6" s="2">
        <v>2938.22</v>
      </c>
      <c r="W6" s="3">
        <v>2938.22</v>
      </c>
      <c r="X6" s="2">
        <v>2938.22</v>
      </c>
      <c r="Y6" s="2">
        <v>2938.22</v>
      </c>
      <c r="Z6" s="3">
        <v>2938.22</v>
      </c>
      <c r="AA6" s="2">
        <v>2938.22</v>
      </c>
      <c r="AB6" s="2">
        <v>2938.22</v>
      </c>
      <c r="AC6" s="3">
        <v>2938.22</v>
      </c>
      <c r="AD6" s="2">
        <v>2938.22</v>
      </c>
      <c r="AE6" s="2">
        <v>2938.22</v>
      </c>
      <c r="AF6" s="3">
        <v>2938.22</v>
      </c>
      <c r="AG6" s="2">
        <v>0</v>
      </c>
      <c r="AH6" s="2">
        <v>0</v>
      </c>
      <c r="AI6" s="3">
        <v>0</v>
      </c>
      <c r="AJ6" s="2">
        <v>0</v>
      </c>
      <c r="AK6" s="2">
        <v>0</v>
      </c>
      <c r="AL6" s="3">
        <v>0</v>
      </c>
      <c r="AM6" s="2">
        <v>0</v>
      </c>
      <c r="AN6" s="2">
        <v>0</v>
      </c>
      <c r="AO6" s="3">
        <v>0</v>
      </c>
      <c r="AP6" s="2">
        <v>0</v>
      </c>
      <c r="AQ6" s="2">
        <v>0</v>
      </c>
      <c r="AR6" s="3">
        <v>0</v>
      </c>
      <c r="AS6" s="2">
        <v>0</v>
      </c>
      <c r="AT6" s="2">
        <v>0</v>
      </c>
      <c r="AU6" s="3">
        <v>0</v>
      </c>
      <c r="AV6" s="2">
        <v>0</v>
      </c>
      <c r="AW6" s="2">
        <v>0</v>
      </c>
      <c r="AX6" s="3">
        <v>0</v>
      </c>
      <c r="AY6" s="2">
        <v>0</v>
      </c>
      <c r="AZ6" s="2">
        <v>0</v>
      </c>
      <c r="BA6" s="3">
        <v>0</v>
      </c>
      <c r="BB6" s="2">
        <v>0</v>
      </c>
      <c r="BC6" s="2">
        <v>0</v>
      </c>
      <c r="BD6" s="3">
        <v>0</v>
      </c>
      <c r="BE6" s="2">
        <v>0</v>
      </c>
      <c r="BF6" s="2">
        <v>0</v>
      </c>
      <c r="BG6" s="3">
        <v>0</v>
      </c>
      <c r="BH6" s="2">
        <v>0</v>
      </c>
      <c r="BI6" s="2">
        <v>0</v>
      </c>
      <c r="BJ6" s="3">
        <v>0</v>
      </c>
      <c r="BK6" s="2">
        <v>0</v>
      </c>
      <c r="BL6">
        <v>0</v>
      </c>
    </row>
    <row r="7" spans="1:64" ht="15.5" x14ac:dyDescent="0.35">
      <c r="A7" t="s">
        <v>69</v>
      </c>
      <c r="B7" s="2">
        <v>830171.69000001065</v>
      </c>
      <c r="C7" s="2">
        <v>830171.69000001065</v>
      </c>
      <c r="D7" s="2">
        <v>830171.69000001065</v>
      </c>
      <c r="E7" s="3">
        <v>830171.69000001065</v>
      </c>
      <c r="F7" s="2">
        <v>830171.69000001065</v>
      </c>
      <c r="G7" s="2">
        <v>828875.59000001068</v>
      </c>
      <c r="H7" s="3">
        <v>828875.59000001068</v>
      </c>
      <c r="I7" s="2">
        <v>828875.59000001068</v>
      </c>
      <c r="J7" s="2">
        <v>824063.41000001051</v>
      </c>
      <c r="K7" s="3">
        <v>513292.88999999937</v>
      </c>
      <c r="L7" s="2">
        <v>29989.150000000009</v>
      </c>
      <c r="M7" s="2">
        <v>4324.1900000000014</v>
      </c>
      <c r="N7" s="3">
        <v>2720.13</v>
      </c>
      <c r="O7" s="2">
        <v>2720.13</v>
      </c>
      <c r="P7" s="2">
        <v>2720.13</v>
      </c>
      <c r="Q7" s="3">
        <v>2720.13</v>
      </c>
      <c r="R7" s="2">
        <v>2720.13</v>
      </c>
      <c r="S7" s="2">
        <v>2720.13</v>
      </c>
      <c r="T7" s="3">
        <v>2720.13</v>
      </c>
      <c r="U7" s="2">
        <v>2720.13</v>
      </c>
      <c r="V7" s="2">
        <v>2720.13</v>
      </c>
      <c r="W7" s="3">
        <v>2720.13</v>
      </c>
      <c r="X7" s="2">
        <v>2720.13</v>
      </c>
      <c r="Y7" s="2">
        <v>2720.13</v>
      </c>
      <c r="Z7" s="3">
        <v>2720.13</v>
      </c>
      <c r="AA7" s="2">
        <v>2720.13</v>
      </c>
      <c r="AB7" s="2">
        <v>2720.13</v>
      </c>
      <c r="AC7" s="3">
        <v>2720.13</v>
      </c>
      <c r="AD7" s="2">
        <v>2720.13</v>
      </c>
      <c r="AE7" s="2">
        <v>2720.13</v>
      </c>
      <c r="AF7" s="3">
        <v>2720.13</v>
      </c>
      <c r="AG7" s="2">
        <v>0</v>
      </c>
      <c r="AH7" s="2">
        <v>0</v>
      </c>
      <c r="AI7" s="3">
        <v>0</v>
      </c>
      <c r="AJ7" s="2">
        <v>0</v>
      </c>
      <c r="AK7" s="2">
        <v>0</v>
      </c>
      <c r="AL7" s="3">
        <v>0</v>
      </c>
      <c r="AM7" s="2">
        <v>0</v>
      </c>
      <c r="AN7" s="2">
        <v>0</v>
      </c>
      <c r="AO7" s="3">
        <v>0</v>
      </c>
      <c r="AP7" s="2">
        <v>0</v>
      </c>
      <c r="AQ7" s="2">
        <v>0</v>
      </c>
      <c r="AR7" s="3">
        <v>0</v>
      </c>
      <c r="AS7" s="2">
        <v>0</v>
      </c>
      <c r="AT7" s="2">
        <v>0</v>
      </c>
      <c r="AU7" s="3">
        <v>0</v>
      </c>
      <c r="AV7" s="2">
        <v>0</v>
      </c>
      <c r="AW7" s="2">
        <v>0</v>
      </c>
      <c r="AX7" s="3">
        <v>0</v>
      </c>
      <c r="AY7" s="2">
        <v>0</v>
      </c>
      <c r="AZ7" s="2">
        <v>0</v>
      </c>
      <c r="BA7" s="3">
        <v>0</v>
      </c>
      <c r="BB7" s="2">
        <v>0</v>
      </c>
      <c r="BC7" s="2">
        <v>0</v>
      </c>
      <c r="BD7" s="3">
        <v>0</v>
      </c>
      <c r="BE7" s="2">
        <v>0</v>
      </c>
      <c r="BF7" s="2">
        <v>0</v>
      </c>
      <c r="BG7" s="3">
        <v>0</v>
      </c>
      <c r="BH7" s="2">
        <v>0</v>
      </c>
      <c r="BI7" s="2">
        <v>0</v>
      </c>
      <c r="BJ7" s="3">
        <v>0</v>
      </c>
      <c r="BK7" s="2">
        <v>0</v>
      </c>
      <c r="BL7">
        <v>0</v>
      </c>
    </row>
    <row r="8" spans="1:64" ht="15.5" x14ac:dyDescent="0.35">
      <c r="A8" t="s">
        <v>70</v>
      </c>
      <c r="B8" s="2">
        <v>72377.720000000016</v>
      </c>
      <c r="C8" s="2">
        <v>72377.720000000016</v>
      </c>
      <c r="D8" s="2">
        <v>72377.720000000016</v>
      </c>
      <c r="E8" s="3">
        <v>72377.720000000016</v>
      </c>
      <c r="F8" s="2">
        <v>72377.720000000016</v>
      </c>
      <c r="G8" s="2">
        <v>72367.720000000016</v>
      </c>
      <c r="H8" s="3">
        <v>72367.720000000016</v>
      </c>
      <c r="I8" s="2">
        <v>72367.720000000016</v>
      </c>
      <c r="J8" s="2">
        <v>71917.720000000016</v>
      </c>
      <c r="K8" s="3">
        <v>47021.23000000001</v>
      </c>
      <c r="L8" s="2">
        <v>3224.74</v>
      </c>
      <c r="M8" s="2">
        <v>825.91000000000008</v>
      </c>
      <c r="N8" s="3">
        <v>677.08</v>
      </c>
      <c r="O8" s="2">
        <v>677.08</v>
      </c>
      <c r="P8" s="2">
        <v>677.08</v>
      </c>
      <c r="Q8" s="3">
        <v>677.08</v>
      </c>
      <c r="R8" s="2">
        <v>677.08</v>
      </c>
      <c r="S8" s="2">
        <v>677.08</v>
      </c>
      <c r="T8" s="3">
        <v>677.08</v>
      </c>
      <c r="U8" s="2">
        <v>677.08</v>
      </c>
      <c r="V8" s="2">
        <v>677.08</v>
      </c>
      <c r="W8" s="3">
        <v>677.08</v>
      </c>
      <c r="X8" s="2">
        <v>677.08</v>
      </c>
      <c r="Y8" s="2">
        <v>677.08</v>
      </c>
      <c r="Z8" s="3">
        <v>677.08</v>
      </c>
      <c r="AA8" s="2">
        <v>677.08</v>
      </c>
      <c r="AB8" s="2">
        <v>677.08</v>
      </c>
      <c r="AC8" s="3">
        <v>677.08</v>
      </c>
      <c r="AD8" s="2">
        <v>677.08</v>
      </c>
      <c r="AE8" s="2">
        <v>677.08</v>
      </c>
      <c r="AF8" s="3">
        <v>677.08</v>
      </c>
      <c r="AG8" s="2">
        <v>0</v>
      </c>
      <c r="AH8" s="2">
        <v>0</v>
      </c>
      <c r="AI8" s="3">
        <v>0</v>
      </c>
      <c r="AJ8" s="2">
        <v>0</v>
      </c>
      <c r="AK8" s="2">
        <v>0</v>
      </c>
      <c r="AL8" s="3">
        <v>0</v>
      </c>
      <c r="AM8" s="2">
        <v>0</v>
      </c>
      <c r="AN8" s="2">
        <v>0</v>
      </c>
      <c r="AO8" s="3">
        <v>0</v>
      </c>
      <c r="AP8" s="2">
        <v>0</v>
      </c>
      <c r="AQ8" s="2">
        <v>0</v>
      </c>
      <c r="AR8" s="3">
        <v>0</v>
      </c>
      <c r="AS8" s="2">
        <v>0</v>
      </c>
      <c r="AT8" s="2">
        <v>0</v>
      </c>
      <c r="AU8" s="3">
        <v>0</v>
      </c>
      <c r="AV8" s="2">
        <v>0</v>
      </c>
      <c r="AW8" s="2">
        <v>0</v>
      </c>
      <c r="AX8" s="3">
        <v>0</v>
      </c>
      <c r="AY8" s="2">
        <v>0</v>
      </c>
      <c r="AZ8" s="2">
        <v>0</v>
      </c>
      <c r="BA8" s="3">
        <v>0</v>
      </c>
      <c r="BB8" s="2">
        <v>0</v>
      </c>
      <c r="BC8" s="2">
        <v>0</v>
      </c>
      <c r="BD8" s="3">
        <v>0</v>
      </c>
      <c r="BE8" s="2">
        <v>0</v>
      </c>
      <c r="BF8" s="2">
        <v>0</v>
      </c>
      <c r="BG8" s="3">
        <v>0</v>
      </c>
      <c r="BH8" s="2">
        <v>0</v>
      </c>
      <c r="BI8" s="2">
        <v>0</v>
      </c>
      <c r="BJ8" s="3">
        <v>0</v>
      </c>
      <c r="BK8" s="2">
        <v>0</v>
      </c>
      <c r="BL8">
        <v>0</v>
      </c>
    </row>
    <row r="9" spans="1:64" ht="15.5" x14ac:dyDescent="0.35">
      <c r="A9" t="s">
        <v>71</v>
      </c>
      <c r="B9" s="2">
        <v>44111.8</v>
      </c>
      <c r="C9" s="2">
        <v>44111.8</v>
      </c>
      <c r="D9" s="2">
        <v>44111.8</v>
      </c>
      <c r="E9" s="3">
        <v>44111.8</v>
      </c>
      <c r="F9" s="2">
        <v>44111.8</v>
      </c>
      <c r="G9" s="2">
        <v>7087.8</v>
      </c>
      <c r="H9" s="3">
        <v>7087.8</v>
      </c>
      <c r="I9" s="2">
        <v>7087.8</v>
      </c>
      <c r="J9" s="2">
        <v>7087.8</v>
      </c>
      <c r="K9" s="3">
        <v>7087.8</v>
      </c>
      <c r="L9" s="2">
        <v>7087.8</v>
      </c>
      <c r="M9" s="2">
        <v>7087.8</v>
      </c>
      <c r="N9" s="3">
        <v>7087.8</v>
      </c>
      <c r="O9" s="2">
        <v>7087.8</v>
      </c>
      <c r="P9" s="2">
        <v>7087.8</v>
      </c>
      <c r="Q9" s="3">
        <v>7087.8</v>
      </c>
      <c r="R9" s="2">
        <v>7087.8</v>
      </c>
      <c r="S9" s="2">
        <v>7087.8</v>
      </c>
      <c r="T9" s="3">
        <v>7087.8</v>
      </c>
      <c r="U9" s="2">
        <v>7087.8</v>
      </c>
      <c r="V9" s="2">
        <v>7087.8</v>
      </c>
      <c r="W9" s="3">
        <v>7087.8</v>
      </c>
      <c r="X9" s="2">
        <v>7087.8</v>
      </c>
      <c r="Y9" s="2">
        <v>7087.8</v>
      </c>
      <c r="Z9" s="3">
        <v>7087.8</v>
      </c>
      <c r="AA9" s="2">
        <v>7087.8</v>
      </c>
      <c r="AB9" s="2">
        <v>7087.8</v>
      </c>
      <c r="AC9" s="3">
        <v>7087.8</v>
      </c>
      <c r="AD9" s="2">
        <v>7087.8</v>
      </c>
      <c r="AE9" s="2">
        <v>7087.8</v>
      </c>
      <c r="AF9" s="3">
        <v>7087.8</v>
      </c>
      <c r="AG9" s="2">
        <v>0</v>
      </c>
      <c r="AH9" s="2">
        <v>0</v>
      </c>
      <c r="AI9" s="3">
        <v>0</v>
      </c>
      <c r="AJ9" s="2">
        <v>0</v>
      </c>
      <c r="AK9" s="2">
        <v>0</v>
      </c>
      <c r="AL9" s="3">
        <v>0</v>
      </c>
      <c r="AM9" s="2">
        <v>0</v>
      </c>
      <c r="AN9" s="2">
        <v>0</v>
      </c>
      <c r="AO9" s="3">
        <v>0</v>
      </c>
      <c r="AP9" s="2">
        <v>0</v>
      </c>
      <c r="AQ9" s="2">
        <v>0</v>
      </c>
      <c r="AR9" s="3">
        <v>0</v>
      </c>
      <c r="AS9" s="2">
        <v>0</v>
      </c>
      <c r="AT9" s="2">
        <v>0</v>
      </c>
      <c r="AU9" s="3">
        <v>0</v>
      </c>
      <c r="AV9" s="2">
        <v>0</v>
      </c>
      <c r="AW9" s="2">
        <v>0</v>
      </c>
      <c r="AX9" s="3">
        <v>0</v>
      </c>
      <c r="AY9" s="2">
        <v>0</v>
      </c>
      <c r="AZ9" s="2">
        <v>0</v>
      </c>
      <c r="BA9" s="3">
        <v>0</v>
      </c>
      <c r="BB9" s="2">
        <v>0</v>
      </c>
      <c r="BC9" s="2">
        <v>0</v>
      </c>
      <c r="BD9" s="3">
        <v>0</v>
      </c>
      <c r="BE9" s="2">
        <v>0</v>
      </c>
      <c r="BF9" s="2">
        <v>0</v>
      </c>
      <c r="BG9" s="3">
        <v>0</v>
      </c>
      <c r="BH9" s="2">
        <v>0</v>
      </c>
      <c r="BI9" s="2">
        <v>0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28641.65</v>
      </c>
      <c r="C10" s="2">
        <v>28641.65</v>
      </c>
      <c r="D10" s="2">
        <v>28641.65</v>
      </c>
      <c r="E10" s="3">
        <v>28641.65</v>
      </c>
      <c r="F10" s="2">
        <v>28641.65</v>
      </c>
      <c r="G10" s="2">
        <v>7087.8</v>
      </c>
      <c r="H10" s="3">
        <v>7087.8</v>
      </c>
      <c r="I10" s="2">
        <v>7087.8</v>
      </c>
      <c r="J10" s="2">
        <v>7087.8</v>
      </c>
      <c r="K10" s="3">
        <v>7087.8</v>
      </c>
      <c r="L10" s="2">
        <v>7087.8</v>
      </c>
      <c r="M10" s="2">
        <v>7087.8</v>
      </c>
      <c r="N10" s="3">
        <v>7087.8</v>
      </c>
      <c r="O10" s="2">
        <v>7087.8</v>
      </c>
      <c r="P10" s="2">
        <v>7087.8</v>
      </c>
      <c r="Q10" s="3">
        <v>7087.8</v>
      </c>
      <c r="R10" s="2">
        <v>7087.8</v>
      </c>
      <c r="S10" s="2">
        <v>7087.8</v>
      </c>
      <c r="T10" s="3">
        <v>7087.8</v>
      </c>
      <c r="U10" s="2">
        <v>7087.8</v>
      </c>
      <c r="V10" s="2">
        <v>7087.8</v>
      </c>
      <c r="W10" s="3">
        <v>7087.8</v>
      </c>
      <c r="X10" s="2">
        <v>7087.8</v>
      </c>
      <c r="Y10" s="2">
        <v>7087.8</v>
      </c>
      <c r="Z10" s="3">
        <v>7087.8</v>
      </c>
      <c r="AA10" s="2">
        <v>7087.8</v>
      </c>
      <c r="AB10" s="2">
        <v>7087.8</v>
      </c>
      <c r="AC10" s="3">
        <v>7087.8</v>
      </c>
      <c r="AD10" s="2">
        <v>7087.8</v>
      </c>
      <c r="AE10" s="2">
        <v>7087.8</v>
      </c>
      <c r="AF10" s="3">
        <v>7087.8</v>
      </c>
      <c r="AG10" s="2">
        <v>0</v>
      </c>
      <c r="AH10" s="2">
        <v>0</v>
      </c>
      <c r="AI10" s="3">
        <v>0</v>
      </c>
      <c r="AJ10" s="2">
        <v>0</v>
      </c>
      <c r="AK10" s="2">
        <v>0</v>
      </c>
      <c r="AL10" s="3">
        <v>0</v>
      </c>
      <c r="AM10" s="2">
        <v>0</v>
      </c>
      <c r="AN10" s="2">
        <v>0</v>
      </c>
      <c r="AO10" s="3">
        <v>0</v>
      </c>
      <c r="AP10" s="2">
        <v>0</v>
      </c>
      <c r="AQ10" s="2">
        <v>0</v>
      </c>
      <c r="AR10" s="3">
        <v>0</v>
      </c>
      <c r="AS10" s="2">
        <v>0</v>
      </c>
      <c r="AT10" s="2">
        <v>0</v>
      </c>
      <c r="AU10" s="3">
        <v>0</v>
      </c>
      <c r="AV10" s="2">
        <v>0</v>
      </c>
      <c r="AW10" s="2">
        <v>0</v>
      </c>
      <c r="AX10" s="3">
        <v>0</v>
      </c>
      <c r="AY10" s="2">
        <v>0</v>
      </c>
      <c r="AZ10" s="2">
        <v>0</v>
      </c>
      <c r="BA10" s="3">
        <v>0</v>
      </c>
      <c r="BB10" s="2">
        <v>0</v>
      </c>
      <c r="BC10" s="2">
        <v>0</v>
      </c>
      <c r="BD10" s="3">
        <v>0</v>
      </c>
      <c r="BE10" s="2">
        <v>0</v>
      </c>
      <c r="BF10" s="2">
        <v>0</v>
      </c>
      <c r="BG10" s="3">
        <v>0</v>
      </c>
      <c r="BH10" s="2">
        <v>0</v>
      </c>
      <c r="BI10" s="2">
        <v>0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67916.08</v>
      </c>
      <c r="C11" s="2">
        <v>67916.08</v>
      </c>
      <c r="D11" s="2">
        <v>67916.08</v>
      </c>
      <c r="E11" s="3">
        <v>67916.08</v>
      </c>
      <c r="F11" s="2">
        <v>67916.08</v>
      </c>
      <c r="G11" s="2">
        <v>67388.02</v>
      </c>
      <c r="H11" s="3">
        <v>67388.02</v>
      </c>
      <c r="I11" s="2">
        <v>67388.02</v>
      </c>
      <c r="J11" s="2">
        <v>66968.02</v>
      </c>
      <c r="K11" s="3">
        <v>43728.02</v>
      </c>
      <c r="L11" s="2">
        <v>2848.02</v>
      </c>
      <c r="M11" s="2">
        <v>608.02</v>
      </c>
      <c r="N11" s="3">
        <v>468.02</v>
      </c>
      <c r="O11" s="2">
        <v>468.02</v>
      </c>
      <c r="P11" s="2">
        <v>468.02</v>
      </c>
      <c r="Q11" s="3">
        <v>468.02</v>
      </c>
      <c r="R11" s="2">
        <v>468.02</v>
      </c>
      <c r="S11" s="2">
        <v>468.02</v>
      </c>
      <c r="T11" s="3">
        <v>468.02</v>
      </c>
      <c r="U11" s="2">
        <v>468.02</v>
      </c>
      <c r="V11" s="2">
        <v>468.02</v>
      </c>
      <c r="W11" s="3">
        <v>468.02</v>
      </c>
      <c r="X11" s="2">
        <v>468.02</v>
      </c>
      <c r="Y11" s="2">
        <v>468.02</v>
      </c>
      <c r="Z11" s="3">
        <v>468.02</v>
      </c>
      <c r="AA11" s="2">
        <v>468.02</v>
      </c>
      <c r="AB11" s="2">
        <v>468.02</v>
      </c>
      <c r="AC11" s="3">
        <v>468.02</v>
      </c>
      <c r="AD11" s="2">
        <v>468.02</v>
      </c>
      <c r="AE11" s="2">
        <v>468.02</v>
      </c>
      <c r="AF11" s="3">
        <v>468.02</v>
      </c>
      <c r="AG11" s="2">
        <v>0</v>
      </c>
      <c r="AH11" s="2">
        <v>0</v>
      </c>
      <c r="AI11" s="3">
        <v>0</v>
      </c>
      <c r="AJ11" s="2">
        <v>0</v>
      </c>
      <c r="AK11" s="2">
        <v>0</v>
      </c>
      <c r="AL11" s="3">
        <v>0</v>
      </c>
      <c r="AM11" s="2">
        <v>0</v>
      </c>
      <c r="AN11" s="2">
        <v>0</v>
      </c>
      <c r="AO11" s="3">
        <v>0</v>
      </c>
      <c r="AP11" s="2">
        <v>0</v>
      </c>
      <c r="AQ11" s="2">
        <v>0</v>
      </c>
      <c r="AR11" s="3">
        <v>0</v>
      </c>
      <c r="AS11" s="2">
        <v>0</v>
      </c>
      <c r="AT11" s="2">
        <v>0</v>
      </c>
      <c r="AU11" s="3">
        <v>0</v>
      </c>
      <c r="AV11" s="2">
        <v>0</v>
      </c>
      <c r="AW11" s="2">
        <v>0</v>
      </c>
      <c r="AX11" s="3">
        <v>0</v>
      </c>
      <c r="AY11" s="2">
        <v>0</v>
      </c>
      <c r="AZ11" s="2">
        <v>0</v>
      </c>
      <c r="BA11" s="3">
        <v>0</v>
      </c>
      <c r="BB11" s="2">
        <v>0</v>
      </c>
      <c r="BC11" s="2">
        <v>0</v>
      </c>
      <c r="BD11" s="3">
        <v>0</v>
      </c>
      <c r="BE11" s="2">
        <v>0</v>
      </c>
      <c r="BF11" s="2">
        <v>0</v>
      </c>
      <c r="BG11" s="3">
        <v>0</v>
      </c>
      <c r="BH11" s="2">
        <v>0</v>
      </c>
      <c r="BI11" s="2">
        <v>0</v>
      </c>
      <c r="BJ11" s="3">
        <v>0</v>
      </c>
      <c r="BK11" s="2">
        <v>0</v>
      </c>
      <c r="BL11">
        <v>0</v>
      </c>
    </row>
    <row r="12" spans="1:64" ht="15.5" x14ac:dyDescent="0.35">
      <c r="A12" t="s">
        <v>74</v>
      </c>
      <c r="B12" s="2">
        <v>103619985.68999951</v>
      </c>
      <c r="C12" s="2">
        <v>103619985.68999951</v>
      </c>
      <c r="D12" s="2">
        <v>103619985.68999951</v>
      </c>
      <c r="E12" s="3">
        <v>103619985.68999951</v>
      </c>
      <c r="F12" s="2">
        <v>103619985.68999951</v>
      </c>
      <c r="G12" s="2">
        <v>103377547.85999949</v>
      </c>
      <c r="H12" s="3">
        <v>103377547.85999949</v>
      </c>
      <c r="I12" s="2">
        <v>103377547.85999949</v>
      </c>
      <c r="J12" s="2">
        <v>102774855.71999951</v>
      </c>
      <c r="K12" s="3">
        <v>64163722.700000353</v>
      </c>
      <c r="L12" s="2">
        <v>3753799.4699999988</v>
      </c>
      <c r="M12" s="2">
        <v>539441.39</v>
      </c>
      <c r="N12" s="3">
        <v>338544.01</v>
      </c>
      <c r="O12" s="2">
        <v>338544.01</v>
      </c>
      <c r="P12" s="2">
        <v>338544.01</v>
      </c>
      <c r="Q12" s="3">
        <v>338544.01</v>
      </c>
      <c r="R12" s="2">
        <v>338544.01</v>
      </c>
      <c r="S12" s="2">
        <v>338544.01</v>
      </c>
      <c r="T12" s="3">
        <v>338544.01</v>
      </c>
      <c r="U12" s="2">
        <v>338544.01</v>
      </c>
      <c r="V12" s="2">
        <v>338544.01</v>
      </c>
      <c r="W12" s="3">
        <v>338544.01</v>
      </c>
      <c r="X12" s="2">
        <v>338544.01</v>
      </c>
      <c r="Y12" s="2">
        <v>338544.01</v>
      </c>
      <c r="Z12" s="3">
        <v>338544.01</v>
      </c>
      <c r="AA12" s="2">
        <v>338544.01</v>
      </c>
      <c r="AB12" s="2">
        <v>338544.01</v>
      </c>
      <c r="AC12" s="3">
        <v>338544.01</v>
      </c>
      <c r="AD12" s="2">
        <v>338544.01</v>
      </c>
      <c r="AE12" s="2">
        <v>338544.01</v>
      </c>
      <c r="AF12" s="3">
        <v>338544.01</v>
      </c>
      <c r="AG12" s="2">
        <v>0</v>
      </c>
      <c r="AH12" s="2">
        <v>0</v>
      </c>
      <c r="AI12" s="3">
        <v>0</v>
      </c>
      <c r="AJ12" s="2">
        <v>0</v>
      </c>
      <c r="AK12" s="2">
        <v>0</v>
      </c>
      <c r="AL12" s="3">
        <v>0</v>
      </c>
      <c r="AM12" s="2">
        <v>0</v>
      </c>
      <c r="AN12" s="2">
        <v>0</v>
      </c>
      <c r="AO12" s="3">
        <v>0</v>
      </c>
      <c r="AP12" s="2">
        <v>0</v>
      </c>
      <c r="AQ12" s="2">
        <v>0</v>
      </c>
      <c r="AR12" s="3">
        <v>0</v>
      </c>
      <c r="AS12" s="2">
        <v>0</v>
      </c>
      <c r="AT12" s="2">
        <v>0</v>
      </c>
      <c r="AU12" s="3">
        <v>0</v>
      </c>
      <c r="AV12" s="2">
        <v>0</v>
      </c>
      <c r="AW12" s="2">
        <v>0</v>
      </c>
      <c r="AX12" s="3">
        <v>0</v>
      </c>
      <c r="AY12" s="2">
        <v>0</v>
      </c>
      <c r="AZ12" s="2">
        <v>0</v>
      </c>
      <c r="BA12" s="3">
        <v>0</v>
      </c>
      <c r="BB12" s="2">
        <v>0</v>
      </c>
      <c r="BC12" s="2">
        <v>0</v>
      </c>
      <c r="BD12" s="3">
        <v>0</v>
      </c>
      <c r="BE12" s="2">
        <v>0</v>
      </c>
      <c r="BF12" s="2">
        <v>0</v>
      </c>
      <c r="BG12" s="3">
        <v>0</v>
      </c>
      <c r="BH12" s="2">
        <v>0</v>
      </c>
      <c r="BI12" s="2">
        <v>0</v>
      </c>
      <c r="BJ12" s="3">
        <v>0</v>
      </c>
      <c r="BK12" s="2">
        <v>0</v>
      </c>
      <c r="BL12">
        <v>0</v>
      </c>
    </row>
    <row r="13" spans="1:64" ht="15.5" x14ac:dyDescent="0.35">
      <c r="A13" t="s">
        <v>75</v>
      </c>
      <c r="B13" s="2">
        <v>100153236.14</v>
      </c>
      <c r="C13" s="2">
        <v>100153236.14</v>
      </c>
      <c r="D13" s="2">
        <v>98977479.269999996</v>
      </c>
      <c r="E13" s="3">
        <v>97801722.399999991</v>
      </c>
      <c r="F13" s="2">
        <v>96625965.529999986</v>
      </c>
      <c r="G13" s="2">
        <v>95290191.279999971</v>
      </c>
      <c r="H13" s="3">
        <v>94116789.279999971</v>
      </c>
      <c r="I13" s="2">
        <v>92943387.279999956</v>
      </c>
      <c r="J13" s="2">
        <v>91254675.579999954</v>
      </c>
      <c r="K13" s="3">
        <v>56192752.089999743</v>
      </c>
      <c r="L13" s="2">
        <v>3261188.4499999988</v>
      </c>
      <c r="M13" s="2">
        <v>468667.9</v>
      </c>
      <c r="N13" s="3">
        <v>291532.49</v>
      </c>
      <c r="O13" s="2">
        <v>288594.27</v>
      </c>
      <c r="P13" s="2">
        <v>285656.05</v>
      </c>
      <c r="Q13" s="3">
        <v>282717.83</v>
      </c>
      <c r="R13" s="2">
        <v>279779.61</v>
      </c>
      <c r="S13" s="2">
        <v>276841.39</v>
      </c>
      <c r="T13" s="3">
        <v>273903.17</v>
      </c>
      <c r="U13" s="2">
        <v>270964.95</v>
      </c>
      <c r="V13" s="2">
        <v>268026.73</v>
      </c>
      <c r="W13" s="3">
        <v>265088.51</v>
      </c>
      <c r="X13" s="2">
        <v>262150.28999999998</v>
      </c>
      <c r="Y13" s="2">
        <v>259212.07</v>
      </c>
      <c r="Z13" s="3">
        <v>256273.85</v>
      </c>
      <c r="AA13" s="2">
        <v>253335.63</v>
      </c>
      <c r="AB13" s="2">
        <v>250397.41</v>
      </c>
      <c r="AC13" s="3">
        <v>247459.19</v>
      </c>
      <c r="AD13" s="2">
        <v>244520.97</v>
      </c>
      <c r="AE13" s="2">
        <v>241582.75</v>
      </c>
      <c r="AF13" s="3">
        <v>238644.53</v>
      </c>
      <c r="AG13" s="2">
        <v>0</v>
      </c>
      <c r="AH13" s="2">
        <v>0</v>
      </c>
      <c r="AI13" s="3">
        <v>0</v>
      </c>
      <c r="AJ13" s="2">
        <v>0</v>
      </c>
      <c r="AK13" s="2">
        <v>0</v>
      </c>
      <c r="AL13" s="3">
        <v>0</v>
      </c>
      <c r="AM13" s="2">
        <v>0</v>
      </c>
      <c r="AN13" s="2">
        <v>0</v>
      </c>
      <c r="AO13" s="3">
        <v>0</v>
      </c>
      <c r="AP13" s="2">
        <v>0</v>
      </c>
      <c r="AQ13" s="2">
        <v>0</v>
      </c>
      <c r="AR13" s="3">
        <v>0</v>
      </c>
      <c r="AS13" s="2">
        <v>0</v>
      </c>
      <c r="AT13" s="2">
        <v>0</v>
      </c>
      <c r="AU13" s="3">
        <v>0</v>
      </c>
      <c r="AV13" s="2">
        <v>0</v>
      </c>
      <c r="AW13" s="2">
        <v>0</v>
      </c>
      <c r="AX13" s="3">
        <v>0</v>
      </c>
      <c r="AY13" s="2">
        <v>0</v>
      </c>
      <c r="AZ13" s="2">
        <v>0</v>
      </c>
      <c r="BA13" s="3">
        <v>0</v>
      </c>
      <c r="BB13" s="2">
        <v>0</v>
      </c>
      <c r="BC13" s="2">
        <v>0</v>
      </c>
      <c r="BD13" s="3">
        <v>0</v>
      </c>
      <c r="BE13" s="2">
        <v>0</v>
      </c>
      <c r="BF13" s="2">
        <v>0</v>
      </c>
      <c r="BG13" s="3">
        <v>0</v>
      </c>
      <c r="BH13" s="2">
        <v>0</v>
      </c>
      <c r="BI13" s="2">
        <v>0</v>
      </c>
      <c r="BJ13" s="3">
        <v>0</v>
      </c>
      <c r="BK13" s="2">
        <v>0</v>
      </c>
      <c r="BL13">
        <v>0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0</v>
      </c>
      <c r="D15" s="2">
        <v>0</v>
      </c>
      <c r="E15" s="3">
        <v>0</v>
      </c>
      <c r="F15" s="2">
        <v>0</v>
      </c>
      <c r="G15" s="2">
        <v>1</v>
      </c>
      <c r="H15" s="3">
        <v>0</v>
      </c>
      <c r="I15" s="2">
        <v>0</v>
      </c>
      <c r="J15" s="2">
        <v>0</v>
      </c>
      <c r="K15" s="3">
        <v>0</v>
      </c>
      <c r="L15" s="2">
        <v>0</v>
      </c>
      <c r="M15" s="2">
        <v>0</v>
      </c>
      <c r="N15" s="3">
        <v>0</v>
      </c>
      <c r="O15" s="2">
        <v>0</v>
      </c>
      <c r="P15" s="2">
        <v>0</v>
      </c>
      <c r="Q15" s="3">
        <v>0</v>
      </c>
      <c r="R15" s="2">
        <v>0</v>
      </c>
      <c r="S15" s="2">
        <v>0</v>
      </c>
      <c r="T15" s="3">
        <v>0</v>
      </c>
      <c r="U15" s="2">
        <v>0</v>
      </c>
      <c r="V15" s="2">
        <v>0</v>
      </c>
      <c r="W15" s="3">
        <v>0</v>
      </c>
      <c r="X15" s="2">
        <v>0</v>
      </c>
      <c r="Y15" s="2">
        <v>0</v>
      </c>
      <c r="Z15" s="3">
        <v>0</v>
      </c>
      <c r="AA15" s="2">
        <v>0</v>
      </c>
      <c r="AB15" s="2">
        <v>0</v>
      </c>
      <c r="AC15" s="3">
        <v>0</v>
      </c>
      <c r="AD15" s="2">
        <v>0</v>
      </c>
      <c r="AE15" s="2">
        <v>0</v>
      </c>
      <c r="AF15" s="3">
        <v>0</v>
      </c>
      <c r="AG15" s="2">
        <v>1</v>
      </c>
      <c r="AH15" s="2">
        <v>0</v>
      </c>
      <c r="AI15" s="3">
        <v>0</v>
      </c>
      <c r="AJ15" s="2">
        <v>0</v>
      </c>
      <c r="AK15" s="2">
        <v>0</v>
      </c>
      <c r="AL15" s="3">
        <v>0</v>
      </c>
      <c r="AM15" s="2">
        <v>0</v>
      </c>
      <c r="AN15" s="2">
        <v>0</v>
      </c>
      <c r="AO15" s="3">
        <v>0</v>
      </c>
      <c r="AP15" s="2">
        <v>0</v>
      </c>
      <c r="AQ15" s="2">
        <v>0</v>
      </c>
      <c r="AR15" s="3">
        <v>0</v>
      </c>
      <c r="AS15" s="2">
        <v>0</v>
      </c>
      <c r="AT15" s="2">
        <v>0</v>
      </c>
      <c r="AU15" s="3">
        <v>0</v>
      </c>
      <c r="AV15" s="2">
        <v>0</v>
      </c>
      <c r="AW15" s="2">
        <v>0</v>
      </c>
      <c r="AX15" s="3">
        <v>0</v>
      </c>
      <c r="AY15" s="2">
        <v>0</v>
      </c>
      <c r="AZ15" s="2">
        <v>0</v>
      </c>
      <c r="BA15" s="3">
        <v>0</v>
      </c>
      <c r="BB15" s="2">
        <v>0</v>
      </c>
      <c r="BC15" s="2">
        <v>0</v>
      </c>
      <c r="BD15" s="3">
        <v>0</v>
      </c>
      <c r="BE15" s="2">
        <v>0</v>
      </c>
      <c r="BF15" s="2">
        <v>0</v>
      </c>
      <c r="BG15" s="3">
        <v>0</v>
      </c>
      <c r="BH15" s="2">
        <v>0</v>
      </c>
      <c r="BI15" s="2">
        <v>0</v>
      </c>
      <c r="BJ15" s="3">
        <v>0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0</v>
      </c>
      <c r="E16" s="3">
        <v>0</v>
      </c>
      <c r="F16" s="2">
        <v>0</v>
      </c>
      <c r="G16" s="2">
        <v>0</v>
      </c>
      <c r="H16" s="3">
        <v>0</v>
      </c>
      <c r="I16" s="2">
        <v>0</v>
      </c>
      <c r="J16" s="2">
        <v>3</v>
      </c>
      <c r="K16" s="3">
        <v>166</v>
      </c>
      <c r="L16" s="2">
        <v>292</v>
      </c>
      <c r="M16" s="2">
        <v>16</v>
      </c>
      <c r="N16" s="3">
        <v>1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0</v>
      </c>
      <c r="X16" s="2">
        <v>0</v>
      </c>
      <c r="Y16" s="2">
        <v>0</v>
      </c>
      <c r="Z16" s="3">
        <v>0</v>
      </c>
      <c r="AA16" s="2">
        <v>0</v>
      </c>
      <c r="AB16" s="2">
        <v>0</v>
      </c>
      <c r="AC16" s="3">
        <v>0</v>
      </c>
      <c r="AD16" s="2">
        <v>0</v>
      </c>
      <c r="AE16" s="2">
        <v>0</v>
      </c>
      <c r="AF16" s="3">
        <v>0</v>
      </c>
      <c r="AG16" s="2">
        <v>0</v>
      </c>
      <c r="AH16" s="2">
        <v>0</v>
      </c>
      <c r="AI16" s="3">
        <v>0</v>
      </c>
      <c r="AJ16" s="2">
        <v>0</v>
      </c>
      <c r="AK16" s="2">
        <v>0</v>
      </c>
      <c r="AL16" s="3">
        <v>0</v>
      </c>
      <c r="AM16" s="2">
        <v>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0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0</v>
      </c>
      <c r="BH16" s="2">
        <v>0</v>
      </c>
      <c r="BI16" s="2">
        <v>0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L16"/>
  <sheetViews>
    <sheetView workbookViewId="0"/>
  </sheetViews>
  <sheetFormatPr defaultRowHeight="14.5" x14ac:dyDescent="0.35"/>
  <cols>
    <col min="1" max="1" width="13" bestFit="1" customWidth="1"/>
    <col min="2" max="4" width="13" hidden="1" bestFit="1" customWidth="1"/>
    <col min="5" max="5" width="13" bestFit="1" customWidth="1"/>
    <col min="6" max="7" width="13" hidden="1" bestFit="1" customWidth="1"/>
    <col min="8" max="8" width="13" bestFit="1" customWidth="1"/>
    <col min="9" max="10" width="13" hidden="1" bestFit="1" customWidth="1"/>
    <col min="11" max="11" width="13" bestFit="1" customWidth="1"/>
    <col min="12" max="13" width="13" hidden="1" bestFit="1" customWidth="1"/>
    <col min="14" max="14" width="13" bestFit="1" customWidth="1"/>
    <col min="15" max="16" width="13" hidden="1" bestFit="1" customWidth="1"/>
    <col min="17" max="17" width="13" bestFit="1" customWidth="1"/>
    <col min="18" max="19" width="13" hidden="1" bestFit="1" customWidth="1"/>
    <col min="20" max="20" width="13" bestFit="1" customWidth="1"/>
    <col min="21" max="22" width="13" hidden="1" bestFit="1" customWidth="1"/>
    <col min="23" max="23" width="13" bestFit="1" customWidth="1"/>
    <col min="24" max="25" width="13" hidden="1" bestFit="1" customWidth="1"/>
    <col min="26" max="26" width="13" bestFit="1" customWidth="1"/>
    <col min="27" max="28" width="13" hidden="1" bestFit="1" customWidth="1"/>
    <col min="29" max="29" width="13" bestFit="1" customWidth="1"/>
    <col min="30" max="31" width="13" hidden="1" bestFit="1" customWidth="1"/>
    <col min="32" max="32" width="13" bestFit="1" customWidth="1"/>
    <col min="33" max="34" width="13" hidden="1" bestFit="1" customWidth="1"/>
    <col min="35" max="35" width="13" bestFit="1" customWidth="1"/>
    <col min="36" max="37" width="13" hidden="1" bestFit="1" customWidth="1"/>
    <col min="38" max="38" width="13" bestFit="1" customWidth="1"/>
    <col min="39" max="40" width="13" hidden="1" bestFit="1" customWidth="1"/>
    <col min="41" max="41" width="13" bestFit="1" customWidth="1"/>
    <col min="42" max="43" width="13" hidden="1" bestFit="1" customWidth="1"/>
    <col min="44" max="44" width="13" bestFit="1" customWidth="1"/>
    <col min="45" max="46" width="13" hidden="1" bestFit="1" customWidth="1"/>
    <col min="47" max="47" width="13" bestFit="1" customWidth="1"/>
    <col min="48" max="49" width="13" hidden="1" bestFit="1" customWidth="1"/>
    <col min="50" max="50" width="13" bestFit="1" customWidth="1"/>
    <col min="51" max="52" width="13" hidden="1" bestFit="1" customWidth="1"/>
    <col min="53" max="53" width="13" bestFit="1" customWidth="1"/>
    <col min="54" max="55" width="13" hidden="1" bestFit="1" customWidth="1"/>
    <col min="56" max="56" width="13" bestFit="1" customWidth="1"/>
    <col min="57" max="58" width="13" hidden="1" bestFit="1" customWidth="1"/>
    <col min="59" max="59" width="13" bestFit="1" customWidth="1"/>
    <col min="60" max="61" width="13" hidden="1" bestFit="1" customWidth="1"/>
    <col min="62" max="62" width="13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0</v>
      </c>
      <c r="C2" s="2">
        <v>0</v>
      </c>
      <c r="D2" s="2">
        <v>0</v>
      </c>
      <c r="E2" s="3">
        <v>0</v>
      </c>
      <c r="F2" s="2">
        <v>0</v>
      </c>
      <c r="G2" s="2">
        <v>0</v>
      </c>
      <c r="H2" s="3">
        <v>0</v>
      </c>
      <c r="I2" s="2">
        <v>0</v>
      </c>
      <c r="J2" s="2">
        <v>0</v>
      </c>
      <c r="K2" s="3">
        <v>0</v>
      </c>
      <c r="L2" s="2">
        <v>0</v>
      </c>
      <c r="M2" s="2">
        <v>0</v>
      </c>
      <c r="N2" s="3">
        <v>0</v>
      </c>
      <c r="O2" s="2">
        <v>0</v>
      </c>
      <c r="P2" s="2">
        <v>0</v>
      </c>
      <c r="Q2" s="3">
        <v>0</v>
      </c>
      <c r="R2" s="2">
        <v>0</v>
      </c>
      <c r="S2" s="2">
        <v>0</v>
      </c>
      <c r="T2" s="3">
        <v>0</v>
      </c>
      <c r="U2" s="2">
        <v>0</v>
      </c>
      <c r="V2" s="2">
        <v>0</v>
      </c>
      <c r="W2" s="3">
        <v>0</v>
      </c>
      <c r="X2" s="2">
        <v>0</v>
      </c>
      <c r="Y2" s="2">
        <v>0</v>
      </c>
      <c r="Z2" s="3">
        <v>0</v>
      </c>
      <c r="AA2" s="2">
        <v>0</v>
      </c>
      <c r="AB2" s="2">
        <v>0</v>
      </c>
      <c r="AC2" s="3">
        <v>0</v>
      </c>
      <c r="AD2" s="2">
        <v>0</v>
      </c>
      <c r="AE2" s="2">
        <v>0</v>
      </c>
      <c r="AF2" s="3">
        <v>0</v>
      </c>
      <c r="AG2" s="2">
        <v>0</v>
      </c>
      <c r="AH2" s="2">
        <v>0</v>
      </c>
      <c r="AI2" s="3">
        <v>0</v>
      </c>
      <c r="AJ2" s="2">
        <v>0</v>
      </c>
      <c r="AK2" s="2">
        <v>0</v>
      </c>
      <c r="AL2" s="3">
        <v>0</v>
      </c>
      <c r="AM2" s="2">
        <v>0</v>
      </c>
      <c r="AN2" s="2">
        <v>0</v>
      </c>
      <c r="AO2" s="3">
        <v>0</v>
      </c>
      <c r="AP2" s="2">
        <v>0</v>
      </c>
      <c r="AQ2" s="2">
        <v>0</v>
      </c>
      <c r="AR2" s="3">
        <v>0</v>
      </c>
      <c r="AS2" s="2">
        <v>0</v>
      </c>
      <c r="AT2" s="2">
        <v>0</v>
      </c>
      <c r="AU2" s="3">
        <v>0</v>
      </c>
      <c r="AV2" s="2">
        <v>0</v>
      </c>
      <c r="AW2" s="2">
        <v>0</v>
      </c>
      <c r="AX2" s="3">
        <v>0</v>
      </c>
      <c r="AY2" s="2">
        <v>0</v>
      </c>
      <c r="AZ2" s="2">
        <v>0</v>
      </c>
      <c r="BA2" s="3">
        <v>0</v>
      </c>
      <c r="BB2" s="2">
        <v>0</v>
      </c>
      <c r="BC2" s="2">
        <v>0</v>
      </c>
      <c r="BD2" s="3">
        <v>0</v>
      </c>
      <c r="BE2" s="2">
        <v>0</v>
      </c>
      <c r="BF2" s="2">
        <v>0</v>
      </c>
      <c r="BG2" s="3">
        <v>0</v>
      </c>
      <c r="BH2" s="2">
        <v>0</v>
      </c>
      <c r="BI2" s="2">
        <v>0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0</v>
      </c>
      <c r="C3" s="2">
        <v>0</v>
      </c>
      <c r="D3" s="2">
        <v>0</v>
      </c>
      <c r="E3" s="3">
        <v>0</v>
      </c>
      <c r="F3" s="2">
        <v>0</v>
      </c>
      <c r="G3" s="2">
        <v>0</v>
      </c>
      <c r="H3" s="3">
        <v>0</v>
      </c>
      <c r="I3" s="2">
        <v>0</v>
      </c>
      <c r="J3" s="2">
        <v>0</v>
      </c>
      <c r="K3" s="3">
        <v>0</v>
      </c>
      <c r="L3" s="2">
        <v>0</v>
      </c>
      <c r="M3" s="2">
        <v>0</v>
      </c>
      <c r="N3" s="3">
        <v>0</v>
      </c>
      <c r="O3" s="2">
        <v>0</v>
      </c>
      <c r="P3" s="2">
        <v>0</v>
      </c>
      <c r="Q3" s="3">
        <v>0</v>
      </c>
      <c r="R3" s="2">
        <v>0</v>
      </c>
      <c r="S3" s="2">
        <v>0</v>
      </c>
      <c r="T3" s="3">
        <v>0</v>
      </c>
      <c r="U3" s="2">
        <v>0</v>
      </c>
      <c r="V3" s="2">
        <v>0</v>
      </c>
      <c r="W3" s="3">
        <v>0</v>
      </c>
      <c r="X3" s="2">
        <v>0</v>
      </c>
      <c r="Y3" s="2">
        <v>0</v>
      </c>
      <c r="Z3" s="3">
        <v>0</v>
      </c>
      <c r="AA3" s="2">
        <v>0</v>
      </c>
      <c r="AB3" s="2">
        <v>0</v>
      </c>
      <c r="AC3" s="3">
        <v>0</v>
      </c>
      <c r="AD3" s="2">
        <v>0</v>
      </c>
      <c r="AE3" s="2">
        <v>0</v>
      </c>
      <c r="AF3" s="3">
        <v>0</v>
      </c>
      <c r="AG3" s="2">
        <v>0</v>
      </c>
      <c r="AH3" s="2">
        <v>0</v>
      </c>
      <c r="AI3" s="3">
        <v>0</v>
      </c>
      <c r="AJ3" s="2">
        <v>0</v>
      </c>
      <c r="AK3" s="2">
        <v>0</v>
      </c>
      <c r="AL3" s="3">
        <v>0</v>
      </c>
      <c r="AM3" s="2">
        <v>0</v>
      </c>
      <c r="AN3" s="2">
        <v>0</v>
      </c>
      <c r="AO3" s="3">
        <v>0</v>
      </c>
      <c r="AP3" s="2">
        <v>0</v>
      </c>
      <c r="AQ3" s="2">
        <v>0</v>
      </c>
      <c r="AR3" s="3">
        <v>0</v>
      </c>
      <c r="AS3" s="2">
        <v>0</v>
      </c>
      <c r="AT3" s="2">
        <v>0</v>
      </c>
      <c r="AU3" s="3">
        <v>0</v>
      </c>
      <c r="AV3" s="2">
        <v>0</v>
      </c>
      <c r="AW3" s="2">
        <v>0</v>
      </c>
      <c r="AX3" s="3">
        <v>0</v>
      </c>
      <c r="AY3" s="2">
        <v>0</v>
      </c>
      <c r="AZ3" s="2">
        <v>0</v>
      </c>
      <c r="BA3" s="3">
        <v>0</v>
      </c>
      <c r="BB3" s="2">
        <v>0</v>
      </c>
      <c r="BC3" s="2">
        <v>0</v>
      </c>
      <c r="BD3" s="3">
        <v>0</v>
      </c>
      <c r="BE3" s="2">
        <v>0</v>
      </c>
      <c r="BF3" s="2">
        <v>0</v>
      </c>
      <c r="BG3" s="3">
        <v>0</v>
      </c>
      <c r="BH3" s="2">
        <v>0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15</v>
      </c>
      <c r="C4" s="2">
        <v>15</v>
      </c>
      <c r="D4" s="2">
        <v>15</v>
      </c>
      <c r="E4" s="3">
        <v>15</v>
      </c>
      <c r="F4" s="2">
        <v>15</v>
      </c>
      <c r="G4" s="2">
        <v>15</v>
      </c>
      <c r="H4" s="3">
        <v>15</v>
      </c>
      <c r="I4" s="2">
        <v>15</v>
      </c>
      <c r="J4" s="2">
        <v>15</v>
      </c>
      <c r="K4" s="3">
        <v>15</v>
      </c>
      <c r="L4" s="2">
        <v>15</v>
      </c>
      <c r="M4" s="2">
        <v>14</v>
      </c>
      <c r="N4" s="3">
        <v>14</v>
      </c>
      <c r="O4" s="2">
        <v>14</v>
      </c>
      <c r="P4" s="2">
        <v>14</v>
      </c>
      <c r="Q4" s="3">
        <v>14</v>
      </c>
      <c r="R4" s="2">
        <v>14</v>
      </c>
      <c r="S4" s="2">
        <v>14</v>
      </c>
      <c r="T4" s="3">
        <v>14</v>
      </c>
      <c r="U4" s="2">
        <v>14</v>
      </c>
      <c r="V4" s="2">
        <v>14</v>
      </c>
      <c r="W4" s="3">
        <v>14</v>
      </c>
      <c r="X4" s="2">
        <v>14</v>
      </c>
      <c r="Y4" s="2">
        <v>14</v>
      </c>
      <c r="Z4" s="3">
        <v>14</v>
      </c>
      <c r="AA4" s="2">
        <v>14</v>
      </c>
      <c r="AB4" s="2">
        <v>14</v>
      </c>
      <c r="AC4" s="3">
        <v>14</v>
      </c>
      <c r="AD4" s="2">
        <v>12</v>
      </c>
      <c r="AE4" s="2">
        <v>12</v>
      </c>
      <c r="AF4" s="3">
        <v>11</v>
      </c>
      <c r="AG4" s="2">
        <v>10</v>
      </c>
      <c r="AH4" s="2">
        <v>10</v>
      </c>
      <c r="AI4" s="3">
        <v>10</v>
      </c>
      <c r="AJ4" s="2">
        <v>10</v>
      </c>
      <c r="AK4" s="2">
        <v>10</v>
      </c>
      <c r="AL4" s="3">
        <v>10</v>
      </c>
      <c r="AM4" s="2">
        <v>10</v>
      </c>
      <c r="AN4" s="2">
        <v>10</v>
      </c>
      <c r="AO4" s="3">
        <v>10</v>
      </c>
      <c r="AP4" s="2">
        <v>10</v>
      </c>
      <c r="AQ4" s="2">
        <v>10</v>
      </c>
      <c r="AR4" s="3">
        <v>10</v>
      </c>
      <c r="AS4" s="2">
        <v>10</v>
      </c>
      <c r="AT4" s="2">
        <v>10</v>
      </c>
      <c r="AU4" s="3">
        <v>10</v>
      </c>
      <c r="AV4" s="2">
        <v>10</v>
      </c>
      <c r="AW4" s="2">
        <v>10</v>
      </c>
      <c r="AX4" s="3">
        <v>10</v>
      </c>
      <c r="AY4" s="2">
        <v>9</v>
      </c>
      <c r="AZ4" s="2">
        <v>9</v>
      </c>
      <c r="BA4" s="3">
        <v>9</v>
      </c>
      <c r="BB4" s="2">
        <v>8</v>
      </c>
      <c r="BC4" s="2">
        <v>7</v>
      </c>
      <c r="BD4" s="3">
        <v>4</v>
      </c>
      <c r="BE4" s="2">
        <v>4</v>
      </c>
      <c r="BF4" s="2">
        <v>4</v>
      </c>
      <c r="BG4" s="3">
        <v>2</v>
      </c>
      <c r="BH4" s="2">
        <v>2</v>
      </c>
      <c r="BI4" s="2">
        <v>2</v>
      </c>
      <c r="BJ4" s="3">
        <v>2</v>
      </c>
      <c r="BK4" s="2">
        <v>2</v>
      </c>
      <c r="BL4">
        <v>2</v>
      </c>
    </row>
    <row r="5" spans="1:64" ht="15.5" x14ac:dyDescent="0.35">
      <c r="A5" t="s">
        <v>67</v>
      </c>
      <c r="B5" s="2">
        <v>218881.46</v>
      </c>
      <c r="C5" s="2">
        <v>218881.46</v>
      </c>
      <c r="D5" s="2">
        <v>218881.46</v>
      </c>
      <c r="E5" s="3">
        <v>218881.46</v>
      </c>
      <c r="F5" s="2">
        <v>218881.46</v>
      </c>
      <c r="G5" s="2">
        <v>218881.46</v>
      </c>
      <c r="H5" s="3">
        <v>218881.46</v>
      </c>
      <c r="I5" s="2">
        <v>218881.46</v>
      </c>
      <c r="J5" s="2">
        <v>218881.46</v>
      </c>
      <c r="K5" s="3">
        <v>218881.46</v>
      </c>
      <c r="L5" s="2">
        <v>218881.46</v>
      </c>
      <c r="M5" s="2">
        <v>207065.31</v>
      </c>
      <c r="N5" s="3">
        <v>207065.31</v>
      </c>
      <c r="O5" s="2">
        <v>207065.31</v>
      </c>
      <c r="P5" s="2">
        <v>207065.31</v>
      </c>
      <c r="Q5" s="3">
        <v>207065.31</v>
      </c>
      <c r="R5" s="2">
        <v>207065.31</v>
      </c>
      <c r="S5" s="2">
        <v>207065.31</v>
      </c>
      <c r="T5" s="3">
        <v>207065.31</v>
      </c>
      <c r="U5" s="2">
        <v>207065.31</v>
      </c>
      <c r="V5" s="2">
        <v>207065.31</v>
      </c>
      <c r="W5" s="3">
        <v>207065.31</v>
      </c>
      <c r="X5" s="2">
        <v>207065.31</v>
      </c>
      <c r="Y5" s="2">
        <v>207065.31</v>
      </c>
      <c r="Z5" s="3">
        <v>207065.31</v>
      </c>
      <c r="AA5" s="2">
        <v>207065.31</v>
      </c>
      <c r="AB5" s="2">
        <v>207065.31</v>
      </c>
      <c r="AC5" s="3">
        <v>207065.31</v>
      </c>
      <c r="AD5" s="2">
        <v>187366.98</v>
      </c>
      <c r="AE5" s="2">
        <v>187366.98</v>
      </c>
      <c r="AF5" s="3">
        <v>174268.52</v>
      </c>
      <c r="AG5" s="2">
        <v>165567.22</v>
      </c>
      <c r="AH5" s="2">
        <v>165567.22</v>
      </c>
      <c r="AI5" s="3">
        <v>165567.22</v>
      </c>
      <c r="AJ5" s="2">
        <v>165567.22</v>
      </c>
      <c r="AK5" s="2">
        <v>165567.22</v>
      </c>
      <c r="AL5" s="3">
        <v>165567.22</v>
      </c>
      <c r="AM5" s="2">
        <v>165567.22</v>
      </c>
      <c r="AN5" s="2">
        <v>165567.22</v>
      </c>
      <c r="AO5" s="3">
        <v>165567.22</v>
      </c>
      <c r="AP5" s="2">
        <v>165567.22</v>
      </c>
      <c r="AQ5" s="2">
        <v>165567.22</v>
      </c>
      <c r="AR5" s="3">
        <v>165567.22</v>
      </c>
      <c r="AS5" s="2">
        <v>165567.22</v>
      </c>
      <c r="AT5" s="2">
        <v>165567.22</v>
      </c>
      <c r="AU5" s="3">
        <v>165567.22</v>
      </c>
      <c r="AV5" s="2">
        <v>165567.22</v>
      </c>
      <c r="AW5" s="2">
        <v>165567.22</v>
      </c>
      <c r="AX5" s="3">
        <v>165567.22</v>
      </c>
      <c r="AY5" s="2">
        <v>154048.29</v>
      </c>
      <c r="AZ5" s="2">
        <v>154048.29</v>
      </c>
      <c r="BA5" s="3">
        <v>154048.29</v>
      </c>
      <c r="BB5" s="2">
        <v>133181.75</v>
      </c>
      <c r="BC5" s="2">
        <v>122099.93</v>
      </c>
      <c r="BD5" s="3">
        <v>62249.4</v>
      </c>
      <c r="BE5" s="2">
        <v>62249.4</v>
      </c>
      <c r="BF5" s="2">
        <v>62249.4</v>
      </c>
      <c r="BG5" s="3">
        <v>31983.96</v>
      </c>
      <c r="BH5" s="2">
        <v>31983.96</v>
      </c>
      <c r="BI5" s="2">
        <v>31983.96</v>
      </c>
      <c r="BJ5" s="3">
        <v>31983.96</v>
      </c>
      <c r="BK5" s="2">
        <v>31983.96</v>
      </c>
      <c r="BL5">
        <v>31983.96</v>
      </c>
    </row>
    <row r="6" spans="1:64" ht="15.5" x14ac:dyDescent="0.35">
      <c r="A6" t="s">
        <v>68</v>
      </c>
      <c r="B6" s="2">
        <v>79502.8</v>
      </c>
      <c r="C6" s="2">
        <v>79502.8</v>
      </c>
      <c r="D6" s="2">
        <v>79502.8</v>
      </c>
      <c r="E6" s="3">
        <v>79502.8</v>
      </c>
      <c r="F6" s="2">
        <v>79502.8</v>
      </c>
      <c r="G6" s="2">
        <v>79502.8</v>
      </c>
      <c r="H6" s="3">
        <v>79502.8</v>
      </c>
      <c r="I6" s="2">
        <v>79502.8</v>
      </c>
      <c r="J6" s="2">
        <v>79502.8</v>
      </c>
      <c r="K6" s="3">
        <v>79502.8</v>
      </c>
      <c r="L6" s="2">
        <v>79502.8</v>
      </c>
      <c r="M6" s="2">
        <v>75453.3</v>
      </c>
      <c r="N6" s="3">
        <v>75453.3</v>
      </c>
      <c r="O6" s="2">
        <v>75453.3</v>
      </c>
      <c r="P6" s="2">
        <v>75453.3</v>
      </c>
      <c r="Q6" s="3">
        <v>75453.3</v>
      </c>
      <c r="R6" s="2">
        <v>75453.3</v>
      </c>
      <c r="S6" s="2">
        <v>75453.3</v>
      </c>
      <c r="T6" s="3">
        <v>75453.3</v>
      </c>
      <c r="U6" s="2">
        <v>75453.3</v>
      </c>
      <c r="V6" s="2">
        <v>75453.3</v>
      </c>
      <c r="W6" s="3">
        <v>75453.3</v>
      </c>
      <c r="X6" s="2">
        <v>75453.3</v>
      </c>
      <c r="Y6" s="2">
        <v>75453.3</v>
      </c>
      <c r="Z6" s="3">
        <v>75453.3</v>
      </c>
      <c r="AA6" s="2">
        <v>75453.3</v>
      </c>
      <c r="AB6" s="2">
        <v>75453.3</v>
      </c>
      <c r="AC6" s="3">
        <v>75453.3</v>
      </c>
      <c r="AD6" s="2">
        <v>67094.789999999994</v>
      </c>
      <c r="AE6" s="2">
        <v>67094.789999999994</v>
      </c>
      <c r="AF6" s="3">
        <v>62604.58</v>
      </c>
      <c r="AG6" s="2">
        <v>60193.39</v>
      </c>
      <c r="AH6" s="2">
        <v>60193.39</v>
      </c>
      <c r="AI6" s="3">
        <v>60193.39</v>
      </c>
      <c r="AJ6" s="2">
        <v>60193.39</v>
      </c>
      <c r="AK6" s="2">
        <v>60193.39</v>
      </c>
      <c r="AL6" s="3">
        <v>60193.39</v>
      </c>
      <c r="AM6" s="2">
        <v>60193.39</v>
      </c>
      <c r="AN6" s="2">
        <v>60193.39</v>
      </c>
      <c r="AO6" s="3">
        <v>60193.39</v>
      </c>
      <c r="AP6" s="2">
        <v>60193.39</v>
      </c>
      <c r="AQ6" s="2">
        <v>60193.39</v>
      </c>
      <c r="AR6" s="3">
        <v>60193.39</v>
      </c>
      <c r="AS6" s="2">
        <v>60193.39</v>
      </c>
      <c r="AT6" s="2">
        <v>60193.39</v>
      </c>
      <c r="AU6" s="3">
        <v>60193.39</v>
      </c>
      <c r="AV6" s="2">
        <v>60193.39</v>
      </c>
      <c r="AW6" s="2">
        <v>60193.39</v>
      </c>
      <c r="AX6" s="3">
        <v>60193.39</v>
      </c>
      <c r="AY6" s="2">
        <v>56909.74</v>
      </c>
      <c r="AZ6" s="2">
        <v>56909.74</v>
      </c>
      <c r="BA6" s="3">
        <v>56909.74</v>
      </c>
      <c r="BB6" s="2">
        <v>50166.85</v>
      </c>
      <c r="BC6" s="2">
        <v>47113.37</v>
      </c>
      <c r="BD6" s="3">
        <v>21853.9</v>
      </c>
      <c r="BE6" s="2">
        <v>21853.9</v>
      </c>
      <c r="BF6" s="2">
        <v>21853.9</v>
      </c>
      <c r="BG6" s="3">
        <v>11656.82</v>
      </c>
      <c r="BH6" s="2">
        <v>11656.82</v>
      </c>
      <c r="BI6" s="2">
        <v>11656.82</v>
      </c>
      <c r="BJ6" s="3">
        <v>11656.82</v>
      </c>
      <c r="BK6" s="2">
        <v>11656.82</v>
      </c>
      <c r="BL6">
        <v>11656.82</v>
      </c>
    </row>
    <row r="7" spans="1:64" ht="15.5" x14ac:dyDescent="0.35">
      <c r="A7" t="s">
        <v>69</v>
      </c>
      <c r="B7" s="2">
        <v>68253.960000000006</v>
      </c>
      <c r="C7" s="2">
        <v>68253.960000000006</v>
      </c>
      <c r="D7" s="2">
        <v>68253.960000000006</v>
      </c>
      <c r="E7" s="3">
        <v>68253.960000000006</v>
      </c>
      <c r="F7" s="2">
        <v>68253.960000000006</v>
      </c>
      <c r="G7" s="2">
        <v>68253.960000000006</v>
      </c>
      <c r="H7" s="3">
        <v>68253.960000000006</v>
      </c>
      <c r="I7" s="2">
        <v>68253.960000000006</v>
      </c>
      <c r="J7" s="2">
        <v>68253.960000000006</v>
      </c>
      <c r="K7" s="3">
        <v>68253.960000000006</v>
      </c>
      <c r="L7" s="2">
        <v>68253.960000000006</v>
      </c>
      <c r="M7" s="2">
        <v>65359.08</v>
      </c>
      <c r="N7" s="3">
        <v>65359.08</v>
      </c>
      <c r="O7" s="2">
        <v>65359.08</v>
      </c>
      <c r="P7" s="2">
        <v>65359.08</v>
      </c>
      <c r="Q7" s="3">
        <v>65359.08</v>
      </c>
      <c r="R7" s="2">
        <v>65359.08</v>
      </c>
      <c r="S7" s="2">
        <v>65359.08</v>
      </c>
      <c r="T7" s="3">
        <v>65359.08</v>
      </c>
      <c r="U7" s="2">
        <v>65359.08</v>
      </c>
      <c r="V7" s="2">
        <v>65359.08</v>
      </c>
      <c r="W7" s="3">
        <v>65359.08</v>
      </c>
      <c r="X7" s="2">
        <v>65359.08</v>
      </c>
      <c r="Y7" s="2">
        <v>65359.08</v>
      </c>
      <c r="Z7" s="3">
        <v>65359.08</v>
      </c>
      <c r="AA7" s="2">
        <v>65359.08</v>
      </c>
      <c r="AB7" s="2">
        <v>65359.08</v>
      </c>
      <c r="AC7" s="3">
        <v>65359.08</v>
      </c>
      <c r="AD7" s="2">
        <v>60155.18</v>
      </c>
      <c r="AE7" s="2">
        <v>60155.18</v>
      </c>
      <c r="AF7" s="3">
        <v>55789.65</v>
      </c>
      <c r="AG7" s="2">
        <v>53013.9</v>
      </c>
      <c r="AH7" s="2">
        <v>53013.9</v>
      </c>
      <c r="AI7" s="3">
        <v>53013.9</v>
      </c>
      <c r="AJ7" s="2">
        <v>53013.9</v>
      </c>
      <c r="AK7" s="2">
        <v>53013.9</v>
      </c>
      <c r="AL7" s="3">
        <v>53013.9</v>
      </c>
      <c r="AM7" s="2">
        <v>53013.9</v>
      </c>
      <c r="AN7" s="2">
        <v>53013.9</v>
      </c>
      <c r="AO7" s="3">
        <v>53013.9</v>
      </c>
      <c r="AP7" s="2">
        <v>53013.9</v>
      </c>
      <c r="AQ7" s="2">
        <v>53013.9</v>
      </c>
      <c r="AR7" s="3">
        <v>53013.9</v>
      </c>
      <c r="AS7" s="2">
        <v>53013.9</v>
      </c>
      <c r="AT7" s="2">
        <v>53013.9</v>
      </c>
      <c r="AU7" s="3">
        <v>53013.9</v>
      </c>
      <c r="AV7" s="2">
        <v>53013.9</v>
      </c>
      <c r="AW7" s="2">
        <v>53013.9</v>
      </c>
      <c r="AX7" s="3">
        <v>53013.9</v>
      </c>
      <c r="AY7" s="2">
        <v>49216.39</v>
      </c>
      <c r="AZ7" s="2">
        <v>49216.39</v>
      </c>
      <c r="BA7" s="3">
        <v>49216.39</v>
      </c>
      <c r="BB7" s="2">
        <v>41281.61</v>
      </c>
      <c r="BC7" s="2">
        <v>37454.129999999997</v>
      </c>
      <c r="BD7" s="3">
        <v>19895.39</v>
      </c>
      <c r="BE7" s="2">
        <v>19895.39</v>
      </c>
      <c r="BF7" s="2">
        <v>19895.39</v>
      </c>
      <c r="BG7" s="3">
        <v>10040.58</v>
      </c>
      <c r="BH7" s="2">
        <v>10040.58</v>
      </c>
      <c r="BI7" s="2">
        <v>10040.58</v>
      </c>
      <c r="BJ7" s="3">
        <v>10040.58</v>
      </c>
      <c r="BK7" s="2">
        <v>10040.58</v>
      </c>
      <c r="BL7">
        <v>10040.58</v>
      </c>
    </row>
    <row r="8" spans="1:64" ht="15.5" x14ac:dyDescent="0.35">
      <c r="A8" t="s">
        <v>70</v>
      </c>
      <c r="B8" s="2">
        <v>18569.439999999999</v>
      </c>
      <c r="C8" s="2">
        <v>18569.439999999999</v>
      </c>
      <c r="D8" s="2">
        <v>18569.439999999999</v>
      </c>
      <c r="E8" s="3">
        <v>18569.439999999999</v>
      </c>
      <c r="F8" s="2">
        <v>18569.439999999999</v>
      </c>
      <c r="G8" s="2">
        <v>18569.439999999999</v>
      </c>
      <c r="H8" s="3">
        <v>18569.439999999999</v>
      </c>
      <c r="I8" s="2">
        <v>18569.439999999999</v>
      </c>
      <c r="J8" s="2">
        <v>18569.439999999999</v>
      </c>
      <c r="K8" s="3">
        <v>18569.439999999999</v>
      </c>
      <c r="L8" s="2">
        <v>18569.439999999999</v>
      </c>
      <c r="M8" s="2">
        <v>17849.509999999998</v>
      </c>
      <c r="N8" s="3">
        <v>17849.509999999998</v>
      </c>
      <c r="O8" s="2">
        <v>17849.509999999998</v>
      </c>
      <c r="P8" s="2">
        <v>17849.509999999998</v>
      </c>
      <c r="Q8" s="3">
        <v>17849.509999999998</v>
      </c>
      <c r="R8" s="2">
        <v>17849.509999999998</v>
      </c>
      <c r="S8" s="2">
        <v>17849.509999999998</v>
      </c>
      <c r="T8" s="3">
        <v>17849.509999999998</v>
      </c>
      <c r="U8" s="2">
        <v>17849.509999999998</v>
      </c>
      <c r="V8" s="2">
        <v>17849.509999999998</v>
      </c>
      <c r="W8" s="3">
        <v>17849.509999999998</v>
      </c>
      <c r="X8" s="2">
        <v>17849.509999999998</v>
      </c>
      <c r="Y8" s="2">
        <v>17849.509999999998</v>
      </c>
      <c r="Z8" s="3">
        <v>17849.509999999998</v>
      </c>
      <c r="AA8" s="2">
        <v>17849.509999999998</v>
      </c>
      <c r="AB8" s="2">
        <v>17849.509999999998</v>
      </c>
      <c r="AC8" s="3">
        <v>17849.509999999998</v>
      </c>
      <c r="AD8" s="2">
        <v>16423.27</v>
      </c>
      <c r="AE8" s="2">
        <v>16423.27</v>
      </c>
      <c r="AF8" s="3">
        <v>15302.17</v>
      </c>
      <c r="AG8" s="2">
        <v>14630.58</v>
      </c>
      <c r="AH8" s="2">
        <v>14630.58</v>
      </c>
      <c r="AI8" s="3">
        <v>14630.58</v>
      </c>
      <c r="AJ8" s="2">
        <v>14630.58</v>
      </c>
      <c r="AK8" s="2">
        <v>14630.58</v>
      </c>
      <c r="AL8" s="3">
        <v>14630.58</v>
      </c>
      <c r="AM8" s="2">
        <v>14630.58</v>
      </c>
      <c r="AN8" s="2">
        <v>14630.58</v>
      </c>
      <c r="AO8" s="3">
        <v>14630.58</v>
      </c>
      <c r="AP8" s="2">
        <v>14630.58</v>
      </c>
      <c r="AQ8" s="2">
        <v>14630.58</v>
      </c>
      <c r="AR8" s="3">
        <v>14630.58</v>
      </c>
      <c r="AS8" s="2">
        <v>14630.58</v>
      </c>
      <c r="AT8" s="2">
        <v>14630.58</v>
      </c>
      <c r="AU8" s="3">
        <v>14630.58</v>
      </c>
      <c r="AV8" s="2">
        <v>14630.58</v>
      </c>
      <c r="AW8" s="2">
        <v>14630.58</v>
      </c>
      <c r="AX8" s="3">
        <v>14630.58</v>
      </c>
      <c r="AY8" s="2">
        <v>13646.24</v>
      </c>
      <c r="AZ8" s="2">
        <v>13646.24</v>
      </c>
      <c r="BA8" s="3">
        <v>13646.24</v>
      </c>
      <c r="BB8" s="2">
        <v>11594.48</v>
      </c>
      <c r="BC8" s="2">
        <v>10615.38</v>
      </c>
      <c r="BD8" s="3">
        <v>5523.47</v>
      </c>
      <c r="BE8" s="2">
        <v>5523.47</v>
      </c>
      <c r="BF8" s="2">
        <v>5523.47</v>
      </c>
      <c r="BG8" s="3">
        <v>2876.35</v>
      </c>
      <c r="BH8" s="2">
        <v>2876.35</v>
      </c>
      <c r="BI8" s="2">
        <v>2876.35</v>
      </c>
      <c r="BJ8" s="3">
        <v>2876.35</v>
      </c>
      <c r="BK8" s="2">
        <v>2876.35</v>
      </c>
      <c r="BL8">
        <v>2876.35</v>
      </c>
    </row>
    <row r="9" spans="1:64" ht="15.5" x14ac:dyDescent="0.35">
      <c r="A9" t="s">
        <v>71</v>
      </c>
      <c r="B9" s="2">
        <v>125201.04</v>
      </c>
      <c r="C9" s="2">
        <v>125201.04</v>
      </c>
      <c r="D9" s="2">
        <v>125201.04</v>
      </c>
      <c r="E9" s="3">
        <v>125201.04</v>
      </c>
      <c r="F9" s="2">
        <v>125201.04</v>
      </c>
      <c r="G9" s="2">
        <v>125201.04</v>
      </c>
      <c r="H9" s="3">
        <v>125201.04</v>
      </c>
      <c r="I9" s="2">
        <v>125201.04</v>
      </c>
      <c r="J9" s="2">
        <v>125201.04</v>
      </c>
      <c r="K9" s="3">
        <v>125201.04</v>
      </c>
      <c r="L9" s="2">
        <v>125201.04</v>
      </c>
      <c r="M9" s="2">
        <v>120514.62</v>
      </c>
      <c r="N9" s="3">
        <v>120514.62</v>
      </c>
      <c r="O9" s="2">
        <v>120514.62</v>
      </c>
      <c r="P9" s="2">
        <v>120514.62</v>
      </c>
      <c r="Q9" s="3">
        <v>120514.62</v>
      </c>
      <c r="R9" s="2">
        <v>120514.62</v>
      </c>
      <c r="S9" s="2">
        <v>120514.62</v>
      </c>
      <c r="T9" s="3">
        <v>120514.62</v>
      </c>
      <c r="U9" s="2">
        <v>120514.62</v>
      </c>
      <c r="V9" s="2">
        <v>120514.62</v>
      </c>
      <c r="W9" s="3">
        <v>120514.62</v>
      </c>
      <c r="X9" s="2">
        <v>120514.62</v>
      </c>
      <c r="Y9" s="2">
        <v>120514.62</v>
      </c>
      <c r="Z9" s="3">
        <v>120514.62</v>
      </c>
      <c r="AA9" s="2">
        <v>120514.62</v>
      </c>
      <c r="AB9" s="2">
        <v>120514.62</v>
      </c>
      <c r="AC9" s="3">
        <v>120514.62</v>
      </c>
      <c r="AD9" s="2">
        <v>86609.599999999991</v>
      </c>
      <c r="AE9" s="2">
        <v>86609.599999999991</v>
      </c>
      <c r="AF9" s="3">
        <v>73138.600000000006</v>
      </c>
      <c r="AG9" s="2">
        <v>70027.600000000006</v>
      </c>
      <c r="AH9" s="2">
        <v>70027.600000000006</v>
      </c>
      <c r="AI9" s="3">
        <v>70027.600000000006</v>
      </c>
      <c r="AJ9" s="2">
        <v>70027.600000000006</v>
      </c>
      <c r="AK9" s="2">
        <v>70027.600000000006</v>
      </c>
      <c r="AL9" s="3">
        <v>70027.600000000006</v>
      </c>
      <c r="AM9" s="2">
        <v>70027.600000000006</v>
      </c>
      <c r="AN9" s="2">
        <v>70027.600000000006</v>
      </c>
      <c r="AO9" s="3">
        <v>70027.600000000006</v>
      </c>
      <c r="AP9" s="2">
        <v>70027.600000000006</v>
      </c>
      <c r="AQ9" s="2">
        <v>70027.600000000006</v>
      </c>
      <c r="AR9" s="3">
        <v>70027.600000000006</v>
      </c>
      <c r="AS9" s="2">
        <v>70027.600000000006</v>
      </c>
      <c r="AT9" s="2">
        <v>70027.600000000006</v>
      </c>
      <c r="AU9" s="3">
        <v>70027.600000000006</v>
      </c>
      <c r="AV9" s="2">
        <v>70027.600000000006</v>
      </c>
      <c r="AW9" s="2">
        <v>70027.600000000006</v>
      </c>
      <c r="AX9" s="3">
        <v>70027.600000000006</v>
      </c>
      <c r="AY9" s="2">
        <v>58264.959999999999</v>
      </c>
      <c r="AZ9" s="2">
        <v>58264.959999999999</v>
      </c>
      <c r="BA9" s="3">
        <v>58264.959999999999</v>
      </c>
      <c r="BB9" s="2">
        <v>47653.96</v>
      </c>
      <c r="BC9" s="2">
        <v>41198.620000000003</v>
      </c>
      <c r="BD9" s="3">
        <v>14566.62</v>
      </c>
      <c r="BE9" s="2">
        <v>14566.62</v>
      </c>
      <c r="BF9" s="2">
        <v>14566.62</v>
      </c>
      <c r="BG9" s="3">
        <v>3884.02</v>
      </c>
      <c r="BH9" s="2">
        <v>3884.02</v>
      </c>
      <c r="BI9" s="2">
        <v>3884.02</v>
      </c>
      <c r="BJ9" s="3">
        <v>3884.02</v>
      </c>
      <c r="BK9" s="2">
        <v>3884.02</v>
      </c>
      <c r="BL9">
        <v>3884.02</v>
      </c>
    </row>
    <row r="10" spans="1:64" ht="15.5" x14ac:dyDescent="0.35">
      <c r="A10" t="s">
        <v>72</v>
      </c>
      <c r="B10" s="2">
        <v>119042.44</v>
      </c>
      <c r="C10" s="2">
        <v>119042.44</v>
      </c>
      <c r="D10" s="2">
        <v>119042.44</v>
      </c>
      <c r="E10" s="3">
        <v>119042.44</v>
      </c>
      <c r="F10" s="2">
        <v>119042.44</v>
      </c>
      <c r="G10" s="2">
        <v>119042.44</v>
      </c>
      <c r="H10" s="3">
        <v>119042.44</v>
      </c>
      <c r="I10" s="2">
        <v>119042.44</v>
      </c>
      <c r="J10" s="2">
        <v>119042.44</v>
      </c>
      <c r="K10" s="3">
        <v>119042.44</v>
      </c>
      <c r="L10" s="2">
        <v>119042.44</v>
      </c>
      <c r="M10" s="2">
        <v>114356.02</v>
      </c>
      <c r="N10" s="3">
        <v>114356.02</v>
      </c>
      <c r="O10" s="2">
        <v>114356.02</v>
      </c>
      <c r="P10" s="2">
        <v>114356.02</v>
      </c>
      <c r="Q10" s="3">
        <v>114356.02</v>
      </c>
      <c r="R10" s="2">
        <v>114356.02</v>
      </c>
      <c r="S10" s="2">
        <v>114356.02</v>
      </c>
      <c r="T10" s="3">
        <v>114356.02</v>
      </c>
      <c r="U10" s="2">
        <v>114356.02</v>
      </c>
      <c r="V10" s="2">
        <v>114356.02</v>
      </c>
      <c r="W10" s="3">
        <v>114356.02</v>
      </c>
      <c r="X10" s="2">
        <v>114356.02</v>
      </c>
      <c r="Y10" s="2">
        <v>114356.02</v>
      </c>
      <c r="Z10" s="3">
        <v>114356.02</v>
      </c>
      <c r="AA10" s="2">
        <v>114356.02</v>
      </c>
      <c r="AB10" s="2">
        <v>114356.02</v>
      </c>
      <c r="AC10" s="3">
        <v>114356.02</v>
      </c>
      <c r="AD10" s="2">
        <v>86609.599999999991</v>
      </c>
      <c r="AE10" s="2">
        <v>86609.599999999991</v>
      </c>
      <c r="AF10" s="3">
        <v>73138.600000000006</v>
      </c>
      <c r="AG10" s="2">
        <v>70027.600000000006</v>
      </c>
      <c r="AH10" s="2">
        <v>70027.600000000006</v>
      </c>
      <c r="AI10" s="3">
        <v>70027.600000000006</v>
      </c>
      <c r="AJ10" s="2">
        <v>70027.600000000006</v>
      </c>
      <c r="AK10" s="2">
        <v>70027.600000000006</v>
      </c>
      <c r="AL10" s="3">
        <v>70027.600000000006</v>
      </c>
      <c r="AM10" s="2">
        <v>70027.600000000006</v>
      </c>
      <c r="AN10" s="2">
        <v>70027.600000000006</v>
      </c>
      <c r="AO10" s="3">
        <v>70027.600000000006</v>
      </c>
      <c r="AP10" s="2">
        <v>70027.600000000006</v>
      </c>
      <c r="AQ10" s="2">
        <v>70027.600000000006</v>
      </c>
      <c r="AR10" s="3">
        <v>70027.600000000006</v>
      </c>
      <c r="AS10" s="2">
        <v>70027.600000000006</v>
      </c>
      <c r="AT10" s="2">
        <v>70027.600000000006</v>
      </c>
      <c r="AU10" s="3">
        <v>70027.600000000006</v>
      </c>
      <c r="AV10" s="2">
        <v>70027.600000000006</v>
      </c>
      <c r="AW10" s="2">
        <v>70027.600000000006</v>
      </c>
      <c r="AX10" s="3">
        <v>70027.600000000006</v>
      </c>
      <c r="AY10" s="2">
        <v>58264.959999999999</v>
      </c>
      <c r="AZ10" s="2">
        <v>58264.959999999999</v>
      </c>
      <c r="BA10" s="3">
        <v>58264.959999999999</v>
      </c>
      <c r="BB10" s="2">
        <v>47653.96</v>
      </c>
      <c r="BC10" s="2">
        <v>41198.620000000003</v>
      </c>
      <c r="BD10" s="3">
        <v>14566.62</v>
      </c>
      <c r="BE10" s="2">
        <v>14566.62</v>
      </c>
      <c r="BF10" s="2">
        <v>14566.62</v>
      </c>
      <c r="BG10" s="3">
        <v>3884.02</v>
      </c>
      <c r="BH10" s="2">
        <v>3884.02</v>
      </c>
      <c r="BI10" s="2">
        <v>3884.02</v>
      </c>
      <c r="BJ10" s="3">
        <v>3884.02</v>
      </c>
      <c r="BK10" s="2">
        <v>3884.02</v>
      </c>
      <c r="BL10">
        <v>3884.02</v>
      </c>
    </row>
    <row r="11" spans="1:64" ht="15.5" x14ac:dyDescent="0.35">
      <c r="A11" t="s">
        <v>73</v>
      </c>
      <c r="B11" s="2">
        <v>37052.959999999992</v>
      </c>
      <c r="C11" s="2">
        <v>37052.959999999992</v>
      </c>
      <c r="D11" s="2">
        <v>37052.959999999992</v>
      </c>
      <c r="E11" s="3">
        <v>37052.959999999992</v>
      </c>
      <c r="F11" s="2">
        <v>37052.959999999992</v>
      </c>
      <c r="G11" s="2">
        <v>37052.959999999992</v>
      </c>
      <c r="H11" s="3">
        <v>37052.959999999992</v>
      </c>
      <c r="I11" s="2">
        <v>37052.959999999992</v>
      </c>
      <c r="J11" s="2">
        <v>37052.959999999992</v>
      </c>
      <c r="K11" s="3">
        <v>37052.959999999992</v>
      </c>
      <c r="L11" s="2">
        <v>37052.959999999992</v>
      </c>
      <c r="M11" s="2">
        <v>34463.26</v>
      </c>
      <c r="N11" s="3">
        <v>34463.26</v>
      </c>
      <c r="O11" s="2">
        <v>34463.26</v>
      </c>
      <c r="P11" s="2">
        <v>34463.26</v>
      </c>
      <c r="Q11" s="3">
        <v>34463.26</v>
      </c>
      <c r="R11" s="2">
        <v>34463.26</v>
      </c>
      <c r="S11" s="2">
        <v>34463.26</v>
      </c>
      <c r="T11" s="3">
        <v>34463.26</v>
      </c>
      <c r="U11" s="2">
        <v>34463.26</v>
      </c>
      <c r="V11" s="2">
        <v>34463.26</v>
      </c>
      <c r="W11" s="3">
        <v>34463.26</v>
      </c>
      <c r="X11" s="2">
        <v>34463.26</v>
      </c>
      <c r="Y11" s="2">
        <v>34463.26</v>
      </c>
      <c r="Z11" s="3">
        <v>34463.26</v>
      </c>
      <c r="AA11" s="2">
        <v>34463.26</v>
      </c>
      <c r="AB11" s="2">
        <v>34463.26</v>
      </c>
      <c r="AC11" s="3">
        <v>34463.26</v>
      </c>
      <c r="AD11" s="2">
        <v>31854.2</v>
      </c>
      <c r="AE11" s="2">
        <v>31854.2</v>
      </c>
      <c r="AF11" s="3">
        <v>29441.58</v>
      </c>
      <c r="AG11" s="2">
        <v>27117.31</v>
      </c>
      <c r="AH11" s="2">
        <v>27117.31</v>
      </c>
      <c r="AI11" s="3">
        <v>27117.31</v>
      </c>
      <c r="AJ11" s="2">
        <v>27117.31</v>
      </c>
      <c r="AK11" s="2">
        <v>27117.31</v>
      </c>
      <c r="AL11" s="3">
        <v>27117.31</v>
      </c>
      <c r="AM11" s="2">
        <v>27117.31</v>
      </c>
      <c r="AN11" s="2">
        <v>27117.31</v>
      </c>
      <c r="AO11" s="3">
        <v>27117.31</v>
      </c>
      <c r="AP11" s="2">
        <v>27117.31</v>
      </c>
      <c r="AQ11" s="2">
        <v>27117.31</v>
      </c>
      <c r="AR11" s="3">
        <v>27117.31</v>
      </c>
      <c r="AS11" s="2">
        <v>27117.31</v>
      </c>
      <c r="AT11" s="2">
        <v>27117.31</v>
      </c>
      <c r="AU11" s="3">
        <v>27117.31</v>
      </c>
      <c r="AV11" s="2">
        <v>27117.31</v>
      </c>
      <c r="AW11" s="2">
        <v>27117.31</v>
      </c>
      <c r="AX11" s="3">
        <v>27117.31</v>
      </c>
      <c r="AY11" s="2">
        <v>24644.1</v>
      </c>
      <c r="AZ11" s="2">
        <v>24644.1</v>
      </c>
      <c r="BA11" s="3">
        <v>24644.1</v>
      </c>
      <c r="BB11" s="2">
        <v>21685.99</v>
      </c>
      <c r="BC11" s="2">
        <v>19181.490000000002</v>
      </c>
      <c r="BD11" s="3">
        <v>10570.08</v>
      </c>
      <c r="BE11" s="2">
        <v>10570.08</v>
      </c>
      <c r="BF11" s="2">
        <v>10570.08</v>
      </c>
      <c r="BG11" s="3">
        <v>5468.2000000000007</v>
      </c>
      <c r="BH11" s="2">
        <v>5468.2000000000007</v>
      </c>
      <c r="BI11" s="2">
        <v>5468.2000000000007</v>
      </c>
      <c r="BJ11" s="3">
        <v>5468.2000000000007</v>
      </c>
      <c r="BK11" s="2">
        <v>5468.2000000000007</v>
      </c>
      <c r="BL11">
        <v>5468.2000000000007</v>
      </c>
    </row>
    <row r="12" spans="1:64" ht="15.5" x14ac:dyDescent="0.35">
      <c r="A12" t="s">
        <v>74</v>
      </c>
      <c r="B12" s="2">
        <v>9255386.7100000009</v>
      </c>
      <c r="C12" s="2">
        <v>9255386.7100000009</v>
      </c>
      <c r="D12" s="2">
        <v>9255386.7100000009</v>
      </c>
      <c r="E12" s="3">
        <v>9255386.7100000009</v>
      </c>
      <c r="F12" s="2">
        <v>9255386.7100000009</v>
      </c>
      <c r="G12" s="2">
        <v>9255386.7100000009</v>
      </c>
      <c r="H12" s="3">
        <v>9255386.7100000009</v>
      </c>
      <c r="I12" s="2">
        <v>9255386.7100000009</v>
      </c>
      <c r="J12" s="2">
        <v>9255386.7100000009</v>
      </c>
      <c r="K12" s="3">
        <v>9255386.7100000009</v>
      </c>
      <c r="L12" s="2">
        <v>9255386.7100000009</v>
      </c>
      <c r="M12" s="2">
        <v>8924778.0199999996</v>
      </c>
      <c r="N12" s="3">
        <v>8924778.0199999996</v>
      </c>
      <c r="O12" s="2">
        <v>8924778.0199999996</v>
      </c>
      <c r="P12" s="2">
        <v>8924778.0199999996</v>
      </c>
      <c r="Q12" s="3">
        <v>8924778.0199999996</v>
      </c>
      <c r="R12" s="2">
        <v>8924778.0199999996</v>
      </c>
      <c r="S12" s="2">
        <v>8924778.0199999996</v>
      </c>
      <c r="T12" s="3">
        <v>8924778.0199999996</v>
      </c>
      <c r="U12" s="2">
        <v>8924778.0199999996</v>
      </c>
      <c r="V12" s="2">
        <v>8924778.0199999996</v>
      </c>
      <c r="W12" s="3">
        <v>8924778.0199999996</v>
      </c>
      <c r="X12" s="2">
        <v>8924778.0199999996</v>
      </c>
      <c r="Y12" s="2">
        <v>8924778.0199999996</v>
      </c>
      <c r="Z12" s="3">
        <v>8924778.0199999996</v>
      </c>
      <c r="AA12" s="2">
        <v>8924778.0199999996</v>
      </c>
      <c r="AB12" s="2">
        <v>8924778.0199999996</v>
      </c>
      <c r="AC12" s="3">
        <v>8924778.0199999996</v>
      </c>
      <c r="AD12" s="2">
        <v>8211655.4100000001</v>
      </c>
      <c r="AE12" s="2">
        <v>8211655.4100000001</v>
      </c>
      <c r="AF12" s="3">
        <v>7651103.2400000002</v>
      </c>
      <c r="AG12" s="2">
        <v>7315307.5899999999</v>
      </c>
      <c r="AH12" s="2">
        <v>7315307.5899999999</v>
      </c>
      <c r="AI12" s="3">
        <v>7315307.5899999999</v>
      </c>
      <c r="AJ12" s="2">
        <v>7315307.5899999999</v>
      </c>
      <c r="AK12" s="2">
        <v>7315307.5899999999</v>
      </c>
      <c r="AL12" s="3">
        <v>7315307.5899999999</v>
      </c>
      <c r="AM12" s="2">
        <v>7315307.5899999999</v>
      </c>
      <c r="AN12" s="2">
        <v>7315307.5899999999</v>
      </c>
      <c r="AO12" s="3">
        <v>7315307.5899999999</v>
      </c>
      <c r="AP12" s="2">
        <v>7315307.5899999999</v>
      </c>
      <c r="AQ12" s="2">
        <v>7315307.5899999999</v>
      </c>
      <c r="AR12" s="3">
        <v>7315307.5899999999</v>
      </c>
      <c r="AS12" s="2">
        <v>7315307.5899999999</v>
      </c>
      <c r="AT12" s="2">
        <v>7315307.5899999999</v>
      </c>
      <c r="AU12" s="3">
        <v>7315307.5899999999</v>
      </c>
      <c r="AV12" s="2">
        <v>7315307.5899999999</v>
      </c>
      <c r="AW12" s="2">
        <v>7315307.5899999999</v>
      </c>
      <c r="AX12" s="3">
        <v>7315307.5899999999</v>
      </c>
      <c r="AY12" s="2">
        <v>6823136.2800000003</v>
      </c>
      <c r="AZ12" s="2">
        <v>6823136.2800000003</v>
      </c>
      <c r="BA12" s="3">
        <v>6823136.2800000003</v>
      </c>
      <c r="BB12" s="2">
        <v>5797256.2800000003</v>
      </c>
      <c r="BC12" s="2">
        <v>5307703.6900000004</v>
      </c>
      <c r="BD12" s="3">
        <v>2761738.48</v>
      </c>
      <c r="BE12" s="2">
        <v>2761738.48</v>
      </c>
      <c r="BF12" s="2">
        <v>2761738.48</v>
      </c>
      <c r="BG12" s="3">
        <v>1438177.51</v>
      </c>
      <c r="BH12" s="2">
        <v>1438177.51</v>
      </c>
      <c r="BI12" s="2">
        <v>1438177.51</v>
      </c>
      <c r="BJ12" s="3">
        <v>1438177.51</v>
      </c>
      <c r="BK12" s="2">
        <v>1438177.51</v>
      </c>
      <c r="BL12">
        <v>1438177.51</v>
      </c>
    </row>
    <row r="13" spans="1:64" ht="15.5" x14ac:dyDescent="0.35">
      <c r="A13" t="s">
        <v>75</v>
      </c>
      <c r="B13" s="2">
        <v>8716058.0800000001</v>
      </c>
      <c r="C13" s="2">
        <v>8716058.0800000001</v>
      </c>
      <c r="D13" s="2">
        <v>8636555.2799999993</v>
      </c>
      <c r="E13" s="3">
        <v>8557052.4800000004</v>
      </c>
      <c r="F13" s="2">
        <v>8477549.6799999997</v>
      </c>
      <c r="G13" s="2">
        <v>8398046.8800000008</v>
      </c>
      <c r="H13" s="3">
        <v>8318544.0800000001</v>
      </c>
      <c r="I13" s="2">
        <v>8239041.2800000003</v>
      </c>
      <c r="J13" s="2">
        <v>8159538.4800000004</v>
      </c>
      <c r="K13" s="3">
        <v>8080035.6799999997</v>
      </c>
      <c r="L13" s="2">
        <v>8000532.8799999999</v>
      </c>
      <c r="M13" s="2">
        <v>7639015.3900000006</v>
      </c>
      <c r="N13" s="3">
        <v>7563562.0900000008</v>
      </c>
      <c r="O13" s="2">
        <v>7488108.790000001</v>
      </c>
      <c r="P13" s="2">
        <v>7412655.4900000002</v>
      </c>
      <c r="Q13" s="3">
        <v>7337202.1900000004</v>
      </c>
      <c r="R13" s="2">
        <v>7261748.8900000006</v>
      </c>
      <c r="S13" s="2">
        <v>7186295.5900000008</v>
      </c>
      <c r="T13" s="3">
        <v>7110842.290000001</v>
      </c>
      <c r="U13" s="2">
        <v>7035388.9900000002</v>
      </c>
      <c r="V13" s="2">
        <v>6959935.6900000004</v>
      </c>
      <c r="W13" s="3">
        <v>6884482.3900000006</v>
      </c>
      <c r="X13" s="2">
        <v>6809029.0900000008</v>
      </c>
      <c r="Y13" s="2">
        <v>6733575.790000001</v>
      </c>
      <c r="Z13" s="3">
        <v>6658122.4900000002</v>
      </c>
      <c r="AA13" s="2">
        <v>6582669.1900000004</v>
      </c>
      <c r="AB13" s="2">
        <v>6507215.8900000006</v>
      </c>
      <c r="AC13" s="3">
        <v>6431762.5900000008</v>
      </c>
      <c r="AD13" s="2">
        <v>5970228.2699999996</v>
      </c>
      <c r="AE13" s="2">
        <v>5903133.4800000004</v>
      </c>
      <c r="AF13" s="3">
        <v>5486526.3900000006</v>
      </c>
      <c r="AG13" s="2">
        <v>5172517.8100000015</v>
      </c>
      <c r="AH13" s="2">
        <v>5112324.4200000009</v>
      </c>
      <c r="AI13" s="3">
        <v>5052131.0300000012</v>
      </c>
      <c r="AJ13" s="2">
        <v>4991937.6400000006</v>
      </c>
      <c r="AK13" s="2">
        <v>4931744.2500000009</v>
      </c>
      <c r="AL13" s="3">
        <v>4871550.8600000013</v>
      </c>
      <c r="AM13" s="2">
        <v>4811357.4700000007</v>
      </c>
      <c r="AN13" s="2">
        <v>4751164.08</v>
      </c>
      <c r="AO13" s="3">
        <v>4690970.6900000013</v>
      </c>
      <c r="AP13" s="2">
        <v>4630777.3000000007</v>
      </c>
      <c r="AQ13" s="2">
        <v>4570583.91</v>
      </c>
      <c r="AR13" s="3">
        <v>4510390.5200000014</v>
      </c>
      <c r="AS13" s="2">
        <v>4450197.1300000008</v>
      </c>
      <c r="AT13" s="2">
        <v>4390003.74</v>
      </c>
      <c r="AU13" s="3">
        <v>4329810.3500000006</v>
      </c>
      <c r="AV13" s="2">
        <v>4269616.9600000009</v>
      </c>
      <c r="AW13" s="2">
        <v>4209423.57</v>
      </c>
      <c r="AX13" s="3">
        <v>4149230.1800000011</v>
      </c>
      <c r="AY13" s="2">
        <v>3790600.830000001</v>
      </c>
      <c r="AZ13" s="2">
        <v>3733691.0900000008</v>
      </c>
      <c r="BA13" s="3">
        <v>3676781.350000001</v>
      </c>
      <c r="BB13" s="2">
        <v>2991822.12</v>
      </c>
      <c r="BC13" s="2">
        <v>2635311.48</v>
      </c>
      <c r="BD13" s="3">
        <v>1557801.1</v>
      </c>
      <c r="BE13" s="2">
        <v>1535947.2</v>
      </c>
      <c r="BF13" s="2">
        <v>1514093.3</v>
      </c>
      <c r="BG13" s="3">
        <v>773738.77</v>
      </c>
      <c r="BH13" s="2">
        <v>762081.95</v>
      </c>
      <c r="BI13" s="2">
        <v>750425.13</v>
      </c>
      <c r="BJ13" s="3">
        <v>738768.30999999994</v>
      </c>
      <c r="BK13" s="2">
        <v>727111.49</v>
      </c>
      <c r="BL13">
        <v>715454.66999999993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0</v>
      </c>
      <c r="D15" s="2">
        <v>0</v>
      </c>
      <c r="E15" s="3">
        <v>0</v>
      </c>
      <c r="F15" s="2">
        <v>0</v>
      </c>
      <c r="G15" s="2">
        <v>0</v>
      </c>
      <c r="H15" s="3">
        <v>0</v>
      </c>
      <c r="I15" s="2">
        <v>0</v>
      </c>
      <c r="J15" s="2">
        <v>0</v>
      </c>
      <c r="K15" s="3">
        <v>0</v>
      </c>
      <c r="L15" s="2">
        <v>0</v>
      </c>
      <c r="M15" s="2">
        <v>0</v>
      </c>
      <c r="N15" s="3">
        <v>0</v>
      </c>
      <c r="O15" s="2">
        <v>0</v>
      </c>
      <c r="P15" s="2">
        <v>0</v>
      </c>
      <c r="Q15" s="3">
        <v>0</v>
      </c>
      <c r="R15" s="2">
        <v>0</v>
      </c>
      <c r="S15" s="2">
        <v>0</v>
      </c>
      <c r="T15" s="3">
        <v>0</v>
      </c>
      <c r="U15" s="2">
        <v>0</v>
      </c>
      <c r="V15" s="2">
        <v>0</v>
      </c>
      <c r="W15" s="3">
        <v>0</v>
      </c>
      <c r="X15" s="2">
        <v>0</v>
      </c>
      <c r="Y15" s="2">
        <v>0</v>
      </c>
      <c r="Z15" s="3">
        <v>0</v>
      </c>
      <c r="AA15" s="2">
        <v>0</v>
      </c>
      <c r="AB15" s="2">
        <v>0</v>
      </c>
      <c r="AC15" s="3">
        <v>0</v>
      </c>
      <c r="AD15" s="2">
        <v>0</v>
      </c>
      <c r="AE15" s="2">
        <v>0</v>
      </c>
      <c r="AF15" s="3">
        <v>0</v>
      </c>
      <c r="AG15" s="2">
        <v>0</v>
      </c>
      <c r="AH15" s="2">
        <v>0</v>
      </c>
      <c r="AI15" s="3">
        <v>0</v>
      </c>
      <c r="AJ15" s="2">
        <v>0</v>
      </c>
      <c r="AK15" s="2">
        <v>0</v>
      </c>
      <c r="AL15" s="3">
        <v>0</v>
      </c>
      <c r="AM15" s="2">
        <v>0</v>
      </c>
      <c r="AN15" s="2">
        <v>0</v>
      </c>
      <c r="AO15" s="3">
        <v>0</v>
      </c>
      <c r="AP15" s="2">
        <v>0</v>
      </c>
      <c r="AQ15" s="2">
        <v>0</v>
      </c>
      <c r="AR15" s="3">
        <v>0</v>
      </c>
      <c r="AS15" s="2">
        <v>0</v>
      </c>
      <c r="AT15" s="2">
        <v>0</v>
      </c>
      <c r="AU15" s="3">
        <v>0</v>
      </c>
      <c r="AV15" s="2">
        <v>0</v>
      </c>
      <c r="AW15" s="2">
        <v>0</v>
      </c>
      <c r="AX15" s="3">
        <v>0</v>
      </c>
      <c r="AY15" s="2">
        <v>0</v>
      </c>
      <c r="AZ15" s="2">
        <v>0</v>
      </c>
      <c r="BA15" s="3">
        <v>0</v>
      </c>
      <c r="BB15" s="2">
        <v>0</v>
      </c>
      <c r="BC15" s="2">
        <v>0</v>
      </c>
      <c r="BD15" s="3">
        <v>0</v>
      </c>
      <c r="BE15" s="2">
        <v>0</v>
      </c>
      <c r="BF15" s="2">
        <v>0</v>
      </c>
      <c r="BG15" s="3">
        <v>0</v>
      </c>
      <c r="BH15" s="2">
        <v>0</v>
      </c>
      <c r="BI15" s="2">
        <v>0</v>
      </c>
      <c r="BJ15" s="3">
        <v>0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0</v>
      </c>
      <c r="E16" s="3">
        <v>0</v>
      </c>
      <c r="F16" s="2">
        <v>0</v>
      </c>
      <c r="G16" s="2">
        <v>0</v>
      </c>
      <c r="H16" s="3">
        <v>0</v>
      </c>
      <c r="I16" s="2">
        <v>0</v>
      </c>
      <c r="J16" s="2">
        <v>0</v>
      </c>
      <c r="K16" s="3">
        <v>0</v>
      </c>
      <c r="L16" s="2">
        <v>0</v>
      </c>
      <c r="M16" s="2">
        <v>0</v>
      </c>
      <c r="N16" s="3">
        <v>0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0</v>
      </c>
      <c r="X16" s="2">
        <v>0</v>
      </c>
      <c r="Y16" s="2">
        <v>0</v>
      </c>
      <c r="Z16" s="3">
        <v>0</v>
      </c>
      <c r="AA16" s="2">
        <v>0</v>
      </c>
      <c r="AB16" s="2">
        <v>0</v>
      </c>
      <c r="AC16" s="3">
        <v>0</v>
      </c>
      <c r="AD16" s="2">
        <v>0</v>
      </c>
      <c r="AE16" s="2">
        <v>0</v>
      </c>
      <c r="AF16" s="3">
        <v>0</v>
      </c>
      <c r="AG16" s="2">
        <v>0</v>
      </c>
      <c r="AH16" s="2">
        <v>0</v>
      </c>
      <c r="AI16" s="3">
        <v>0</v>
      </c>
      <c r="AJ16" s="2">
        <v>0</v>
      </c>
      <c r="AK16" s="2">
        <v>0</v>
      </c>
      <c r="AL16" s="3">
        <v>0</v>
      </c>
      <c r="AM16" s="2">
        <v>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0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0</v>
      </c>
      <c r="BH16" s="2">
        <v>0</v>
      </c>
      <c r="BI16" s="2">
        <v>0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6.6328125" bestFit="1" customWidth="1"/>
    <col min="2" max="4" width="13.36328125" bestFit="1" customWidth="1"/>
    <col min="5" max="5" width="12.453125" bestFit="1" customWidth="1"/>
    <col min="6" max="7" width="13.36328125" bestFit="1" customWidth="1"/>
    <col min="8" max="8" width="12.453125" bestFit="1" customWidth="1"/>
    <col min="9" max="10" width="13.36328125" bestFit="1" customWidth="1"/>
    <col min="11" max="11" width="12.453125" bestFit="1" customWidth="1"/>
    <col min="12" max="13" width="13.36328125" bestFit="1" customWidth="1"/>
    <col min="14" max="14" width="12.453125" bestFit="1" customWidth="1"/>
    <col min="15" max="16" width="13.36328125" bestFit="1" customWidth="1"/>
    <col min="17" max="17" width="12.453125" bestFit="1" customWidth="1"/>
    <col min="18" max="19" width="13.36328125" bestFit="1" customWidth="1"/>
    <col min="20" max="20" width="12.453125" bestFit="1" customWidth="1"/>
    <col min="21" max="22" width="13.36328125" bestFit="1" customWidth="1"/>
    <col min="23" max="23" width="12.453125" bestFit="1" customWidth="1"/>
    <col min="24" max="25" width="13.36328125" bestFit="1" customWidth="1"/>
    <col min="26" max="26" width="12.453125" bestFit="1" customWidth="1"/>
    <col min="27" max="28" width="13.36328125" bestFit="1" customWidth="1"/>
    <col min="29" max="29" width="12.453125" bestFit="1" customWidth="1"/>
    <col min="30" max="30" width="13.36328125" bestFit="1" customWidth="1"/>
    <col min="31" max="31" width="12.1796875" bestFit="1" customWidth="1"/>
    <col min="32" max="32" width="11.453125" bestFit="1" customWidth="1"/>
    <col min="33" max="34" width="12.1796875" bestFit="1" customWidth="1"/>
    <col min="35" max="35" width="11.453125" bestFit="1" customWidth="1"/>
    <col min="36" max="37" width="12.1796875" bestFit="1" customWidth="1"/>
    <col min="38" max="38" width="11.453125" bestFit="1" customWidth="1"/>
    <col min="39" max="40" width="12.1796875" bestFit="1" customWidth="1"/>
    <col min="41" max="41" width="11.453125" bestFit="1" customWidth="1"/>
    <col min="42" max="43" width="12.1796875" bestFit="1" customWidth="1"/>
    <col min="44" max="44" width="11.453125" bestFit="1" customWidth="1"/>
    <col min="45" max="46" width="12.1796875" bestFit="1" customWidth="1"/>
    <col min="47" max="47" width="11.453125" bestFit="1" customWidth="1"/>
    <col min="48" max="49" width="12.1796875" bestFit="1" customWidth="1"/>
    <col min="50" max="50" width="11.453125" bestFit="1" customWidth="1"/>
    <col min="51" max="52" width="12.1796875" bestFit="1" customWidth="1"/>
    <col min="53" max="53" width="11.453125" bestFit="1" customWidth="1"/>
    <col min="54" max="55" width="12.1796875" bestFit="1" customWidth="1"/>
    <col min="56" max="56" width="11.453125" bestFit="1" customWidth="1"/>
    <col min="57" max="58" width="12.1796875" bestFit="1" customWidth="1"/>
    <col min="59" max="59" width="11.453125" bestFit="1" customWidth="1"/>
    <col min="60" max="60" width="10.6328125" bestFit="1" customWidth="1"/>
    <col min="61" max="64" width="10.4531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549</v>
      </c>
      <c r="C2" s="2">
        <v>514</v>
      </c>
      <c r="D2" s="2">
        <v>507</v>
      </c>
      <c r="E2" s="3">
        <v>500</v>
      </c>
      <c r="F2" s="2">
        <v>491</v>
      </c>
      <c r="G2" s="2">
        <v>479</v>
      </c>
      <c r="H2" s="3">
        <v>469</v>
      </c>
      <c r="I2" s="2">
        <v>463</v>
      </c>
      <c r="J2" s="2">
        <v>460</v>
      </c>
      <c r="K2" s="3">
        <v>444</v>
      </c>
      <c r="L2" s="2">
        <v>435</v>
      </c>
      <c r="M2" s="2">
        <v>422</v>
      </c>
      <c r="N2" s="3">
        <v>404</v>
      </c>
      <c r="O2" s="2">
        <v>384</v>
      </c>
      <c r="P2" s="2">
        <v>362</v>
      </c>
      <c r="Q2" s="3">
        <v>353</v>
      </c>
      <c r="R2" s="2">
        <v>345</v>
      </c>
      <c r="S2" s="2">
        <v>336</v>
      </c>
      <c r="T2" s="3">
        <v>316</v>
      </c>
      <c r="U2" s="2">
        <v>315</v>
      </c>
      <c r="V2" s="2">
        <v>302</v>
      </c>
      <c r="W2" s="3">
        <v>280</v>
      </c>
      <c r="X2" s="2">
        <v>266</v>
      </c>
      <c r="Y2" s="2">
        <v>247</v>
      </c>
      <c r="Z2" s="3">
        <v>233</v>
      </c>
      <c r="AA2" s="2">
        <v>222</v>
      </c>
      <c r="AB2" s="2">
        <v>216</v>
      </c>
      <c r="AC2" s="3">
        <v>206</v>
      </c>
      <c r="AD2" s="2">
        <v>199</v>
      </c>
      <c r="AE2" s="2">
        <v>187</v>
      </c>
      <c r="AF2" s="3">
        <v>187</v>
      </c>
      <c r="AG2" s="2">
        <v>179</v>
      </c>
      <c r="AH2" s="2">
        <v>162</v>
      </c>
      <c r="AI2" s="3">
        <v>154</v>
      </c>
      <c r="AJ2" s="2">
        <v>141</v>
      </c>
      <c r="AK2" s="2">
        <v>125</v>
      </c>
      <c r="AL2" s="3">
        <v>117</v>
      </c>
      <c r="AM2" s="2">
        <v>116</v>
      </c>
      <c r="AN2" s="2">
        <v>116</v>
      </c>
      <c r="AO2" s="3">
        <v>113</v>
      </c>
      <c r="AP2" s="2">
        <v>107</v>
      </c>
      <c r="AQ2" s="2">
        <v>93</v>
      </c>
      <c r="AR2" s="3">
        <v>79</v>
      </c>
      <c r="AS2" s="2">
        <v>75</v>
      </c>
      <c r="AT2" s="2">
        <v>64</v>
      </c>
      <c r="AU2" s="3">
        <v>59</v>
      </c>
      <c r="AV2" s="2">
        <v>48</v>
      </c>
      <c r="AW2" s="2">
        <v>36</v>
      </c>
      <c r="AX2" s="3">
        <v>34</v>
      </c>
      <c r="AY2" s="2">
        <v>29</v>
      </c>
      <c r="AZ2" s="2">
        <v>29</v>
      </c>
      <c r="BA2" s="3">
        <v>29</v>
      </c>
      <c r="BB2" s="2">
        <v>29</v>
      </c>
      <c r="BC2" s="2">
        <v>24</v>
      </c>
      <c r="BD2" s="3">
        <v>23</v>
      </c>
      <c r="BE2" s="2">
        <v>22</v>
      </c>
      <c r="BF2" s="2">
        <v>22</v>
      </c>
      <c r="BG2" s="3">
        <v>19</v>
      </c>
      <c r="BH2" s="2">
        <v>7</v>
      </c>
      <c r="BI2" s="2">
        <v>1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30</v>
      </c>
      <c r="C3" s="2">
        <v>30</v>
      </c>
      <c r="D3" s="2">
        <v>30</v>
      </c>
      <c r="E3" s="3">
        <v>30</v>
      </c>
      <c r="F3" s="2">
        <v>30</v>
      </c>
      <c r="G3" s="2">
        <v>30</v>
      </c>
      <c r="H3" s="3">
        <v>30</v>
      </c>
      <c r="I3" s="2">
        <v>30</v>
      </c>
      <c r="J3" s="2">
        <v>30</v>
      </c>
      <c r="K3" s="3">
        <v>30</v>
      </c>
      <c r="L3" s="2">
        <v>30</v>
      </c>
      <c r="M3" s="2">
        <v>30</v>
      </c>
      <c r="N3" s="3">
        <v>30</v>
      </c>
      <c r="O3" s="2">
        <v>30</v>
      </c>
      <c r="P3" s="2">
        <v>30</v>
      </c>
      <c r="Q3" s="3">
        <v>30</v>
      </c>
      <c r="R3" s="2">
        <v>30</v>
      </c>
      <c r="S3" s="2">
        <v>30</v>
      </c>
      <c r="T3" s="3">
        <v>30</v>
      </c>
      <c r="U3" s="2">
        <v>30</v>
      </c>
      <c r="V3" s="2">
        <v>30</v>
      </c>
      <c r="W3" s="3">
        <v>30</v>
      </c>
      <c r="X3" s="2">
        <v>30</v>
      </c>
      <c r="Y3" s="2">
        <v>30</v>
      </c>
      <c r="Z3" s="3">
        <v>30</v>
      </c>
      <c r="AA3" s="2">
        <v>30</v>
      </c>
      <c r="AB3" s="2">
        <v>30</v>
      </c>
      <c r="AC3" s="3">
        <v>30</v>
      </c>
      <c r="AD3" s="2">
        <v>30</v>
      </c>
      <c r="AE3" s="2">
        <v>15</v>
      </c>
      <c r="AF3" s="3">
        <v>15</v>
      </c>
      <c r="AG3" s="2">
        <v>15</v>
      </c>
      <c r="AH3" s="2">
        <v>15</v>
      </c>
      <c r="AI3" s="3">
        <v>15</v>
      </c>
      <c r="AJ3" s="2">
        <v>15</v>
      </c>
      <c r="AK3" s="2">
        <v>15</v>
      </c>
      <c r="AL3" s="3">
        <v>15</v>
      </c>
      <c r="AM3" s="2">
        <v>5</v>
      </c>
      <c r="AN3" s="2">
        <v>5</v>
      </c>
      <c r="AO3" s="3">
        <v>5</v>
      </c>
      <c r="AP3" s="2">
        <v>5</v>
      </c>
      <c r="AQ3" s="2">
        <v>5</v>
      </c>
      <c r="AR3" s="3">
        <v>5</v>
      </c>
      <c r="AS3" s="2">
        <v>5</v>
      </c>
      <c r="AT3" s="2">
        <v>5</v>
      </c>
      <c r="AU3" s="3">
        <v>0</v>
      </c>
      <c r="AV3" s="2">
        <v>0</v>
      </c>
      <c r="AW3" s="2">
        <v>0</v>
      </c>
      <c r="AX3" s="3">
        <v>0</v>
      </c>
      <c r="AY3" s="2">
        <v>0</v>
      </c>
      <c r="AZ3" s="2">
        <v>0</v>
      </c>
      <c r="BA3" s="3">
        <v>0</v>
      </c>
      <c r="BB3" s="2">
        <v>0</v>
      </c>
      <c r="BC3" s="2">
        <v>0</v>
      </c>
      <c r="BD3" s="3">
        <v>0</v>
      </c>
      <c r="BE3" s="2">
        <v>0</v>
      </c>
      <c r="BF3" s="2">
        <v>0</v>
      </c>
      <c r="BG3" s="3">
        <v>0</v>
      </c>
      <c r="BH3" s="2">
        <v>0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926475.80000000075</v>
      </c>
      <c r="C5" s="2">
        <v>881756.16000000003</v>
      </c>
      <c r="D5" s="2">
        <v>871906.55999999982</v>
      </c>
      <c r="E5" s="3">
        <v>859877.90999999968</v>
      </c>
      <c r="F5" s="2">
        <v>849903.30999999959</v>
      </c>
      <c r="G5" s="2">
        <v>829356.24999999977</v>
      </c>
      <c r="H5" s="3">
        <v>815229.17999999982</v>
      </c>
      <c r="I5" s="2">
        <v>805190.10999999987</v>
      </c>
      <c r="J5" s="2">
        <v>798463.81999999972</v>
      </c>
      <c r="K5" s="3">
        <v>771626.26999999979</v>
      </c>
      <c r="L5" s="2">
        <v>755874.70999999973</v>
      </c>
      <c r="M5" s="2">
        <v>733076.2999999997</v>
      </c>
      <c r="N5" s="3">
        <v>706171.72999999975</v>
      </c>
      <c r="O5" s="2">
        <v>680472.33999999973</v>
      </c>
      <c r="P5" s="2">
        <v>641623.24</v>
      </c>
      <c r="Q5" s="3">
        <v>623416.89000000013</v>
      </c>
      <c r="R5" s="2">
        <v>609092.04</v>
      </c>
      <c r="S5" s="2">
        <v>596094.95000000007</v>
      </c>
      <c r="T5" s="3">
        <v>565645.43000000028</v>
      </c>
      <c r="U5" s="2">
        <v>564253.95000000019</v>
      </c>
      <c r="V5" s="2">
        <v>542869.34000000032</v>
      </c>
      <c r="W5" s="3">
        <v>505966.05000000022</v>
      </c>
      <c r="X5" s="2">
        <v>483300.95000000013</v>
      </c>
      <c r="Y5" s="2">
        <v>445892.43000000028</v>
      </c>
      <c r="Z5" s="3">
        <v>424482.06000000017</v>
      </c>
      <c r="AA5" s="2">
        <v>405786.77000000008</v>
      </c>
      <c r="AB5" s="2">
        <v>393135.99</v>
      </c>
      <c r="AC5" s="3">
        <v>374012.9599999999</v>
      </c>
      <c r="AD5" s="2">
        <v>361178.03999999992</v>
      </c>
      <c r="AE5" s="2">
        <v>322815.76</v>
      </c>
      <c r="AF5" s="3">
        <v>322815.76</v>
      </c>
      <c r="AG5" s="2">
        <v>310690.42999999988</v>
      </c>
      <c r="AH5" s="2">
        <v>283055.03000000003</v>
      </c>
      <c r="AI5" s="3">
        <v>269231.95999999979</v>
      </c>
      <c r="AJ5" s="2">
        <v>241694.8</v>
      </c>
      <c r="AK5" s="2">
        <v>221484.91</v>
      </c>
      <c r="AL5" s="3">
        <v>212087.12</v>
      </c>
      <c r="AM5" s="2">
        <v>201517.9499999999</v>
      </c>
      <c r="AN5" s="2">
        <v>201517.9499999999</v>
      </c>
      <c r="AO5" s="3">
        <v>196653.74999999991</v>
      </c>
      <c r="AP5" s="2">
        <v>187793.99999999991</v>
      </c>
      <c r="AQ5" s="2">
        <v>163881.43999999989</v>
      </c>
      <c r="AR5" s="3">
        <v>140094.84</v>
      </c>
      <c r="AS5" s="2">
        <v>133444.48000000001</v>
      </c>
      <c r="AT5" s="2">
        <v>115189.9</v>
      </c>
      <c r="AU5" s="3">
        <v>97644.599999999991</v>
      </c>
      <c r="AV5" s="2">
        <v>78963.260000000024</v>
      </c>
      <c r="AW5" s="2">
        <v>57946.62</v>
      </c>
      <c r="AX5" s="3">
        <v>55089.31</v>
      </c>
      <c r="AY5" s="2">
        <v>47146.340000000018</v>
      </c>
      <c r="AZ5" s="2">
        <v>47146.340000000018</v>
      </c>
      <c r="BA5" s="3">
        <v>47146.340000000018</v>
      </c>
      <c r="BB5" s="2">
        <v>47146.340000000018</v>
      </c>
      <c r="BC5" s="2">
        <v>42152.34</v>
      </c>
      <c r="BD5" s="3">
        <v>40375.94</v>
      </c>
      <c r="BE5" s="2">
        <v>37995.81</v>
      </c>
      <c r="BF5" s="2">
        <v>37995.81</v>
      </c>
      <c r="BG5" s="3">
        <v>32153.02</v>
      </c>
      <c r="BH5" s="2">
        <v>9873.2900000000009</v>
      </c>
      <c r="BI5" s="2">
        <v>1246.24</v>
      </c>
      <c r="BJ5" s="3">
        <v>0</v>
      </c>
      <c r="BK5" s="2">
        <v>0</v>
      </c>
      <c r="BL5">
        <v>0</v>
      </c>
    </row>
    <row r="6" spans="1:64" ht="15.5" x14ac:dyDescent="0.35">
      <c r="A6" t="s">
        <v>68</v>
      </c>
      <c r="B6" s="2">
        <v>418129.52999999962</v>
      </c>
      <c r="C6" s="2">
        <v>400165.88999999937</v>
      </c>
      <c r="D6" s="2">
        <v>395886.31999999942</v>
      </c>
      <c r="E6" s="3">
        <v>389676.75999999949</v>
      </c>
      <c r="F6" s="2">
        <v>385663.06999999972</v>
      </c>
      <c r="G6" s="2">
        <v>375014.43999999983</v>
      </c>
      <c r="H6" s="3">
        <v>368571.23999999982</v>
      </c>
      <c r="I6" s="2">
        <v>363327.60999999981</v>
      </c>
      <c r="J6" s="2">
        <v>359825.26999999979</v>
      </c>
      <c r="K6" s="3">
        <v>346217.26999999979</v>
      </c>
      <c r="L6" s="2">
        <v>338813.16999999993</v>
      </c>
      <c r="M6" s="2">
        <v>329075.09999999992</v>
      </c>
      <c r="N6" s="3">
        <v>316750.40999999997</v>
      </c>
      <c r="O6" s="2">
        <v>306134.37000000011</v>
      </c>
      <c r="P6" s="2">
        <v>288296.24999999988</v>
      </c>
      <c r="Q6" s="3">
        <v>279511.33</v>
      </c>
      <c r="R6" s="2">
        <v>273077.40000000002</v>
      </c>
      <c r="S6" s="2">
        <v>267533.90000000002</v>
      </c>
      <c r="T6" s="3">
        <v>251797.02</v>
      </c>
      <c r="U6" s="2">
        <v>251200.75</v>
      </c>
      <c r="V6" s="2">
        <v>241563.44</v>
      </c>
      <c r="W6" s="3">
        <v>224634.7399999999</v>
      </c>
      <c r="X6" s="2">
        <v>213834.66</v>
      </c>
      <c r="Y6" s="2">
        <v>195698.84000000011</v>
      </c>
      <c r="Z6" s="3">
        <v>186387.06000000011</v>
      </c>
      <c r="AA6" s="2">
        <v>177939.3</v>
      </c>
      <c r="AB6" s="2">
        <v>171965.91</v>
      </c>
      <c r="AC6" s="3">
        <v>163010.14000000001</v>
      </c>
      <c r="AD6" s="2">
        <v>157097.13</v>
      </c>
      <c r="AE6" s="2">
        <v>136330.82999999999</v>
      </c>
      <c r="AF6" s="3">
        <v>136330.82999999999</v>
      </c>
      <c r="AG6" s="2">
        <v>130819.48</v>
      </c>
      <c r="AH6" s="2">
        <v>118428.19</v>
      </c>
      <c r="AI6" s="3">
        <v>111897.8</v>
      </c>
      <c r="AJ6" s="2">
        <v>98965.639999999985</v>
      </c>
      <c r="AK6" s="2">
        <v>90821.569999999978</v>
      </c>
      <c r="AL6" s="3">
        <v>87144.339999999982</v>
      </c>
      <c r="AM6" s="2">
        <v>82019.819999999978</v>
      </c>
      <c r="AN6" s="2">
        <v>82019.819999999978</v>
      </c>
      <c r="AO6" s="3">
        <v>80027.589999999982</v>
      </c>
      <c r="AP6" s="2">
        <v>76235.749999999985</v>
      </c>
      <c r="AQ6" s="2">
        <v>66632.300000000017</v>
      </c>
      <c r="AR6" s="3">
        <v>57208.510000000017</v>
      </c>
      <c r="AS6" s="2">
        <v>54251.900000000023</v>
      </c>
      <c r="AT6" s="2">
        <v>47711.930000000008</v>
      </c>
      <c r="AU6" s="3">
        <v>38608.76</v>
      </c>
      <c r="AV6" s="2">
        <v>30479.169999999991</v>
      </c>
      <c r="AW6" s="2">
        <v>22257.05999999999</v>
      </c>
      <c r="AX6" s="3">
        <v>21162.32</v>
      </c>
      <c r="AY6" s="2">
        <v>18097.27</v>
      </c>
      <c r="AZ6" s="2">
        <v>18097.27</v>
      </c>
      <c r="BA6" s="3">
        <v>18097.27</v>
      </c>
      <c r="BB6" s="2">
        <v>18097.27</v>
      </c>
      <c r="BC6" s="2">
        <v>16376.32</v>
      </c>
      <c r="BD6" s="3">
        <v>15695.27</v>
      </c>
      <c r="BE6" s="2">
        <v>14781.02</v>
      </c>
      <c r="BF6" s="2">
        <v>14781.02</v>
      </c>
      <c r="BG6" s="3">
        <v>12589.59</v>
      </c>
      <c r="BH6" s="2">
        <v>3898.7799999999988</v>
      </c>
      <c r="BI6" s="2">
        <v>437.03</v>
      </c>
      <c r="BJ6" s="3">
        <v>0</v>
      </c>
      <c r="BK6" s="2">
        <v>0</v>
      </c>
      <c r="BL6">
        <v>0</v>
      </c>
    </row>
    <row r="7" spans="1:64" ht="15.5" x14ac:dyDescent="0.35">
      <c r="A7" t="s">
        <v>69</v>
      </c>
      <c r="B7" s="2">
        <v>142975.48000000001</v>
      </c>
      <c r="C7" s="2">
        <v>137335.92999999991</v>
      </c>
      <c r="D7" s="2">
        <v>136132.45000000001</v>
      </c>
      <c r="E7" s="3">
        <v>134615.28</v>
      </c>
      <c r="F7" s="2">
        <v>133507.82</v>
      </c>
      <c r="G7" s="2">
        <v>131363.5</v>
      </c>
      <c r="H7" s="3">
        <v>129816.6</v>
      </c>
      <c r="I7" s="2">
        <v>128534.4599999999</v>
      </c>
      <c r="J7" s="2">
        <v>127782.78999999991</v>
      </c>
      <c r="K7" s="3">
        <v>124341.47</v>
      </c>
      <c r="L7" s="2">
        <v>122364.1399999999</v>
      </c>
      <c r="M7" s="2">
        <v>119478.5599999999</v>
      </c>
      <c r="N7" s="3">
        <v>115345.4899999999</v>
      </c>
      <c r="O7" s="2">
        <v>111429.0599999999</v>
      </c>
      <c r="P7" s="2">
        <v>104924.17999999991</v>
      </c>
      <c r="Q7" s="3">
        <v>102225.63</v>
      </c>
      <c r="R7" s="2">
        <v>99876.649999999965</v>
      </c>
      <c r="S7" s="2">
        <v>97866.279999999955</v>
      </c>
      <c r="T7" s="3">
        <v>92784.949999999939</v>
      </c>
      <c r="U7" s="2">
        <v>92545.399999999951</v>
      </c>
      <c r="V7" s="2">
        <v>89049.229999999909</v>
      </c>
      <c r="W7" s="3">
        <v>83512.919999999911</v>
      </c>
      <c r="X7" s="2">
        <v>79992.31999999992</v>
      </c>
      <c r="Y7" s="2">
        <v>74057.099999999933</v>
      </c>
      <c r="Z7" s="3">
        <v>70569.459999999977</v>
      </c>
      <c r="AA7" s="2">
        <v>67487.38</v>
      </c>
      <c r="AB7" s="2">
        <v>65186.490000000063</v>
      </c>
      <c r="AC7" s="3">
        <v>62824.640000000058</v>
      </c>
      <c r="AD7" s="2">
        <v>60843.920000000049</v>
      </c>
      <c r="AE7" s="2">
        <v>53610.360000000059</v>
      </c>
      <c r="AF7" s="3">
        <v>53610.360000000059</v>
      </c>
      <c r="AG7" s="2">
        <v>51724.160000000047</v>
      </c>
      <c r="AH7" s="2">
        <v>47434.260000000053</v>
      </c>
      <c r="AI7" s="3">
        <v>45000.74000000002</v>
      </c>
      <c r="AJ7" s="2">
        <v>41237.860000000022</v>
      </c>
      <c r="AK7" s="2">
        <v>37839.619999999981</v>
      </c>
      <c r="AL7" s="3">
        <v>36527.759999999987</v>
      </c>
      <c r="AM7" s="2">
        <v>34085.46</v>
      </c>
      <c r="AN7" s="2">
        <v>34085.46</v>
      </c>
      <c r="AO7" s="3">
        <v>33374.67</v>
      </c>
      <c r="AP7" s="2">
        <v>32055.319999999989</v>
      </c>
      <c r="AQ7" s="2">
        <v>27869.599999999991</v>
      </c>
      <c r="AR7" s="3">
        <v>24074.01</v>
      </c>
      <c r="AS7" s="2">
        <v>23162.13</v>
      </c>
      <c r="AT7" s="2">
        <v>20926.889999999981</v>
      </c>
      <c r="AU7" s="3">
        <v>17249.939999999999</v>
      </c>
      <c r="AV7" s="2">
        <v>13875.94</v>
      </c>
      <c r="AW7" s="2">
        <v>10425.700000000001</v>
      </c>
      <c r="AX7" s="3">
        <v>9907.2799999999988</v>
      </c>
      <c r="AY7" s="2">
        <v>8418.99</v>
      </c>
      <c r="AZ7" s="2">
        <v>8418.99</v>
      </c>
      <c r="BA7" s="3">
        <v>8418.99</v>
      </c>
      <c r="BB7" s="2">
        <v>8418.99</v>
      </c>
      <c r="BC7" s="2">
        <v>7641.44</v>
      </c>
      <c r="BD7" s="3">
        <v>7303.29</v>
      </c>
      <c r="BE7" s="2">
        <v>6829.99</v>
      </c>
      <c r="BF7" s="2">
        <v>6829.99</v>
      </c>
      <c r="BG7" s="3">
        <v>5745.1299999999992</v>
      </c>
      <c r="BH7" s="2">
        <v>1633.18</v>
      </c>
      <c r="BI7" s="2">
        <v>180.82</v>
      </c>
      <c r="BJ7" s="3">
        <v>0</v>
      </c>
      <c r="BK7" s="2">
        <v>0</v>
      </c>
      <c r="BL7">
        <v>0</v>
      </c>
    </row>
    <row r="8" spans="1:64" ht="15.5" x14ac:dyDescent="0.35">
      <c r="A8" t="s">
        <v>70</v>
      </c>
      <c r="B8" s="2">
        <v>81625.480000000025</v>
      </c>
      <c r="C8" s="2">
        <v>77088.069999999949</v>
      </c>
      <c r="D8" s="2">
        <v>76078.889999999941</v>
      </c>
      <c r="E8" s="3">
        <v>75045.699999999939</v>
      </c>
      <c r="F8" s="2">
        <v>73895.549999999945</v>
      </c>
      <c r="G8" s="2">
        <v>72295.319999999934</v>
      </c>
      <c r="H8" s="3">
        <v>70893.259999999951</v>
      </c>
      <c r="I8" s="2">
        <v>70226.099999999933</v>
      </c>
      <c r="J8" s="2">
        <v>69725.589999999938</v>
      </c>
      <c r="K8" s="3">
        <v>67612.94999999991</v>
      </c>
      <c r="L8" s="2">
        <v>66159.409999999931</v>
      </c>
      <c r="M8" s="2">
        <v>64209.429999999942</v>
      </c>
      <c r="N8" s="3">
        <v>61944.059999999932</v>
      </c>
      <c r="O8" s="2">
        <v>59257.48999999994</v>
      </c>
      <c r="P8" s="2">
        <v>56055.309999999939</v>
      </c>
      <c r="Q8" s="3">
        <v>54621.379999999946</v>
      </c>
      <c r="R8" s="2">
        <v>53684.169999999947</v>
      </c>
      <c r="S8" s="2">
        <v>52503.049999999959</v>
      </c>
      <c r="T8" s="3">
        <v>50083.759999999973</v>
      </c>
      <c r="U8" s="2">
        <v>49933.759999999973</v>
      </c>
      <c r="V8" s="2">
        <v>48200.449999999968</v>
      </c>
      <c r="W8" s="3">
        <v>45103.669999999976</v>
      </c>
      <c r="X8" s="2">
        <v>43261.929999999993</v>
      </c>
      <c r="Y8" s="2">
        <v>40421.89999999998</v>
      </c>
      <c r="Z8" s="3">
        <v>38617.159999999982</v>
      </c>
      <c r="AA8" s="2">
        <v>37123.659999999989</v>
      </c>
      <c r="AB8" s="2">
        <v>36112.239999999998</v>
      </c>
      <c r="AC8" s="3">
        <v>34712.460000000006</v>
      </c>
      <c r="AD8" s="2">
        <v>33872.910000000003</v>
      </c>
      <c r="AE8" s="2">
        <v>29528.78</v>
      </c>
      <c r="AF8" s="3">
        <v>29528.78</v>
      </c>
      <c r="AG8" s="2">
        <v>28678.78</v>
      </c>
      <c r="AH8" s="2">
        <v>26781.570000000011</v>
      </c>
      <c r="AI8" s="3">
        <v>25869.56</v>
      </c>
      <c r="AJ8" s="2">
        <v>23663.81</v>
      </c>
      <c r="AK8" s="2">
        <v>21523.74</v>
      </c>
      <c r="AL8" s="3">
        <v>20489.310000000001</v>
      </c>
      <c r="AM8" s="2">
        <v>18366.689999999999</v>
      </c>
      <c r="AN8" s="2">
        <v>18366.689999999999</v>
      </c>
      <c r="AO8" s="3">
        <v>17963.63</v>
      </c>
      <c r="AP8" s="2">
        <v>17165.05</v>
      </c>
      <c r="AQ8" s="2">
        <v>14906.81</v>
      </c>
      <c r="AR8" s="3">
        <v>12627.14</v>
      </c>
      <c r="AS8" s="2">
        <v>12044.62</v>
      </c>
      <c r="AT8" s="2">
        <v>10673.65</v>
      </c>
      <c r="AU8" s="3">
        <v>9039.649999999996</v>
      </c>
      <c r="AV8" s="2">
        <v>7288.8899999999967</v>
      </c>
      <c r="AW8" s="2">
        <v>5522.4799999999977</v>
      </c>
      <c r="AX8" s="3">
        <v>5282.4799999999987</v>
      </c>
      <c r="AY8" s="2">
        <v>4453.2000000000007</v>
      </c>
      <c r="AZ8" s="2">
        <v>4453.2000000000007</v>
      </c>
      <c r="BA8" s="3">
        <v>4453.2000000000007</v>
      </c>
      <c r="BB8" s="2">
        <v>4453.2000000000007</v>
      </c>
      <c r="BC8" s="2">
        <v>4044.1000000000022</v>
      </c>
      <c r="BD8" s="3">
        <v>3871.360000000001</v>
      </c>
      <c r="BE8" s="2">
        <v>3632.5800000000008</v>
      </c>
      <c r="BF8" s="2">
        <v>3632.5800000000008</v>
      </c>
      <c r="BG8" s="3">
        <v>3035.0200000000009</v>
      </c>
      <c r="BH8" s="2">
        <v>903.05000000000007</v>
      </c>
      <c r="BI8" s="2">
        <v>120</v>
      </c>
      <c r="BJ8" s="3">
        <v>0</v>
      </c>
      <c r="BK8" s="2">
        <v>0</v>
      </c>
      <c r="BL8">
        <v>0</v>
      </c>
    </row>
    <row r="9" spans="1:64" ht="15.5" x14ac:dyDescent="0.35">
      <c r="A9" t="s">
        <v>71</v>
      </c>
      <c r="B9" s="2">
        <v>3218156.3900000039</v>
      </c>
      <c r="C9" s="2">
        <v>2866879.350000001</v>
      </c>
      <c r="D9" s="2">
        <v>2785284.1600000011</v>
      </c>
      <c r="E9" s="3">
        <v>2721187.2100000009</v>
      </c>
      <c r="F9" s="2">
        <v>2641689.4600000009</v>
      </c>
      <c r="G9" s="2">
        <v>2549894.48</v>
      </c>
      <c r="H9" s="3">
        <v>2470009.2299999991</v>
      </c>
      <c r="I9" s="2">
        <v>2426494.3099999982</v>
      </c>
      <c r="J9" s="2">
        <v>2394226.3499999982</v>
      </c>
      <c r="K9" s="3">
        <v>2260652.919999999</v>
      </c>
      <c r="L9" s="2">
        <v>2176802.2999999989</v>
      </c>
      <c r="M9" s="2">
        <v>2051564.409999999</v>
      </c>
      <c r="N9" s="3">
        <v>1922731.3699999989</v>
      </c>
      <c r="O9" s="2">
        <v>1782954.5699999989</v>
      </c>
      <c r="P9" s="2">
        <v>1593906.649999998</v>
      </c>
      <c r="Q9" s="3">
        <v>1511194.2399999979</v>
      </c>
      <c r="R9" s="2">
        <v>1450206.2099999981</v>
      </c>
      <c r="S9" s="2">
        <v>1378380.7699999991</v>
      </c>
      <c r="T9" s="3">
        <v>1251444.2699999991</v>
      </c>
      <c r="U9" s="2">
        <v>1246867.0999999989</v>
      </c>
      <c r="V9" s="2">
        <v>1171413.7499999991</v>
      </c>
      <c r="W9" s="3">
        <v>1035669.079999999</v>
      </c>
      <c r="X9" s="2">
        <v>965984.02999999886</v>
      </c>
      <c r="Y9" s="2">
        <v>862535.74999999953</v>
      </c>
      <c r="Z9" s="3">
        <v>789753.61999999953</v>
      </c>
      <c r="AA9" s="2">
        <v>741475.9099999998</v>
      </c>
      <c r="AB9" s="2">
        <v>714037.0900000002</v>
      </c>
      <c r="AC9" s="3">
        <v>659442.89000000025</v>
      </c>
      <c r="AD9" s="2">
        <v>630637.18000000017</v>
      </c>
      <c r="AE9" s="2">
        <v>584536.05000000051</v>
      </c>
      <c r="AF9" s="3">
        <v>584536.05000000051</v>
      </c>
      <c r="AG9" s="2">
        <v>570034.71000000043</v>
      </c>
      <c r="AH9" s="2">
        <v>528970.31000000052</v>
      </c>
      <c r="AI9" s="3">
        <v>511765.8700000004</v>
      </c>
      <c r="AJ9" s="2">
        <v>462761.49000000028</v>
      </c>
      <c r="AK9" s="2">
        <v>391475.48000000021</v>
      </c>
      <c r="AL9" s="3">
        <v>362201.12000000023</v>
      </c>
      <c r="AM9" s="2">
        <v>359236.16000000009</v>
      </c>
      <c r="AN9" s="2">
        <v>359236.16000000009</v>
      </c>
      <c r="AO9" s="3">
        <v>347716.95000000019</v>
      </c>
      <c r="AP9" s="2">
        <v>325038.12000000023</v>
      </c>
      <c r="AQ9" s="2">
        <v>265941.27</v>
      </c>
      <c r="AR9" s="3">
        <v>188415.5799999999</v>
      </c>
      <c r="AS9" s="2">
        <v>177382.9499999999</v>
      </c>
      <c r="AT9" s="2">
        <v>131041.1699999999</v>
      </c>
      <c r="AU9" s="3">
        <v>125507.06999999991</v>
      </c>
      <c r="AV9" s="2">
        <v>111156.96</v>
      </c>
      <c r="AW9" s="2">
        <v>67168.87999999999</v>
      </c>
      <c r="AX9" s="3">
        <v>58799.179999999978</v>
      </c>
      <c r="AY9" s="2">
        <v>39580.97</v>
      </c>
      <c r="AZ9" s="2">
        <v>39580.97</v>
      </c>
      <c r="BA9" s="3">
        <v>39580.97</v>
      </c>
      <c r="BB9" s="2">
        <v>39580.97</v>
      </c>
      <c r="BC9" s="2">
        <v>29021.770000000011</v>
      </c>
      <c r="BD9" s="3">
        <v>26567.130000000008</v>
      </c>
      <c r="BE9" s="2">
        <v>24408.090000000011</v>
      </c>
      <c r="BF9" s="2">
        <v>24408.090000000011</v>
      </c>
      <c r="BG9" s="3">
        <v>19262.490000000009</v>
      </c>
      <c r="BH9" s="2">
        <v>4836.29</v>
      </c>
      <c r="BI9" s="2">
        <v>687.44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2065681.849999998</v>
      </c>
      <c r="C10" s="2">
        <v>1906141.7099999981</v>
      </c>
      <c r="D10" s="2">
        <v>1872388.9199999981</v>
      </c>
      <c r="E10" s="3">
        <v>1835563.149999999</v>
      </c>
      <c r="F10" s="2">
        <v>1794847.1999999981</v>
      </c>
      <c r="G10" s="2">
        <v>1743875.839999998</v>
      </c>
      <c r="H10" s="3">
        <v>1697945.329999998</v>
      </c>
      <c r="I10" s="2">
        <v>1676233.2799999979</v>
      </c>
      <c r="J10" s="2">
        <v>1662083.9999999979</v>
      </c>
      <c r="K10" s="3">
        <v>1589684.549999998</v>
      </c>
      <c r="L10" s="2">
        <v>1534097.569999998</v>
      </c>
      <c r="M10" s="2">
        <v>1447307.129999999</v>
      </c>
      <c r="N10" s="3">
        <v>1376404.0999999989</v>
      </c>
      <c r="O10" s="2">
        <v>1300182.79</v>
      </c>
      <c r="P10" s="2">
        <v>1181560.68</v>
      </c>
      <c r="Q10" s="3">
        <v>1134186.94</v>
      </c>
      <c r="R10" s="2">
        <v>1087923.83</v>
      </c>
      <c r="S10" s="2">
        <v>1048990.25</v>
      </c>
      <c r="T10" s="3">
        <v>974266.47000000044</v>
      </c>
      <c r="U10" s="2">
        <v>971995.80000000051</v>
      </c>
      <c r="V10" s="2">
        <v>916341.40000000049</v>
      </c>
      <c r="W10" s="3">
        <v>814552.56000000041</v>
      </c>
      <c r="X10" s="2">
        <v>760532.97000000044</v>
      </c>
      <c r="Y10" s="2">
        <v>685665.03000000038</v>
      </c>
      <c r="Z10" s="3">
        <v>641389.02000000037</v>
      </c>
      <c r="AA10" s="2">
        <v>603678.50000000035</v>
      </c>
      <c r="AB10" s="2">
        <v>579641.12000000046</v>
      </c>
      <c r="AC10" s="3">
        <v>538186.2100000002</v>
      </c>
      <c r="AD10" s="2">
        <v>514082.64000000007</v>
      </c>
      <c r="AE10" s="2">
        <v>477659.3600000001</v>
      </c>
      <c r="AF10" s="3">
        <v>477659.3600000001</v>
      </c>
      <c r="AG10" s="2">
        <v>466419.82000000012</v>
      </c>
      <c r="AH10" s="2">
        <v>431412.24000000011</v>
      </c>
      <c r="AI10" s="3">
        <v>415958.60000000021</v>
      </c>
      <c r="AJ10" s="2">
        <v>376617.72000000009</v>
      </c>
      <c r="AK10" s="2">
        <v>316999.24000000022</v>
      </c>
      <c r="AL10" s="3">
        <v>293628.83000000007</v>
      </c>
      <c r="AM10" s="2">
        <v>291083.01000000013</v>
      </c>
      <c r="AN10" s="2">
        <v>291083.01000000013</v>
      </c>
      <c r="AO10" s="3">
        <v>282815.62000000011</v>
      </c>
      <c r="AP10" s="2">
        <v>267715.90000000008</v>
      </c>
      <c r="AQ10" s="2">
        <v>224894.7600000001</v>
      </c>
      <c r="AR10" s="3">
        <v>166609.82</v>
      </c>
      <c r="AS10" s="2">
        <v>159118.82999999999</v>
      </c>
      <c r="AT10" s="2">
        <v>117848.77</v>
      </c>
      <c r="AU10" s="3">
        <v>112314.67</v>
      </c>
      <c r="AV10" s="2">
        <v>98718.640000000014</v>
      </c>
      <c r="AW10" s="2">
        <v>60906.03</v>
      </c>
      <c r="AX10" s="3">
        <v>52613.37999999999</v>
      </c>
      <c r="AY10" s="2">
        <v>36417.87000000001</v>
      </c>
      <c r="AZ10" s="2">
        <v>36417.87000000001</v>
      </c>
      <c r="BA10" s="3">
        <v>36417.87000000001</v>
      </c>
      <c r="BB10" s="2">
        <v>36417.87000000001</v>
      </c>
      <c r="BC10" s="2">
        <v>28925.080000000009</v>
      </c>
      <c r="BD10" s="3">
        <v>26512.53000000001</v>
      </c>
      <c r="BE10" s="2">
        <v>24408.090000000011</v>
      </c>
      <c r="BF10" s="2">
        <v>24408.090000000011</v>
      </c>
      <c r="BG10" s="3">
        <v>19262.490000000009</v>
      </c>
      <c r="BH10" s="2">
        <v>4836.29</v>
      </c>
      <c r="BI10" s="2">
        <v>687.44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131529.5700000003</v>
      </c>
      <c r="C11" s="2">
        <v>123193.5100000002</v>
      </c>
      <c r="D11" s="2">
        <v>121830.2500000001</v>
      </c>
      <c r="E11" s="3">
        <v>120218.2800000002</v>
      </c>
      <c r="F11" s="2">
        <v>118716.3900000002</v>
      </c>
      <c r="G11" s="2">
        <v>115952.6400000002</v>
      </c>
      <c r="H11" s="3">
        <v>113443.4800000002</v>
      </c>
      <c r="I11" s="2">
        <v>112014.5400000002</v>
      </c>
      <c r="J11" s="2">
        <v>111361.6700000002</v>
      </c>
      <c r="K11" s="3">
        <v>108080.3200000002</v>
      </c>
      <c r="L11" s="2">
        <v>105651.0600000002</v>
      </c>
      <c r="M11" s="2">
        <v>102281.5600000001</v>
      </c>
      <c r="N11" s="3">
        <v>98253.030000000101</v>
      </c>
      <c r="O11" s="2">
        <v>94050.810000000056</v>
      </c>
      <c r="P11" s="2">
        <v>88970.630000000077</v>
      </c>
      <c r="Q11" s="3">
        <v>86846.400000000081</v>
      </c>
      <c r="R11" s="2">
        <v>84668.980000000083</v>
      </c>
      <c r="S11" s="2">
        <v>82690.32000000008</v>
      </c>
      <c r="T11" s="3">
        <v>78736.030000000057</v>
      </c>
      <c r="U11" s="2">
        <v>78489.230000000054</v>
      </c>
      <c r="V11" s="2">
        <v>75136.890000000043</v>
      </c>
      <c r="W11" s="3">
        <v>70091.85000000002</v>
      </c>
      <c r="X11" s="2">
        <v>66934.94</v>
      </c>
      <c r="Y11" s="2">
        <v>61911.73</v>
      </c>
      <c r="Z11" s="3">
        <v>58782.31</v>
      </c>
      <c r="AA11" s="2">
        <v>56067.05999999999</v>
      </c>
      <c r="AB11" s="2">
        <v>54192.459999999977</v>
      </c>
      <c r="AC11" s="3">
        <v>52698.389999999992</v>
      </c>
      <c r="AD11" s="2">
        <v>50831.959999999992</v>
      </c>
      <c r="AE11" s="2">
        <v>47919.389999999978</v>
      </c>
      <c r="AF11" s="3">
        <v>47919.389999999978</v>
      </c>
      <c r="AG11" s="2">
        <v>45985.839999999967</v>
      </c>
      <c r="AH11" s="2">
        <v>41784.549999999967</v>
      </c>
      <c r="AI11" s="3">
        <v>39611.919999999991</v>
      </c>
      <c r="AJ11" s="2">
        <v>36191.099999999977</v>
      </c>
      <c r="AK11" s="2">
        <v>32878.359999999971</v>
      </c>
      <c r="AL11" s="3">
        <v>31507.499999999971</v>
      </c>
      <c r="AM11" s="2">
        <v>30874.849999999969</v>
      </c>
      <c r="AN11" s="2">
        <v>30874.849999999969</v>
      </c>
      <c r="AO11" s="3">
        <v>30013.519999999971</v>
      </c>
      <c r="AP11" s="2">
        <v>28588.63999999997</v>
      </c>
      <c r="AQ11" s="2">
        <v>24703.669999999969</v>
      </c>
      <c r="AR11" s="3">
        <v>20872.069999999982</v>
      </c>
      <c r="AS11" s="2">
        <v>19808.049999999988</v>
      </c>
      <c r="AT11" s="2">
        <v>17365.509999999998</v>
      </c>
      <c r="AU11" s="3">
        <v>15545.53</v>
      </c>
      <c r="AV11" s="2">
        <v>12613.28</v>
      </c>
      <c r="AW11" s="2">
        <v>9465.1499999999978</v>
      </c>
      <c r="AX11" s="3">
        <v>8981.8299999999981</v>
      </c>
      <c r="AY11" s="2">
        <v>7746.6200000000017</v>
      </c>
      <c r="AZ11" s="2">
        <v>7746.6200000000017</v>
      </c>
      <c r="BA11" s="3">
        <v>7746.6200000000017</v>
      </c>
      <c r="BB11" s="2">
        <v>7746.6200000000017</v>
      </c>
      <c r="BC11" s="2">
        <v>6980.1200000000008</v>
      </c>
      <c r="BD11" s="3">
        <v>6702.4900000000016</v>
      </c>
      <c r="BE11" s="2">
        <v>6308.5300000000016</v>
      </c>
      <c r="BF11" s="2">
        <v>6308.5300000000016</v>
      </c>
      <c r="BG11" s="3">
        <v>5368.7100000000019</v>
      </c>
      <c r="BH11" s="2">
        <v>1630.26</v>
      </c>
      <c r="BI11" s="2">
        <v>164.67</v>
      </c>
      <c r="BJ11" s="3">
        <v>0</v>
      </c>
      <c r="BK11" s="2">
        <v>0</v>
      </c>
      <c r="BL11">
        <v>0</v>
      </c>
    </row>
    <row r="12" spans="1:64" ht="15.5" x14ac:dyDescent="0.35">
      <c r="A12" t="s">
        <v>74</v>
      </c>
      <c r="B12" s="2">
        <v>27293174.150000039</v>
      </c>
      <c r="C12" s="2">
        <v>25925419.070000041</v>
      </c>
      <c r="D12" s="2">
        <v>25656986.190000039</v>
      </c>
      <c r="E12" s="3">
        <v>25315882.390000042</v>
      </c>
      <c r="F12" s="2">
        <v>25003528.54000004</v>
      </c>
      <c r="G12" s="2">
        <v>24493571.530000031</v>
      </c>
      <c r="H12" s="3">
        <v>24069078.470000029</v>
      </c>
      <c r="I12" s="2">
        <v>23826987.19000002</v>
      </c>
      <c r="J12" s="2">
        <v>23674306.880000029</v>
      </c>
      <c r="K12" s="3">
        <v>22975412.92000002</v>
      </c>
      <c r="L12" s="2">
        <v>22513931.980000012</v>
      </c>
      <c r="M12" s="2">
        <v>21925260.23</v>
      </c>
      <c r="N12" s="3">
        <v>21149560.579999991</v>
      </c>
      <c r="O12" s="2">
        <v>20322165.50999999</v>
      </c>
      <c r="P12" s="2">
        <v>19226969.139999989</v>
      </c>
      <c r="Q12" s="3">
        <v>18768736.159999989</v>
      </c>
      <c r="R12" s="2">
        <v>18344622.089999989</v>
      </c>
      <c r="S12" s="2">
        <v>17948187.870000001</v>
      </c>
      <c r="T12" s="3">
        <v>16910010.260000009</v>
      </c>
      <c r="U12" s="2">
        <v>16866853.860000011</v>
      </c>
      <c r="V12" s="2">
        <v>16223387.90000001</v>
      </c>
      <c r="W12" s="3">
        <v>15220583.40000001</v>
      </c>
      <c r="X12" s="2">
        <v>14581703.380000001</v>
      </c>
      <c r="Y12" s="2">
        <v>13487167.57000001</v>
      </c>
      <c r="Z12" s="3">
        <v>12884473.420000009</v>
      </c>
      <c r="AA12" s="2">
        <v>12323719.630000001</v>
      </c>
      <c r="AB12" s="2">
        <v>11932874.93</v>
      </c>
      <c r="AC12" s="3">
        <v>11489047.789999999</v>
      </c>
      <c r="AD12" s="2">
        <v>11134856.890000001</v>
      </c>
      <c r="AE12" s="2">
        <v>9902292.6899999958</v>
      </c>
      <c r="AF12" s="3">
        <v>9902292.6899999958</v>
      </c>
      <c r="AG12" s="2">
        <v>9531392.5399999917</v>
      </c>
      <c r="AH12" s="2">
        <v>8726221.099999994</v>
      </c>
      <c r="AI12" s="3">
        <v>8277607.1599999992</v>
      </c>
      <c r="AJ12" s="2">
        <v>7550943.879999999</v>
      </c>
      <c r="AK12" s="2">
        <v>6923942.2899999972</v>
      </c>
      <c r="AL12" s="3">
        <v>6666577.6399999969</v>
      </c>
      <c r="AM12" s="2">
        <v>6352591.549999997</v>
      </c>
      <c r="AN12" s="2">
        <v>6352591.549999997</v>
      </c>
      <c r="AO12" s="3">
        <v>6190684.1199999964</v>
      </c>
      <c r="AP12" s="2">
        <v>5922886.7999999989</v>
      </c>
      <c r="AQ12" s="2">
        <v>5151733.9099999974</v>
      </c>
      <c r="AR12" s="3">
        <v>4422850.41</v>
      </c>
      <c r="AS12" s="2">
        <v>4230987.66</v>
      </c>
      <c r="AT12" s="2">
        <v>3787098.540000001</v>
      </c>
      <c r="AU12" s="3">
        <v>3186188.93</v>
      </c>
      <c r="AV12" s="2">
        <v>2567996.790000001</v>
      </c>
      <c r="AW12" s="2">
        <v>1918383.580000001</v>
      </c>
      <c r="AX12" s="3">
        <v>1823546.13</v>
      </c>
      <c r="AY12" s="2">
        <v>1551294.49</v>
      </c>
      <c r="AZ12" s="2">
        <v>1551294.49</v>
      </c>
      <c r="BA12" s="3">
        <v>1551294.49</v>
      </c>
      <c r="BB12" s="2">
        <v>1551294.49</v>
      </c>
      <c r="BC12" s="2">
        <v>1406897.94</v>
      </c>
      <c r="BD12" s="3">
        <v>1345929.83</v>
      </c>
      <c r="BE12" s="2">
        <v>1261652.24</v>
      </c>
      <c r="BF12" s="2">
        <v>1261652.24</v>
      </c>
      <c r="BG12" s="3">
        <v>1065877.2</v>
      </c>
      <c r="BH12" s="2">
        <v>313399.98999999987</v>
      </c>
      <c r="BI12" s="2">
        <v>34577.589999999997</v>
      </c>
      <c r="BJ12" s="3">
        <v>0</v>
      </c>
      <c r="BK12" s="2">
        <v>0</v>
      </c>
      <c r="BL12">
        <v>0</v>
      </c>
    </row>
    <row r="13" spans="1:64" ht="15.5" x14ac:dyDescent="0.35">
      <c r="A13" t="s">
        <v>75</v>
      </c>
      <c r="B13" s="2">
        <v>18584210.16</v>
      </c>
      <c r="C13" s="2">
        <v>18136605.399999991</v>
      </c>
      <c r="D13" s="2">
        <v>17647426.68999999</v>
      </c>
      <c r="E13" s="3">
        <v>17148492.909999989</v>
      </c>
      <c r="F13" s="2">
        <v>16652587.569999989</v>
      </c>
      <c r="G13" s="2">
        <v>16078110.49999998</v>
      </c>
      <c r="H13" s="3">
        <v>15570324.12999999</v>
      </c>
      <c r="I13" s="2">
        <v>15114891.329999991</v>
      </c>
      <c r="J13" s="2">
        <v>14711254.93999999</v>
      </c>
      <c r="K13" s="3">
        <v>14090868.42999999</v>
      </c>
      <c r="L13" s="2">
        <v>13607619.319999989</v>
      </c>
      <c r="M13" s="2">
        <v>13080287.389999989</v>
      </c>
      <c r="N13" s="3">
        <v>12474555.569999989</v>
      </c>
      <c r="O13" s="2">
        <v>11893799.93999999</v>
      </c>
      <c r="P13" s="2">
        <v>11200895.089999991</v>
      </c>
      <c r="Q13" s="3">
        <v>10771174.86999999</v>
      </c>
      <c r="R13" s="2">
        <v>10334495.009999979</v>
      </c>
      <c r="S13" s="2">
        <v>9933100.1099999845</v>
      </c>
      <c r="T13" s="3">
        <v>9382452.2099999897</v>
      </c>
      <c r="U13" s="2">
        <v>9115204.1099999882</v>
      </c>
      <c r="V13" s="2">
        <v>8612939.6199999917</v>
      </c>
      <c r="W13" s="3">
        <v>8033275.9799999939</v>
      </c>
      <c r="X13" s="2">
        <v>7594435.9799999921</v>
      </c>
      <c r="Y13" s="2">
        <v>7018888.2699999977</v>
      </c>
      <c r="Z13" s="3">
        <v>6606577.0999999959</v>
      </c>
      <c r="AA13" s="2">
        <v>6190348.0899999971</v>
      </c>
      <c r="AB13" s="2">
        <v>5876996.3499999968</v>
      </c>
      <c r="AC13" s="3">
        <v>5582498.4499999974</v>
      </c>
      <c r="AD13" s="2">
        <v>5283513.3100000015</v>
      </c>
      <c r="AE13" s="2">
        <v>4821878.5500000138</v>
      </c>
      <c r="AF13" s="3">
        <v>4685547.7200000137</v>
      </c>
      <c r="AG13" s="2">
        <v>4386068.9900000077</v>
      </c>
      <c r="AH13" s="2">
        <v>3921824.4600000051</v>
      </c>
      <c r="AI13" s="3">
        <v>3615826.0300000031</v>
      </c>
      <c r="AJ13" s="2">
        <v>3298413.4700000021</v>
      </c>
      <c r="AK13" s="2">
        <v>2985559.360000005</v>
      </c>
      <c r="AL13" s="3">
        <v>2819453.7300000051</v>
      </c>
      <c r="AM13" s="2">
        <v>2658234.0100000058</v>
      </c>
      <c r="AN13" s="2">
        <v>2576214.190000006</v>
      </c>
      <c r="AO13" s="3">
        <v>2454448.4900000058</v>
      </c>
      <c r="AP13" s="2">
        <v>2312980.5000000051</v>
      </c>
      <c r="AQ13" s="2">
        <v>1993658.610000001</v>
      </c>
      <c r="AR13" s="3">
        <v>1731590.810000001</v>
      </c>
      <c r="AS13" s="2">
        <v>1635489.07</v>
      </c>
      <c r="AT13" s="2">
        <v>1473397.23</v>
      </c>
      <c r="AU13" s="3">
        <v>1258201.060000001</v>
      </c>
      <c r="AV13" s="2">
        <v>1001300.570000001</v>
      </c>
      <c r="AW13" s="2">
        <v>779289.37000000081</v>
      </c>
      <c r="AX13" s="3">
        <v>727866.66000000061</v>
      </c>
      <c r="AY13" s="2">
        <v>619608.70000000007</v>
      </c>
      <c r="AZ13" s="2">
        <v>601511.43000000005</v>
      </c>
      <c r="BA13" s="3">
        <v>583414.16</v>
      </c>
      <c r="BB13" s="2">
        <v>565316.89000000013</v>
      </c>
      <c r="BC13" s="2">
        <v>504359.11999999988</v>
      </c>
      <c r="BD13" s="3">
        <v>467877.68999999983</v>
      </c>
      <c r="BE13" s="2">
        <v>421845.57999999978</v>
      </c>
      <c r="BF13" s="2">
        <v>407064.55999999982</v>
      </c>
      <c r="BG13" s="3">
        <v>327994.29999999987</v>
      </c>
      <c r="BH13" s="2">
        <v>84376.100000000035</v>
      </c>
      <c r="BI13" s="2">
        <v>8792.82</v>
      </c>
      <c r="BJ13" s="3">
        <v>0</v>
      </c>
      <c r="BK13" s="2">
        <v>0</v>
      </c>
      <c r="BL13">
        <v>0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35</v>
      </c>
      <c r="D15" s="2">
        <v>7</v>
      </c>
      <c r="E15" s="3">
        <v>7</v>
      </c>
      <c r="F15" s="2">
        <v>9</v>
      </c>
      <c r="G15" s="2">
        <v>12</v>
      </c>
      <c r="H15" s="3">
        <v>10</v>
      </c>
      <c r="I15" s="2">
        <v>6</v>
      </c>
      <c r="J15" s="2">
        <v>3</v>
      </c>
      <c r="K15" s="3">
        <v>16</v>
      </c>
      <c r="L15" s="2">
        <v>9</v>
      </c>
      <c r="M15" s="2">
        <v>13</v>
      </c>
      <c r="N15" s="3">
        <v>18</v>
      </c>
      <c r="O15" s="2">
        <v>20</v>
      </c>
      <c r="P15" s="2">
        <v>22</v>
      </c>
      <c r="Q15" s="3">
        <v>9</v>
      </c>
      <c r="R15" s="2">
        <v>8</v>
      </c>
      <c r="S15" s="2">
        <v>9</v>
      </c>
      <c r="T15" s="3">
        <v>20</v>
      </c>
      <c r="U15" s="2">
        <v>1</v>
      </c>
      <c r="V15" s="2">
        <v>13</v>
      </c>
      <c r="W15" s="3">
        <v>22</v>
      </c>
      <c r="X15" s="2">
        <v>14</v>
      </c>
      <c r="Y15" s="2">
        <v>19</v>
      </c>
      <c r="Z15" s="3">
        <v>14</v>
      </c>
      <c r="AA15" s="2">
        <v>11</v>
      </c>
      <c r="AB15" s="2">
        <v>6</v>
      </c>
      <c r="AC15" s="3">
        <v>10</v>
      </c>
      <c r="AD15" s="2">
        <v>7</v>
      </c>
      <c r="AE15" s="2">
        <v>12</v>
      </c>
      <c r="AF15" s="3">
        <v>0</v>
      </c>
      <c r="AG15" s="2">
        <v>8</v>
      </c>
      <c r="AH15" s="2">
        <v>17</v>
      </c>
      <c r="AI15" s="3">
        <v>8</v>
      </c>
      <c r="AJ15" s="2">
        <v>13</v>
      </c>
      <c r="AK15" s="2">
        <v>16</v>
      </c>
      <c r="AL15" s="3">
        <v>8</v>
      </c>
      <c r="AM15" s="2">
        <v>1</v>
      </c>
      <c r="AN15" s="2">
        <v>0</v>
      </c>
      <c r="AO15" s="3">
        <v>3</v>
      </c>
      <c r="AP15" s="2">
        <v>6</v>
      </c>
      <c r="AQ15" s="2">
        <v>14</v>
      </c>
      <c r="AR15" s="3">
        <v>14</v>
      </c>
      <c r="AS15" s="2">
        <v>4</v>
      </c>
      <c r="AT15" s="2">
        <v>11</v>
      </c>
      <c r="AU15" s="3">
        <v>5</v>
      </c>
      <c r="AV15" s="2">
        <v>11</v>
      </c>
      <c r="AW15" s="2">
        <v>12</v>
      </c>
      <c r="AX15" s="3">
        <v>2</v>
      </c>
      <c r="AY15" s="2">
        <v>5</v>
      </c>
      <c r="AZ15" s="2">
        <v>0</v>
      </c>
      <c r="BA15" s="3">
        <v>0</v>
      </c>
      <c r="BB15" s="2">
        <v>0</v>
      </c>
      <c r="BC15" s="2">
        <v>5</v>
      </c>
      <c r="BD15" s="3">
        <v>1</v>
      </c>
      <c r="BE15" s="2">
        <v>1</v>
      </c>
      <c r="BF15" s="2">
        <v>0</v>
      </c>
      <c r="BG15" s="3">
        <v>3</v>
      </c>
      <c r="BH15" s="2">
        <v>12</v>
      </c>
      <c r="BI15" s="2">
        <v>6</v>
      </c>
      <c r="BJ15" s="3">
        <v>1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0</v>
      </c>
      <c r="E16" s="3">
        <v>0</v>
      </c>
      <c r="F16" s="2">
        <v>0</v>
      </c>
      <c r="G16" s="2">
        <v>0</v>
      </c>
      <c r="H16" s="3">
        <v>0</v>
      </c>
      <c r="I16" s="2">
        <v>0</v>
      </c>
      <c r="J16" s="2">
        <v>0</v>
      </c>
      <c r="K16" s="3">
        <v>0</v>
      </c>
      <c r="L16" s="2">
        <v>0</v>
      </c>
      <c r="M16" s="2">
        <v>0</v>
      </c>
      <c r="N16" s="3">
        <v>0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0</v>
      </c>
      <c r="X16" s="2">
        <v>0</v>
      </c>
      <c r="Y16" s="2">
        <v>0</v>
      </c>
      <c r="Z16" s="3">
        <v>0</v>
      </c>
      <c r="AA16" s="2">
        <v>0</v>
      </c>
      <c r="AB16" s="2">
        <v>0</v>
      </c>
      <c r="AC16" s="3">
        <v>0</v>
      </c>
      <c r="AD16" s="2">
        <v>0</v>
      </c>
      <c r="AE16" s="2">
        <v>15</v>
      </c>
      <c r="AF16" s="3">
        <v>0</v>
      </c>
      <c r="AG16" s="2">
        <v>0</v>
      </c>
      <c r="AH16" s="2">
        <v>0</v>
      </c>
      <c r="AI16" s="3">
        <v>0</v>
      </c>
      <c r="AJ16" s="2">
        <v>0</v>
      </c>
      <c r="AK16" s="2">
        <v>0</v>
      </c>
      <c r="AL16" s="3">
        <v>0</v>
      </c>
      <c r="AM16" s="2">
        <v>10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5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0</v>
      </c>
      <c r="BH16" s="2">
        <v>0</v>
      </c>
      <c r="BI16" s="2">
        <v>0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L16"/>
  <sheetViews>
    <sheetView workbookViewId="0">
      <selection sqref="A1:XFD1048576"/>
    </sheetView>
  </sheetViews>
  <sheetFormatPr defaultRowHeight="14.5" x14ac:dyDescent="0.35"/>
  <cols>
    <col min="1" max="1" width="16.6328125" bestFit="1" customWidth="1"/>
    <col min="2" max="4" width="13.36328125" bestFit="1" customWidth="1"/>
    <col min="5" max="5" width="12.453125" bestFit="1" customWidth="1"/>
    <col min="6" max="7" width="13.36328125" bestFit="1" customWidth="1"/>
    <col min="8" max="8" width="12.453125" bestFit="1" customWidth="1"/>
    <col min="9" max="10" width="13.36328125" bestFit="1" customWidth="1"/>
    <col min="11" max="11" width="12.453125" bestFit="1" customWidth="1"/>
    <col min="12" max="13" width="13.36328125" bestFit="1" customWidth="1"/>
    <col min="14" max="14" width="12.453125" bestFit="1" customWidth="1"/>
    <col min="15" max="16" width="13.36328125" bestFit="1" customWidth="1"/>
    <col min="17" max="17" width="12.453125" bestFit="1" customWidth="1"/>
    <col min="18" max="19" width="13.36328125" bestFit="1" customWidth="1"/>
    <col min="20" max="20" width="12.453125" bestFit="1" customWidth="1"/>
    <col min="21" max="22" width="13.36328125" bestFit="1" customWidth="1"/>
    <col min="23" max="23" width="12.453125" bestFit="1" customWidth="1"/>
    <col min="24" max="25" width="13.36328125" bestFit="1" customWidth="1"/>
    <col min="26" max="26" width="12.453125" bestFit="1" customWidth="1"/>
    <col min="27" max="28" width="13.36328125" bestFit="1" customWidth="1"/>
    <col min="29" max="29" width="12.453125" bestFit="1" customWidth="1"/>
    <col min="30" max="31" width="13.36328125" bestFit="1" customWidth="1"/>
    <col min="32" max="32" width="12.453125" bestFit="1" customWidth="1"/>
    <col min="33" max="34" width="13.36328125" bestFit="1" customWidth="1"/>
    <col min="35" max="35" width="12.453125" bestFit="1" customWidth="1"/>
    <col min="36" max="37" width="13.36328125" bestFit="1" customWidth="1"/>
    <col min="38" max="38" width="12.453125" bestFit="1" customWidth="1"/>
    <col min="39" max="40" width="13.36328125" bestFit="1" customWidth="1"/>
    <col min="41" max="41" width="12.453125" bestFit="1" customWidth="1"/>
    <col min="42" max="43" width="13.36328125" bestFit="1" customWidth="1"/>
    <col min="44" max="44" width="12.453125" bestFit="1" customWidth="1"/>
    <col min="45" max="46" width="13.36328125" bestFit="1" customWidth="1"/>
    <col min="47" max="47" width="12.453125" bestFit="1" customWidth="1"/>
    <col min="48" max="49" width="13.36328125" bestFit="1" customWidth="1"/>
    <col min="50" max="50" width="11.453125" bestFit="1" customWidth="1"/>
    <col min="51" max="52" width="12.1796875" bestFit="1" customWidth="1"/>
    <col min="53" max="53" width="11.453125" bestFit="1" customWidth="1"/>
    <col min="54" max="55" width="12.1796875" bestFit="1" customWidth="1"/>
    <col min="56" max="56" width="11.453125" bestFit="1" customWidth="1"/>
    <col min="57" max="58" width="12.1796875" bestFit="1" customWidth="1"/>
    <col min="59" max="59" width="11.453125" bestFit="1" customWidth="1"/>
    <col min="60" max="60" width="12.1796875" bestFit="1" customWidth="1"/>
    <col min="61" max="64" width="10.453125" bestFit="1" customWidth="1"/>
  </cols>
  <sheetData>
    <row r="1" spans="1:6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s="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s="1" t="s">
        <v>61</v>
      </c>
      <c r="BK1" t="s">
        <v>62</v>
      </c>
      <c r="BL1" t="s">
        <v>63</v>
      </c>
    </row>
    <row r="2" spans="1:64" ht="15.5" x14ac:dyDescent="0.35">
      <c r="A2" t="s">
        <v>64</v>
      </c>
      <c r="B2" s="2">
        <v>33</v>
      </c>
      <c r="C2" s="2">
        <v>33</v>
      </c>
      <c r="D2" s="2">
        <v>33</v>
      </c>
      <c r="E2" s="3">
        <v>33</v>
      </c>
      <c r="F2" s="2">
        <v>33</v>
      </c>
      <c r="G2" s="2">
        <v>33</v>
      </c>
      <c r="H2" s="3">
        <v>33</v>
      </c>
      <c r="I2" s="2">
        <v>33</v>
      </c>
      <c r="J2" s="2">
        <v>33</v>
      </c>
      <c r="K2" s="3">
        <v>33</v>
      </c>
      <c r="L2" s="2">
        <v>33</v>
      </c>
      <c r="M2" s="2">
        <v>33</v>
      </c>
      <c r="N2" s="3">
        <v>33</v>
      </c>
      <c r="O2" s="2">
        <v>33</v>
      </c>
      <c r="P2" s="2">
        <v>33</v>
      </c>
      <c r="Q2" s="3">
        <v>33</v>
      </c>
      <c r="R2" s="2">
        <v>33</v>
      </c>
      <c r="S2" s="2">
        <v>33</v>
      </c>
      <c r="T2" s="3">
        <v>33</v>
      </c>
      <c r="U2" s="2">
        <v>33</v>
      </c>
      <c r="V2" s="2">
        <v>33</v>
      </c>
      <c r="W2" s="3">
        <v>33</v>
      </c>
      <c r="X2" s="2">
        <v>33</v>
      </c>
      <c r="Y2" s="2">
        <v>33</v>
      </c>
      <c r="Z2" s="3">
        <v>33</v>
      </c>
      <c r="AA2" s="2">
        <v>33</v>
      </c>
      <c r="AB2" s="2">
        <v>33</v>
      </c>
      <c r="AC2" s="3">
        <v>33</v>
      </c>
      <c r="AD2" s="2">
        <v>33</v>
      </c>
      <c r="AE2" s="2">
        <v>33</v>
      </c>
      <c r="AF2" s="3">
        <v>33</v>
      </c>
      <c r="AG2" s="2">
        <v>33</v>
      </c>
      <c r="AH2" s="2">
        <v>33</v>
      </c>
      <c r="AI2" s="3">
        <v>33</v>
      </c>
      <c r="AJ2" s="2">
        <v>33</v>
      </c>
      <c r="AK2" s="2">
        <v>33</v>
      </c>
      <c r="AL2" s="3">
        <v>33</v>
      </c>
      <c r="AM2" s="2">
        <v>33</v>
      </c>
      <c r="AN2" s="2">
        <v>33</v>
      </c>
      <c r="AO2" s="3">
        <v>33</v>
      </c>
      <c r="AP2" s="2">
        <v>33</v>
      </c>
      <c r="AQ2" s="2">
        <v>33</v>
      </c>
      <c r="AR2" s="3">
        <v>33</v>
      </c>
      <c r="AS2" s="2">
        <v>33</v>
      </c>
      <c r="AT2" s="2">
        <v>33</v>
      </c>
      <c r="AU2" s="3">
        <v>33</v>
      </c>
      <c r="AV2" s="2">
        <v>19</v>
      </c>
      <c r="AW2" s="2">
        <v>17</v>
      </c>
      <c r="AX2" s="3">
        <v>16</v>
      </c>
      <c r="AY2" s="2">
        <v>16</v>
      </c>
      <c r="AZ2" s="2">
        <v>16</v>
      </c>
      <c r="BA2" s="3">
        <v>2</v>
      </c>
      <c r="BB2" s="2">
        <v>2</v>
      </c>
      <c r="BC2" s="2">
        <v>2</v>
      </c>
      <c r="BD2" s="3">
        <v>2</v>
      </c>
      <c r="BE2" s="2">
        <v>2</v>
      </c>
      <c r="BF2" s="2">
        <v>2</v>
      </c>
      <c r="BG2" s="3">
        <v>2</v>
      </c>
      <c r="BH2" s="2">
        <v>2</v>
      </c>
      <c r="BI2" s="2">
        <v>0</v>
      </c>
      <c r="BJ2" s="3">
        <v>0</v>
      </c>
      <c r="BK2" s="2">
        <v>0</v>
      </c>
      <c r="BL2">
        <v>0</v>
      </c>
    </row>
    <row r="3" spans="1:64" ht="15.5" x14ac:dyDescent="0.35">
      <c r="A3" t="s">
        <v>65</v>
      </c>
      <c r="B3" s="2">
        <v>0</v>
      </c>
      <c r="C3" s="2">
        <v>0</v>
      </c>
      <c r="D3" s="2">
        <v>0</v>
      </c>
      <c r="E3" s="3">
        <v>0</v>
      </c>
      <c r="F3" s="2">
        <v>0</v>
      </c>
      <c r="G3" s="2">
        <v>0</v>
      </c>
      <c r="H3" s="3">
        <v>0</v>
      </c>
      <c r="I3" s="2">
        <v>0</v>
      </c>
      <c r="J3" s="2">
        <v>0</v>
      </c>
      <c r="K3" s="3">
        <v>0</v>
      </c>
      <c r="L3" s="2">
        <v>0</v>
      </c>
      <c r="M3" s="2">
        <v>0</v>
      </c>
      <c r="N3" s="3">
        <v>0</v>
      </c>
      <c r="O3" s="2">
        <v>0</v>
      </c>
      <c r="P3" s="2">
        <v>0</v>
      </c>
      <c r="Q3" s="3">
        <v>0</v>
      </c>
      <c r="R3" s="2">
        <v>0</v>
      </c>
      <c r="S3" s="2">
        <v>0</v>
      </c>
      <c r="T3" s="3">
        <v>0</v>
      </c>
      <c r="U3" s="2">
        <v>0</v>
      </c>
      <c r="V3" s="2">
        <v>0</v>
      </c>
      <c r="W3" s="3">
        <v>0</v>
      </c>
      <c r="X3" s="2">
        <v>0</v>
      </c>
      <c r="Y3" s="2">
        <v>0</v>
      </c>
      <c r="Z3" s="3">
        <v>0</v>
      </c>
      <c r="AA3" s="2">
        <v>0</v>
      </c>
      <c r="AB3" s="2">
        <v>0</v>
      </c>
      <c r="AC3" s="3">
        <v>0</v>
      </c>
      <c r="AD3" s="2">
        <v>0</v>
      </c>
      <c r="AE3" s="2">
        <v>0</v>
      </c>
      <c r="AF3" s="3">
        <v>0</v>
      </c>
      <c r="AG3" s="2">
        <v>0</v>
      </c>
      <c r="AH3" s="2">
        <v>0</v>
      </c>
      <c r="AI3" s="3">
        <v>0</v>
      </c>
      <c r="AJ3" s="2">
        <v>0</v>
      </c>
      <c r="AK3" s="2">
        <v>0</v>
      </c>
      <c r="AL3" s="3">
        <v>0</v>
      </c>
      <c r="AM3" s="2">
        <v>0</v>
      </c>
      <c r="AN3" s="2">
        <v>0</v>
      </c>
      <c r="AO3" s="3">
        <v>0</v>
      </c>
      <c r="AP3" s="2">
        <v>0</v>
      </c>
      <c r="AQ3" s="2">
        <v>0</v>
      </c>
      <c r="AR3" s="3">
        <v>0</v>
      </c>
      <c r="AS3" s="2">
        <v>0</v>
      </c>
      <c r="AT3" s="2">
        <v>0</v>
      </c>
      <c r="AU3" s="3">
        <v>0</v>
      </c>
      <c r="AV3" s="2">
        <v>0</v>
      </c>
      <c r="AW3" s="2">
        <v>0</v>
      </c>
      <c r="AX3" s="3">
        <v>0</v>
      </c>
      <c r="AY3" s="2">
        <v>0</v>
      </c>
      <c r="AZ3" s="2">
        <v>0</v>
      </c>
      <c r="BA3" s="3">
        <v>0</v>
      </c>
      <c r="BB3" s="2">
        <v>0</v>
      </c>
      <c r="BC3" s="2">
        <v>0</v>
      </c>
      <c r="BD3" s="3">
        <v>0</v>
      </c>
      <c r="BE3" s="2">
        <v>0</v>
      </c>
      <c r="BF3" s="2">
        <v>0</v>
      </c>
      <c r="BG3" s="3">
        <v>0</v>
      </c>
      <c r="BH3" s="2">
        <v>0</v>
      </c>
      <c r="BI3" s="2">
        <v>0</v>
      </c>
      <c r="BJ3" s="3">
        <v>0</v>
      </c>
      <c r="BK3" s="2">
        <v>0</v>
      </c>
      <c r="BL3">
        <v>0</v>
      </c>
    </row>
    <row r="4" spans="1:64" ht="15.5" x14ac:dyDescent="0.35">
      <c r="A4" t="s">
        <v>66</v>
      </c>
      <c r="B4" s="2">
        <v>0</v>
      </c>
      <c r="C4" s="2">
        <v>0</v>
      </c>
      <c r="D4" s="2">
        <v>0</v>
      </c>
      <c r="E4" s="3">
        <v>0</v>
      </c>
      <c r="F4" s="2">
        <v>0</v>
      </c>
      <c r="G4" s="2">
        <v>0</v>
      </c>
      <c r="H4" s="3">
        <v>0</v>
      </c>
      <c r="I4" s="2">
        <v>0</v>
      </c>
      <c r="J4" s="2">
        <v>0</v>
      </c>
      <c r="K4" s="3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3">
        <v>0</v>
      </c>
      <c r="R4" s="2">
        <v>0</v>
      </c>
      <c r="S4" s="2">
        <v>0</v>
      </c>
      <c r="T4" s="3">
        <v>0</v>
      </c>
      <c r="U4" s="2">
        <v>0</v>
      </c>
      <c r="V4" s="2">
        <v>0</v>
      </c>
      <c r="W4" s="3">
        <v>0</v>
      </c>
      <c r="X4" s="2">
        <v>0</v>
      </c>
      <c r="Y4" s="2">
        <v>0</v>
      </c>
      <c r="Z4" s="3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3">
        <v>0</v>
      </c>
      <c r="AG4" s="2">
        <v>0</v>
      </c>
      <c r="AH4" s="2">
        <v>0</v>
      </c>
      <c r="AI4" s="3">
        <v>0</v>
      </c>
      <c r="AJ4" s="2">
        <v>0</v>
      </c>
      <c r="AK4" s="2">
        <v>0</v>
      </c>
      <c r="AL4" s="3">
        <v>0</v>
      </c>
      <c r="AM4" s="2">
        <v>0</v>
      </c>
      <c r="AN4" s="2">
        <v>0</v>
      </c>
      <c r="AO4" s="3">
        <v>0</v>
      </c>
      <c r="AP4" s="2">
        <v>0</v>
      </c>
      <c r="AQ4" s="2">
        <v>0</v>
      </c>
      <c r="AR4" s="3">
        <v>0</v>
      </c>
      <c r="AS4" s="2">
        <v>0</v>
      </c>
      <c r="AT4" s="2">
        <v>0</v>
      </c>
      <c r="AU4" s="3">
        <v>0</v>
      </c>
      <c r="AV4" s="2">
        <v>0</v>
      </c>
      <c r="AW4" s="2">
        <v>0</v>
      </c>
      <c r="AX4" s="3">
        <v>0</v>
      </c>
      <c r="AY4" s="2">
        <v>0</v>
      </c>
      <c r="AZ4" s="2">
        <v>0</v>
      </c>
      <c r="BA4" s="3">
        <v>0</v>
      </c>
      <c r="BB4" s="2">
        <v>0</v>
      </c>
      <c r="BC4" s="2">
        <v>0</v>
      </c>
      <c r="BD4" s="3">
        <v>0</v>
      </c>
      <c r="BE4" s="2">
        <v>0</v>
      </c>
      <c r="BF4" s="2">
        <v>0</v>
      </c>
      <c r="BG4" s="3">
        <v>0</v>
      </c>
      <c r="BH4" s="2">
        <v>0</v>
      </c>
      <c r="BI4" s="2">
        <v>0</v>
      </c>
      <c r="BJ4" s="3">
        <v>0</v>
      </c>
      <c r="BK4" s="2">
        <v>0</v>
      </c>
      <c r="BL4">
        <v>0</v>
      </c>
    </row>
    <row r="5" spans="1:64" ht="15.5" x14ac:dyDescent="0.35">
      <c r="A5" t="s">
        <v>67</v>
      </c>
      <c r="B5" s="2">
        <v>838392.01000000013</v>
      </c>
      <c r="C5" s="2">
        <v>838392.01000000013</v>
      </c>
      <c r="D5" s="2">
        <v>838392.01000000013</v>
      </c>
      <c r="E5" s="3">
        <v>838392.01000000013</v>
      </c>
      <c r="F5" s="2">
        <v>838392.01000000013</v>
      </c>
      <c r="G5" s="2">
        <v>838392.01000000013</v>
      </c>
      <c r="H5" s="3">
        <v>838392.01000000013</v>
      </c>
      <c r="I5" s="2">
        <v>838392.01000000013</v>
      </c>
      <c r="J5" s="2">
        <v>838392.01000000013</v>
      </c>
      <c r="K5" s="3">
        <v>838392.01000000013</v>
      </c>
      <c r="L5" s="2">
        <v>838392.01000000013</v>
      </c>
      <c r="M5" s="2">
        <v>838392.01000000013</v>
      </c>
      <c r="N5" s="3">
        <v>838392.01000000013</v>
      </c>
      <c r="O5" s="2">
        <v>838392.01000000013</v>
      </c>
      <c r="P5" s="2">
        <v>838392.01000000013</v>
      </c>
      <c r="Q5" s="3">
        <v>838392.01000000013</v>
      </c>
      <c r="R5" s="2">
        <v>838392.01000000013</v>
      </c>
      <c r="S5" s="2">
        <v>838392.01000000013</v>
      </c>
      <c r="T5" s="3">
        <v>838392.01000000013</v>
      </c>
      <c r="U5" s="2">
        <v>838392.01000000013</v>
      </c>
      <c r="V5" s="2">
        <v>838392.01000000013</v>
      </c>
      <c r="W5" s="3">
        <v>838392.01000000013</v>
      </c>
      <c r="X5" s="2">
        <v>838392.01000000013</v>
      </c>
      <c r="Y5" s="2">
        <v>838392.01000000013</v>
      </c>
      <c r="Z5" s="3">
        <v>838392.01000000013</v>
      </c>
      <c r="AA5" s="2">
        <v>838392.01000000013</v>
      </c>
      <c r="AB5" s="2">
        <v>838392.01000000013</v>
      </c>
      <c r="AC5" s="3">
        <v>838392.01000000013</v>
      </c>
      <c r="AD5" s="2">
        <v>838392.01000000013</v>
      </c>
      <c r="AE5" s="2">
        <v>838392.01000000013</v>
      </c>
      <c r="AF5" s="3">
        <v>838392.01000000013</v>
      </c>
      <c r="AG5" s="2">
        <v>838392.01000000013</v>
      </c>
      <c r="AH5" s="2">
        <v>838392.01000000013</v>
      </c>
      <c r="AI5" s="3">
        <v>838392.01000000013</v>
      </c>
      <c r="AJ5" s="2">
        <v>838392.01000000013</v>
      </c>
      <c r="AK5" s="2">
        <v>838392.01000000013</v>
      </c>
      <c r="AL5" s="3">
        <v>838392.01000000013</v>
      </c>
      <c r="AM5" s="2">
        <v>838392.01000000013</v>
      </c>
      <c r="AN5" s="2">
        <v>838392.01000000013</v>
      </c>
      <c r="AO5" s="3">
        <v>838392.01000000013</v>
      </c>
      <c r="AP5" s="2">
        <v>838392.01000000013</v>
      </c>
      <c r="AQ5" s="2">
        <v>838392.01000000013</v>
      </c>
      <c r="AR5" s="3">
        <v>838392.01000000013</v>
      </c>
      <c r="AS5" s="2">
        <v>838392.01000000013</v>
      </c>
      <c r="AT5" s="2">
        <v>838392.01000000013</v>
      </c>
      <c r="AU5" s="3">
        <v>838392.01000000013</v>
      </c>
      <c r="AV5" s="2">
        <v>455445.89000000007</v>
      </c>
      <c r="AW5" s="2">
        <v>399489.59000000008</v>
      </c>
      <c r="AX5" s="3">
        <v>363924.52000000008</v>
      </c>
      <c r="AY5" s="2">
        <v>363924.52000000008</v>
      </c>
      <c r="AZ5" s="2">
        <v>363924.52000000008</v>
      </c>
      <c r="BA5" s="3">
        <v>55956.3</v>
      </c>
      <c r="BB5" s="2">
        <v>55956.3</v>
      </c>
      <c r="BC5" s="2">
        <v>55956.3</v>
      </c>
      <c r="BD5" s="3">
        <v>55956.3</v>
      </c>
      <c r="BE5" s="2">
        <v>55956.3</v>
      </c>
      <c r="BF5" s="2">
        <v>55956.3</v>
      </c>
      <c r="BG5" s="3">
        <v>55956.3</v>
      </c>
      <c r="BH5" s="2">
        <v>55956.3</v>
      </c>
      <c r="BI5" s="2">
        <v>0</v>
      </c>
      <c r="BJ5" s="3">
        <v>0</v>
      </c>
      <c r="BK5" s="2">
        <v>0</v>
      </c>
      <c r="BL5">
        <v>0</v>
      </c>
    </row>
    <row r="6" spans="1:64" ht="15.5" x14ac:dyDescent="0.35">
      <c r="A6" t="s">
        <v>68</v>
      </c>
      <c r="B6" s="2">
        <v>297070.91000000009</v>
      </c>
      <c r="C6" s="2">
        <v>297070.91000000009</v>
      </c>
      <c r="D6" s="2">
        <v>297070.91000000009</v>
      </c>
      <c r="E6" s="3">
        <v>297070.91000000009</v>
      </c>
      <c r="F6" s="2">
        <v>297070.91000000009</v>
      </c>
      <c r="G6" s="2">
        <v>297070.91000000009</v>
      </c>
      <c r="H6" s="3">
        <v>297070.91000000009</v>
      </c>
      <c r="I6" s="2">
        <v>297070.91000000009</v>
      </c>
      <c r="J6" s="2">
        <v>297070.91000000009</v>
      </c>
      <c r="K6" s="3">
        <v>297070.91000000009</v>
      </c>
      <c r="L6" s="2">
        <v>297070.91000000009</v>
      </c>
      <c r="M6" s="2">
        <v>297070.91000000009</v>
      </c>
      <c r="N6" s="3">
        <v>297070.91000000009</v>
      </c>
      <c r="O6" s="2">
        <v>297070.91000000009</v>
      </c>
      <c r="P6" s="2">
        <v>297070.91000000009</v>
      </c>
      <c r="Q6" s="3">
        <v>297070.91000000009</v>
      </c>
      <c r="R6" s="2">
        <v>297070.91000000009</v>
      </c>
      <c r="S6" s="2">
        <v>297070.91000000009</v>
      </c>
      <c r="T6" s="3">
        <v>297070.91000000009</v>
      </c>
      <c r="U6" s="2">
        <v>297070.91000000009</v>
      </c>
      <c r="V6" s="2">
        <v>297070.91000000009</v>
      </c>
      <c r="W6" s="3">
        <v>297070.91000000009</v>
      </c>
      <c r="X6" s="2">
        <v>297070.91000000009</v>
      </c>
      <c r="Y6" s="2">
        <v>297070.91000000009</v>
      </c>
      <c r="Z6" s="3">
        <v>297070.91000000009</v>
      </c>
      <c r="AA6" s="2">
        <v>297070.91000000009</v>
      </c>
      <c r="AB6" s="2">
        <v>297070.91000000009</v>
      </c>
      <c r="AC6" s="3">
        <v>297070.91000000009</v>
      </c>
      <c r="AD6" s="2">
        <v>297070.91000000009</v>
      </c>
      <c r="AE6" s="2">
        <v>297070.91000000009</v>
      </c>
      <c r="AF6" s="3">
        <v>297070.91000000009</v>
      </c>
      <c r="AG6" s="2">
        <v>297070.91000000009</v>
      </c>
      <c r="AH6" s="2">
        <v>297070.91000000009</v>
      </c>
      <c r="AI6" s="3">
        <v>297070.91000000009</v>
      </c>
      <c r="AJ6" s="2">
        <v>297070.91000000009</v>
      </c>
      <c r="AK6" s="2">
        <v>297070.91000000009</v>
      </c>
      <c r="AL6" s="3">
        <v>297070.91000000009</v>
      </c>
      <c r="AM6" s="2">
        <v>297070.91000000009</v>
      </c>
      <c r="AN6" s="2">
        <v>297070.91000000009</v>
      </c>
      <c r="AO6" s="3">
        <v>297070.91000000009</v>
      </c>
      <c r="AP6" s="2">
        <v>297070.91000000009</v>
      </c>
      <c r="AQ6" s="2">
        <v>297070.91000000009</v>
      </c>
      <c r="AR6" s="3">
        <v>297070.91000000009</v>
      </c>
      <c r="AS6" s="2">
        <v>297070.91000000009</v>
      </c>
      <c r="AT6" s="2">
        <v>297070.91000000009</v>
      </c>
      <c r="AU6" s="3">
        <v>297070.91000000009</v>
      </c>
      <c r="AV6" s="2">
        <v>164474.49</v>
      </c>
      <c r="AW6" s="2">
        <v>144617.69</v>
      </c>
      <c r="AX6" s="3">
        <v>130237.42</v>
      </c>
      <c r="AY6" s="2">
        <v>130237.42</v>
      </c>
      <c r="AZ6" s="2">
        <v>130237.42</v>
      </c>
      <c r="BA6" s="3">
        <v>18484.939999999999</v>
      </c>
      <c r="BB6" s="2">
        <v>18484.939999999999</v>
      </c>
      <c r="BC6" s="2">
        <v>18484.939999999999</v>
      </c>
      <c r="BD6" s="3">
        <v>18484.939999999999</v>
      </c>
      <c r="BE6" s="2">
        <v>18484.939999999999</v>
      </c>
      <c r="BF6" s="2">
        <v>18484.939999999999</v>
      </c>
      <c r="BG6" s="3">
        <v>18484.939999999999</v>
      </c>
      <c r="BH6" s="2">
        <v>18484.939999999999</v>
      </c>
      <c r="BI6" s="2">
        <v>0</v>
      </c>
      <c r="BJ6" s="3">
        <v>0</v>
      </c>
      <c r="BK6" s="2">
        <v>0</v>
      </c>
      <c r="BL6">
        <v>0</v>
      </c>
    </row>
    <row r="7" spans="1:64" ht="15.5" x14ac:dyDescent="0.35">
      <c r="A7" t="s">
        <v>69</v>
      </c>
      <c r="B7" s="2">
        <v>223196.6699999999</v>
      </c>
      <c r="C7" s="2">
        <v>223196.6699999999</v>
      </c>
      <c r="D7" s="2">
        <v>223196.6699999999</v>
      </c>
      <c r="E7" s="3">
        <v>223196.6699999999</v>
      </c>
      <c r="F7" s="2">
        <v>223196.6699999999</v>
      </c>
      <c r="G7" s="2">
        <v>223196.6699999999</v>
      </c>
      <c r="H7" s="3">
        <v>223196.6699999999</v>
      </c>
      <c r="I7" s="2">
        <v>223196.6699999999</v>
      </c>
      <c r="J7" s="2">
        <v>223196.6699999999</v>
      </c>
      <c r="K7" s="3">
        <v>223196.6699999999</v>
      </c>
      <c r="L7" s="2">
        <v>223196.6699999999</v>
      </c>
      <c r="M7" s="2">
        <v>223196.6699999999</v>
      </c>
      <c r="N7" s="3">
        <v>223196.6699999999</v>
      </c>
      <c r="O7" s="2">
        <v>223196.6699999999</v>
      </c>
      <c r="P7" s="2">
        <v>223196.6699999999</v>
      </c>
      <c r="Q7" s="3">
        <v>223196.6699999999</v>
      </c>
      <c r="R7" s="2">
        <v>223196.6699999999</v>
      </c>
      <c r="S7" s="2">
        <v>223196.6699999999</v>
      </c>
      <c r="T7" s="3">
        <v>223196.6699999999</v>
      </c>
      <c r="U7" s="2">
        <v>223196.6699999999</v>
      </c>
      <c r="V7" s="2">
        <v>223196.6699999999</v>
      </c>
      <c r="W7" s="3">
        <v>223196.6699999999</v>
      </c>
      <c r="X7" s="2">
        <v>223196.6699999999</v>
      </c>
      <c r="Y7" s="2">
        <v>223196.6699999999</v>
      </c>
      <c r="Z7" s="3">
        <v>223196.6699999999</v>
      </c>
      <c r="AA7" s="2">
        <v>223196.6699999999</v>
      </c>
      <c r="AB7" s="2">
        <v>223196.6699999999</v>
      </c>
      <c r="AC7" s="3">
        <v>223196.6699999999</v>
      </c>
      <c r="AD7" s="2">
        <v>223196.6699999999</v>
      </c>
      <c r="AE7" s="2">
        <v>223196.6699999999</v>
      </c>
      <c r="AF7" s="3">
        <v>223196.6699999999</v>
      </c>
      <c r="AG7" s="2">
        <v>223196.6699999999</v>
      </c>
      <c r="AH7" s="2">
        <v>223196.6699999999</v>
      </c>
      <c r="AI7" s="3">
        <v>223196.6699999999</v>
      </c>
      <c r="AJ7" s="2">
        <v>223196.6699999999</v>
      </c>
      <c r="AK7" s="2">
        <v>223196.6699999999</v>
      </c>
      <c r="AL7" s="3">
        <v>223196.6699999999</v>
      </c>
      <c r="AM7" s="2">
        <v>223196.6699999999</v>
      </c>
      <c r="AN7" s="2">
        <v>223196.6699999999</v>
      </c>
      <c r="AO7" s="3">
        <v>223196.6699999999</v>
      </c>
      <c r="AP7" s="2">
        <v>223196.6699999999</v>
      </c>
      <c r="AQ7" s="2">
        <v>223196.6699999999</v>
      </c>
      <c r="AR7" s="3">
        <v>223196.6699999999</v>
      </c>
      <c r="AS7" s="2">
        <v>223196.6699999999</v>
      </c>
      <c r="AT7" s="2">
        <v>223196.6699999999</v>
      </c>
      <c r="AU7" s="3">
        <v>223196.6699999999</v>
      </c>
      <c r="AV7" s="2">
        <v>114625.78</v>
      </c>
      <c r="AW7" s="2">
        <v>97105.749999999985</v>
      </c>
      <c r="AX7" s="3">
        <v>86282.699999999983</v>
      </c>
      <c r="AY7" s="2">
        <v>86282.699999999983</v>
      </c>
      <c r="AZ7" s="2">
        <v>86282.699999999983</v>
      </c>
      <c r="BA7" s="3">
        <v>14429.94</v>
      </c>
      <c r="BB7" s="2">
        <v>14429.94</v>
      </c>
      <c r="BC7" s="2">
        <v>14429.94</v>
      </c>
      <c r="BD7" s="3">
        <v>14429.94</v>
      </c>
      <c r="BE7" s="2">
        <v>14429.94</v>
      </c>
      <c r="BF7" s="2">
        <v>14429.94</v>
      </c>
      <c r="BG7" s="3">
        <v>14429.94</v>
      </c>
      <c r="BH7" s="2">
        <v>14429.94</v>
      </c>
      <c r="BI7" s="2">
        <v>0</v>
      </c>
      <c r="BJ7" s="3">
        <v>0</v>
      </c>
      <c r="BK7" s="2">
        <v>0</v>
      </c>
      <c r="BL7">
        <v>0</v>
      </c>
    </row>
    <row r="8" spans="1:64" ht="15.5" x14ac:dyDescent="0.35">
      <c r="A8" t="s">
        <v>70</v>
      </c>
      <c r="B8" s="2">
        <v>47491.98</v>
      </c>
      <c r="C8" s="2">
        <v>47491.98</v>
      </c>
      <c r="D8" s="2">
        <v>47491.98</v>
      </c>
      <c r="E8" s="3">
        <v>47491.98</v>
      </c>
      <c r="F8" s="2">
        <v>47491.98</v>
      </c>
      <c r="G8" s="2">
        <v>47491.98</v>
      </c>
      <c r="H8" s="3">
        <v>47491.98</v>
      </c>
      <c r="I8" s="2">
        <v>47491.98</v>
      </c>
      <c r="J8" s="2">
        <v>47491.98</v>
      </c>
      <c r="K8" s="3">
        <v>47491.98</v>
      </c>
      <c r="L8" s="2">
        <v>47491.98</v>
      </c>
      <c r="M8" s="2">
        <v>47491.98</v>
      </c>
      <c r="N8" s="3">
        <v>47491.98</v>
      </c>
      <c r="O8" s="2">
        <v>47491.98</v>
      </c>
      <c r="P8" s="2">
        <v>47491.98</v>
      </c>
      <c r="Q8" s="3">
        <v>47491.98</v>
      </c>
      <c r="R8" s="2">
        <v>47491.98</v>
      </c>
      <c r="S8" s="2">
        <v>47491.98</v>
      </c>
      <c r="T8" s="3">
        <v>47491.98</v>
      </c>
      <c r="U8" s="2">
        <v>47491.98</v>
      </c>
      <c r="V8" s="2">
        <v>47491.98</v>
      </c>
      <c r="W8" s="3">
        <v>47491.98</v>
      </c>
      <c r="X8" s="2">
        <v>47491.98</v>
      </c>
      <c r="Y8" s="2">
        <v>47491.98</v>
      </c>
      <c r="Z8" s="3">
        <v>47491.98</v>
      </c>
      <c r="AA8" s="2">
        <v>47491.98</v>
      </c>
      <c r="AB8" s="2">
        <v>47491.98</v>
      </c>
      <c r="AC8" s="3">
        <v>47491.98</v>
      </c>
      <c r="AD8" s="2">
        <v>47491.98</v>
      </c>
      <c r="AE8" s="2">
        <v>47491.98</v>
      </c>
      <c r="AF8" s="3">
        <v>47491.98</v>
      </c>
      <c r="AG8" s="2">
        <v>47491.98</v>
      </c>
      <c r="AH8" s="2">
        <v>47491.98</v>
      </c>
      <c r="AI8" s="3">
        <v>47491.98</v>
      </c>
      <c r="AJ8" s="2">
        <v>47491.98</v>
      </c>
      <c r="AK8" s="2">
        <v>47491.98</v>
      </c>
      <c r="AL8" s="3">
        <v>47491.98</v>
      </c>
      <c r="AM8" s="2">
        <v>47491.98</v>
      </c>
      <c r="AN8" s="2">
        <v>47491.98</v>
      </c>
      <c r="AO8" s="3">
        <v>47491.98</v>
      </c>
      <c r="AP8" s="2">
        <v>47491.98</v>
      </c>
      <c r="AQ8" s="2">
        <v>47491.98</v>
      </c>
      <c r="AR8" s="3">
        <v>47491.98</v>
      </c>
      <c r="AS8" s="2">
        <v>47491.98</v>
      </c>
      <c r="AT8" s="2">
        <v>47491.98</v>
      </c>
      <c r="AU8" s="3">
        <v>47491.98</v>
      </c>
      <c r="AV8" s="2">
        <v>27943.5</v>
      </c>
      <c r="AW8" s="2">
        <v>25594.69</v>
      </c>
      <c r="AX8" s="3">
        <v>24361.68</v>
      </c>
      <c r="AY8" s="2">
        <v>24361.68</v>
      </c>
      <c r="AZ8" s="2">
        <v>24361.68</v>
      </c>
      <c r="BA8" s="3">
        <v>2719.08</v>
      </c>
      <c r="BB8" s="2">
        <v>2719.08</v>
      </c>
      <c r="BC8" s="2">
        <v>2719.08</v>
      </c>
      <c r="BD8" s="3">
        <v>2719.08</v>
      </c>
      <c r="BE8" s="2">
        <v>2719.08</v>
      </c>
      <c r="BF8" s="2">
        <v>2719.08</v>
      </c>
      <c r="BG8" s="3">
        <v>2719.08</v>
      </c>
      <c r="BH8" s="2">
        <v>2719.08</v>
      </c>
      <c r="BI8" s="2">
        <v>0</v>
      </c>
      <c r="BJ8" s="3">
        <v>0</v>
      </c>
      <c r="BK8" s="2">
        <v>0</v>
      </c>
      <c r="BL8">
        <v>0</v>
      </c>
    </row>
    <row r="9" spans="1:64" ht="15.5" x14ac:dyDescent="0.35">
      <c r="A9" t="s">
        <v>71</v>
      </c>
      <c r="B9" s="2">
        <v>1889014.030000001</v>
      </c>
      <c r="C9" s="2">
        <v>1889014.030000001</v>
      </c>
      <c r="D9" s="2">
        <v>1889014.030000001</v>
      </c>
      <c r="E9" s="3">
        <v>1889014.030000001</v>
      </c>
      <c r="F9" s="2">
        <v>1889014.030000001</v>
      </c>
      <c r="G9" s="2">
        <v>1889014.030000001</v>
      </c>
      <c r="H9" s="3">
        <v>1889014.030000001</v>
      </c>
      <c r="I9" s="2">
        <v>1889014.030000001</v>
      </c>
      <c r="J9" s="2">
        <v>1889014.030000001</v>
      </c>
      <c r="K9" s="3">
        <v>1889014.030000001</v>
      </c>
      <c r="L9" s="2">
        <v>1889014.030000001</v>
      </c>
      <c r="M9" s="2">
        <v>1889014.030000001</v>
      </c>
      <c r="N9" s="3">
        <v>1889014.030000001</v>
      </c>
      <c r="O9" s="2">
        <v>1889014.030000001</v>
      </c>
      <c r="P9" s="2">
        <v>1889014.030000001</v>
      </c>
      <c r="Q9" s="3">
        <v>1889014.030000001</v>
      </c>
      <c r="R9" s="2">
        <v>1889014.030000001</v>
      </c>
      <c r="S9" s="2">
        <v>1889014.030000001</v>
      </c>
      <c r="T9" s="3">
        <v>1889014.030000001</v>
      </c>
      <c r="U9" s="2">
        <v>1889014.030000001</v>
      </c>
      <c r="V9" s="2">
        <v>1889014.030000001</v>
      </c>
      <c r="W9" s="3">
        <v>1889014.030000001</v>
      </c>
      <c r="X9" s="2">
        <v>1889014.030000001</v>
      </c>
      <c r="Y9" s="2">
        <v>1889014.030000001</v>
      </c>
      <c r="Z9" s="3">
        <v>1889014.030000001</v>
      </c>
      <c r="AA9" s="2">
        <v>1889014.030000001</v>
      </c>
      <c r="AB9" s="2">
        <v>1889014.030000001</v>
      </c>
      <c r="AC9" s="3">
        <v>1889014.030000001</v>
      </c>
      <c r="AD9" s="2">
        <v>1889014.030000001</v>
      </c>
      <c r="AE9" s="2">
        <v>1889014.030000001</v>
      </c>
      <c r="AF9" s="3">
        <v>1889014.030000001</v>
      </c>
      <c r="AG9" s="2">
        <v>1889014.030000001</v>
      </c>
      <c r="AH9" s="2">
        <v>1889014.030000001</v>
      </c>
      <c r="AI9" s="3">
        <v>1889014.030000001</v>
      </c>
      <c r="AJ9" s="2">
        <v>1889014.030000001</v>
      </c>
      <c r="AK9" s="2">
        <v>1889014.030000001</v>
      </c>
      <c r="AL9" s="3">
        <v>1889014.030000001</v>
      </c>
      <c r="AM9" s="2">
        <v>1889014.030000001</v>
      </c>
      <c r="AN9" s="2">
        <v>1889014.030000001</v>
      </c>
      <c r="AO9" s="3">
        <v>1889014.030000001</v>
      </c>
      <c r="AP9" s="2">
        <v>1889014.030000001</v>
      </c>
      <c r="AQ9" s="2">
        <v>1889014.030000001</v>
      </c>
      <c r="AR9" s="3">
        <v>1889014.030000001</v>
      </c>
      <c r="AS9" s="2">
        <v>1889014.030000001</v>
      </c>
      <c r="AT9" s="2">
        <v>1889014.030000001</v>
      </c>
      <c r="AU9" s="3">
        <v>1889014.030000001</v>
      </c>
      <c r="AV9" s="2">
        <v>911564.67999999993</v>
      </c>
      <c r="AW9" s="2">
        <v>755759.5</v>
      </c>
      <c r="AX9" s="3">
        <v>686423.67999999993</v>
      </c>
      <c r="AY9" s="2">
        <v>686423.67999999993</v>
      </c>
      <c r="AZ9" s="2">
        <v>686423.67999999993</v>
      </c>
      <c r="BA9" s="3">
        <v>28724.68</v>
      </c>
      <c r="BB9" s="2">
        <v>28724.68</v>
      </c>
      <c r="BC9" s="2">
        <v>28724.68</v>
      </c>
      <c r="BD9" s="3">
        <v>28724.68</v>
      </c>
      <c r="BE9" s="2">
        <v>28724.68</v>
      </c>
      <c r="BF9" s="2">
        <v>28724.68</v>
      </c>
      <c r="BG9" s="3">
        <v>28724.68</v>
      </c>
      <c r="BH9" s="2">
        <v>28724.68</v>
      </c>
      <c r="BI9" s="2">
        <v>0</v>
      </c>
      <c r="BJ9" s="3">
        <v>0</v>
      </c>
      <c r="BK9" s="2">
        <v>0</v>
      </c>
      <c r="BL9">
        <v>0</v>
      </c>
    </row>
    <row r="10" spans="1:64" ht="15.5" x14ac:dyDescent="0.35">
      <c r="A10" t="s">
        <v>72</v>
      </c>
      <c r="B10" s="2">
        <v>1413620.64</v>
      </c>
      <c r="C10" s="2">
        <v>1413620.64</v>
      </c>
      <c r="D10" s="2">
        <v>1413620.64</v>
      </c>
      <c r="E10" s="3">
        <v>1413620.64</v>
      </c>
      <c r="F10" s="2">
        <v>1413620.64</v>
      </c>
      <c r="G10" s="2">
        <v>1413620.64</v>
      </c>
      <c r="H10" s="3">
        <v>1413620.64</v>
      </c>
      <c r="I10" s="2">
        <v>1413620.64</v>
      </c>
      <c r="J10" s="2">
        <v>1413620.64</v>
      </c>
      <c r="K10" s="3">
        <v>1413620.64</v>
      </c>
      <c r="L10" s="2">
        <v>1413620.64</v>
      </c>
      <c r="M10" s="2">
        <v>1413620.64</v>
      </c>
      <c r="N10" s="3">
        <v>1413620.64</v>
      </c>
      <c r="O10" s="2">
        <v>1413620.64</v>
      </c>
      <c r="P10" s="2">
        <v>1413620.64</v>
      </c>
      <c r="Q10" s="3">
        <v>1413620.64</v>
      </c>
      <c r="R10" s="2">
        <v>1413620.64</v>
      </c>
      <c r="S10" s="2">
        <v>1413620.64</v>
      </c>
      <c r="T10" s="3">
        <v>1413620.64</v>
      </c>
      <c r="U10" s="2">
        <v>1413620.64</v>
      </c>
      <c r="V10" s="2">
        <v>1413620.64</v>
      </c>
      <c r="W10" s="3">
        <v>1413620.64</v>
      </c>
      <c r="X10" s="2">
        <v>1413620.64</v>
      </c>
      <c r="Y10" s="2">
        <v>1413620.64</v>
      </c>
      <c r="Z10" s="3">
        <v>1413620.64</v>
      </c>
      <c r="AA10" s="2">
        <v>1413620.64</v>
      </c>
      <c r="AB10" s="2">
        <v>1413620.64</v>
      </c>
      <c r="AC10" s="3">
        <v>1413620.64</v>
      </c>
      <c r="AD10" s="2">
        <v>1413620.64</v>
      </c>
      <c r="AE10" s="2">
        <v>1413620.64</v>
      </c>
      <c r="AF10" s="3">
        <v>1413620.64</v>
      </c>
      <c r="AG10" s="2">
        <v>1413620.64</v>
      </c>
      <c r="AH10" s="2">
        <v>1413620.64</v>
      </c>
      <c r="AI10" s="3">
        <v>1413620.64</v>
      </c>
      <c r="AJ10" s="2">
        <v>1413620.64</v>
      </c>
      <c r="AK10" s="2">
        <v>1413620.64</v>
      </c>
      <c r="AL10" s="3">
        <v>1413620.64</v>
      </c>
      <c r="AM10" s="2">
        <v>1413620.64</v>
      </c>
      <c r="AN10" s="2">
        <v>1413620.64</v>
      </c>
      <c r="AO10" s="3">
        <v>1413620.64</v>
      </c>
      <c r="AP10" s="2">
        <v>1413620.64</v>
      </c>
      <c r="AQ10" s="2">
        <v>1413620.64</v>
      </c>
      <c r="AR10" s="3">
        <v>1413620.64</v>
      </c>
      <c r="AS10" s="2">
        <v>1413620.64</v>
      </c>
      <c r="AT10" s="2">
        <v>1413620.64</v>
      </c>
      <c r="AU10" s="3">
        <v>1413620.64</v>
      </c>
      <c r="AV10" s="2">
        <v>755434.54999999981</v>
      </c>
      <c r="AW10" s="2">
        <v>675942.74999999988</v>
      </c>
      <c r="AX10" s="3">
        <v>607682.28999999992</v>
      </c>
      <c r="AY10" s="2">
        <v>607682.28999999992</v>
      </c>
      <c r="AZ10" s="2">
        <v>607682.28999999992</v>
      </c>
      <c r="BA10" s="3">
        <v>28724.68</v>
      </c>
      <c r="BB10" s="2">
        <v>28724.68</v>
      </c>
      <c r="BC10" s="2">
        <v>28724.68</v>
      </c>
      <c r="BD10" s="3">
        <v>28724.68</v>
      </c>
      <c r="BE10" s="2">
        <v>28724.68</v>
      </c>
      <c r="BF10" s="2">
        <v>28724.68</v>
      </c>
      <c r="BG10" s="3">
        <v>28724.68</v>
      </c>
      <c r="BH10" s="2">
        <v>28724.68</v>
      </c>
      <c r="BI10" s="2">
        <v>0</v>
      </c>
      <c r="BJ10" s="3">
        <v>0</v>
      </c>
      <c r="BK10" s="2">
        <v>0</v>
      </c>
      <c r="BL10">
        <v>0</v>
      </c>
    </row>
    <row r="11" spans="1:64" ht="15.5" x14ac:dyDescent="0.35">
      <c r="A11" t="s">
        <v>73</v>
      </c>
      <c r="B11" s="2">
        <v>94240.48000000001</v>
      </c>
      <c r="C11" s="2">
        <v>94240.48000000001</v>
      </c>
      <c r="D11" s="2">
        <v>94240.48000000001</v>
      </c>
      <c r="E11" s="3">
        <v>94240.48000000001</v>
      </c>
      <c r="F11" s="2">
        <v>94240.48000000001</v>
      </c>
      <c r="G11" s="2">
        <v>94240.48000000001</v>
      </c>
      <c r="H11" s="3">
        <v>94240.48000000001</v>
      </c>
      <c r="I11" s="2">
        <v>94240.48000000001</v>
      </c>
      <c r="J11" s="2">
        <v>94240.48000000001</v>
      </c>
      <c r="K11" s="3">
        <v>94240.48000000001</v>
      </c>
      <c r="L11" s="2">
        <v>94240.48000000001</v>
      </c>
      <c r="M11" s="2">
        <v>94240.48000000001</v>
      </c>
      <c r="N11" s="3">
        <v>94240.48000000001</v>
      </c>
      <c r="O11" s="2">
        <v>94240.48000000001</v>
      </c>
      <c r="P11" s="2">
        <v>94240.48000000001</v>
      </c>
      <c r="Q11" s="3">
        <v>94240.48000000001</v>
      </c>
      <c r="R11" s="2">
        <v>94240.48000000001</v>
      </c>
      <c r="S11" s="2">
        <v>94240.48000000001</v>
      </c>
      <c r="T11" s="3">
        <v>94240.48000000001</v>
      </c>
      <c r="U11" s="2">
        <v>94240.48000000001</v>
      </c>
      <c r="V11" s="2">
        <v>94240.48000000001</v>
      </c>
      <c r="W11" s="3">
        <v>94240.48000000001</v>
      </c>
      <c r="X11" s="2">
        <v>94240.48000000001</v>
      </c>
      <c r="Y11" s="2">
        <v>94240.48000000001</v>
      </c>
      <c r="Z11" s="3">
        <v>94240.48000000001</v>
      </c>
      <c r="AA11" s="2">
        <v>94240.48000000001</v>
      </c>
      <c r="AB11" s="2">
        <v>94240.48000000001</v>
      </c>
      <c r="AC11" s="3">
        <v>94240.48000000001</v>
      </c>
      <c r="AD11" s="2">
        <v>94240.48000000001</v>
      </c>
      <c r="AE11" s="2">
        <v>94240.48000000001</v>
      </c>
      <c r="AF11" s="3">
        <v>94240.48000000001</v>
      </c>
      <c r="AG11" s="2">
        <v>94240.48000000001</v>
      </c>
      <c r="AH11" s="2">
        <v>94240.48000000001</v>
      </c>
      <c r="AI11" s="3">
        <v>94240.48000000001</v>
      </c>
      <c r="AJ11" s="2">
        <v>94240.48000000001</v>
      </c>
      <c r="AK11" s="2">
        <v>94240.48000000001</v>
      </c>
      <c r="AL11" s="3">
        <v>94240.48000000001</v>
      </c>
      <c r="AM11" s="2">
        <v>94240.48000000001</v>
      </c>
      <c r="AN11" s="2">
        <v>94240.48000000001</v>
      </c>
      <c r="AO11" s="3">
        <v>94240.48000000001</v>
      </c>
      <c r="AP11" s="2">
        <v>94240.48000000001</v>
      </c>
      <c r="AQ11" s="2">
        <v>94240.48000000001</v>
      </c>
      <c r="AR11" s="3">
        <v>94240.48000000001</v>
      </c>
      <c r="AS11" s="2">
        <v>94240.48000000001</v>
      </c>
      <c r="AT11" s="2">
        <v>94240.48000000001</v>
      </c>
      <c r="AU11" s="3">
        <v>94240.48000000001</v>
      </c>
      <c r="AV11" s="2">
        <v>52130.48</v>
      </c>
      <c r="AW11" s="2">
        <v>46450.48</v>
      </c>
      <c r="AX11" s="3">
        <v>42910.48</v>
      </c>
      <c r="AY11" s="2">
        <v>42910.48</v>
      </c>
      <c r="AZ11" s="2">
        <v>42910.48</v>
      </c>
      <c r="BA11" s="3">
        <v>5960</v>
      </c>
      <c r="BB11" s="2">
        <v>5960</v>
      </c>
      <c r="BC11" s="2">
        <v>5960</v>
      </c>
      <c r="BD11" s="3">
        <v>5960</v>
      </c>
      <c r="BE11" s="2">
        <v>5960</v>
      </c>
      <c r="BF11" s="2">
        <v>5960</v>
      </c>
      <c r="BG11" s="3">
        <v>5960</v>
      </c>
      <c r="BH11" s="2">
        <v>5960</v>
      </c>
      <c r="BI11" s="2">
        <v>0</v>
      </c>
      <c r="BJ11" s="3">
        <v>0</v>
      </c>
      <c r="BK11" s="2">
        <v>0</v>
      </c>
      <c r="BL11">
        <v>0</v>
      </c>
    </row>
    <row r="12" spans="1:64" ht="15.5" x14ac:dyDescent="0.35">
      <c r="A12" t="s">
        <v>74</v>
      </c>
      <c r="B12" s="2">
        <v>24377881.460000001</v>
      </c>
      <c r="C12" s="2">
        <v>24377881.460000001</v>
      </c>
      <c r="D12" s="2">
        <v>24377881.460000001</v>
      </c>
      <c r="E12" s="3">
        <v>24377881.460000001</v>
      </c>
      <c r="F12" s="2">
        <v>24377881.460000001</v>
      </c>
      <c r="G12" s="2">
        <v>24377881.460000001</v>
      </c>
      <c r="H12" s="3">
        <v>24377881.460000001</v>
      </c>
      <c r="I12" s="2">
        <v>24377881.460000001</v>
      </c>
      <c r="J12" s="2">
        <v>24377881.460000001</v>
      </c>
      <c r="K12" s="3">
        <v>24377881.460000001</v>
      </c>
      <c r="L12" s="2">
        <v>24377881.460000001</v>
      </c>
      <c r="M12" s="2">
        <v>24377881.460000001</v>
      </c>
      <c r="N12" s="3">
        <v>24377881.460000001</v>
      </c>
      <c r="O12" s="2">
        <v>24377881.460000001</v>
      </c>
      <c r="P12" s="2">
        <v>24377881.460000001</v>
      </c>
      <c r="Q12" s="3">
        <v>24377881.460000001</v>
      </c>
      <c r="R12" s="2">
        <v>24377881.460000001</v>
      </c>
      <c r="S12" s="2">
        <v>24377881.460000001</v>
      </c>
      <c r="T12" s="3">
        <v>24377881.460000001</v>
      </c>
      <c r="U12" s="2">
        <v>24377881.460000001</v>
      </c>
      <c r="V12" s="2">
        <v>24377881.460000001</v>
      </c>
      <c r="W12" s="3">
        <v>24377881.460000001</v>
      </c>
      <c r="X12" s="2">
        <v>24377881.460000001</v>
      </c>
      <c r="Y12" s="2">
        <v>24377881.460000001</v>
      </c>
      <c r="Z12" s="3">
        <v>24377881.460000001</v>
      </c>
      <c r="AA12" s="2">
        <v>24377881.460000001</v>
      </c>
      <c r="AB12" s="2">
        <v>24377881.460000001</v>
      </c>
      <c r="AC12" s="3">
        <v>24377881.460000001</v>
      </c>
      <c r="AD12" s="2">
        <v>24377881.460000001</v>
      </c>
      <c r="AE12" s="2">
        <v>24377881.460000001</v>
      </c>
      <c r="AF12" s="3">
        <v>24377881.460000001</v>
      </c>
      <c r="AG12" s="2">
        <v>24377881.460000001</v>
      </c>
      <c r="AH12" s="2">
        <v>24377881.460000001</v>
      </c>
      <c r="AI12" s="3">
        <v>24377881.460000001</v>
      </c>
      <c r="AJ12" s="2">
        <v>24377881.460000001</v>
      </c>
      <c r="AK12" s="2">
        <v>24377881.460000001</v>
      </c>
      <c r="AL12" s="3">
        <v>24377881.460000001</v>
      </c>
      <c r="AM12" s="2">
        <v>24377881.460000001</v>
      </c>
      <c r="AN12" s="2">
        <v>24377881.460000001</v>
      </c>
      <c r="AO12" s="3">
        <v>24377881.460000001</v>
      </c>
      <c r="AP12" s="2">
        <v>24377881.460000001</v>
      </c>
      <c r="AQ12" s="2">
        <v>24377881.460000001</v>
      </c>
      <c r="AR12" s="3">
        <v>24377881.460000001</v>
      </c>
      <c r="AS12" s="2">
        <v>24377881.460000001</v>
      </c>
      <c r="AT12" s="2">
        <v>24377881.460000001</v>
      </c>
      <c r="AU12" s="3">
        <v>24377881.460000001</v>
      </c>
      <c r="AV12" s="2">
        <v>12397449.75</v>
      </c>
      <c r="AW12" s="2">
        <v>10494257.65</v>
      </c>
      <c r="AX12" s="3">
        <v>9270048.1799999978</v>
      </c>
      <c r="AY12" s="2">
        <v>9270048.1799999978</v>
      </c>
      <c r="AZ12" s="2">
        <v>9270048.1799999978</v>
      </c>
      <c r="BA12" s="3">
        <v>1631457.22</v>
      </c>
      <c r="BB12" s="2">
        <v>1631457.22</v>
      </c>
      <c r="BC12" s="2">
        <v>1631457.22</v>
      </c>
      <c r="BD12" s="3">
        <v>1631457.22</v>
      </c>
      <c r="BE12" s="2">
        <v>1631457.22</v>
      </c>
      <c r="BF12" s="2">
        <v>1631457.22</v>
      </c>
      <c r="BG12" s="3">
        <v>1631457.22</v>
      </c>
      <c r="BH12" s="2">
        <v>1631457.22</v>
      </c>
      <c r="BI12" s="2">
        <v>0</v>
      </c>
      <c r="BJ12" s="3">
        <v>0</v>
      </c>
      <c r="BK12" s="2">
        <v>0</v>
      </c>
      <c r="BL12">
        <v>0</v>
      </c>
    </row>
    <row r="13" spans="1:64" ht="15.5" x14ac:dyDescent="0.35">
      <c r="A13" t="s">
        <v>75</v>
      </c>
      <c r="B13" s="2">
        <v>21339392.440000009</v>
      </c>
      <c r="C13" s="2">
        <v>21339392.440000009</v>
      </c>
      <c r="D13" s="2">
        <v>21042321.530000001</v>
      </c>
      <c r="E13" s="3">
        <v>20745250.620000001</v>
      </c>
      <c r="F13" s="2">
        <v>20448179.710000001</v>
      </c>
      <c r="G13" s="2">
        <v>20151108.800000001</v>
      </c>
      <c r="H13" s="3">
        <v>19854037.890000001</v>
      </c>
      <c r="I13" s="2">
        <v>19556966.98</v>
      </c>
      <c r="J13" s="2">
        <v>19259896.07</v>
      </c>
      <c r="K13" s="3">
        <v>18962825.16</v>
      </c>
      <c r="L13" s="2">
        <v>18665754.25</v>
      </c>
      <c r="M13" s="2">
        <v>18368683.34</v>
      </c>
      <c r="N13" s="3">
        <v>18071612.43</v>
      </c>
      <c r="O13" s="2">
        <v>17774541.52</v>
      </c>
      <c r="P13" s="2">
        <v>17477470.609999999</v>
      </c>
      <c r="Q13" s="3">
        <v>17180399.699999999</v>
      </c>
      <c r="R13" s="2">
        <v>16883328.789999999</v>
      </c>
      <c r="S13" s="2">
        <v>16586257.880000001</v>
      </c>
      <c r="T13" s="3">
        <v>16289186.970000001</v>
      </c>
      <c r="U13" s="2">
        <v>15992116.060000001</v>
      </c>
      <c r="V13" s="2">
        <v>15695045.15</v>
      </c>
      <c r="W13" s="3">
        <v>15397974.24</v>
      </c>
      <c r="X13" s="2">
        <v>15100903.33</v>
      </c>
      <c r="Y13" s="2">
        <v>14803832.42</v>
      </c>
      <c r="Z13" s="3">
        <v>14506761.51</v>
      </c>
      <c r="AA13" s="2">
        <v>14209690.6</v>
      </c>
      <c r="AB13" s="2">
        <v>13912619.689999999</v>
      </c>
      <c r="AC13" s="3">
        <v>13615548.779999999</v>
      </c>
      <c r="AD13" s="2">
        <v>13318477.869999999</v>
      </c>
      <c r="AE13" s="2">
        <v>13021406.960000001</v>
      </c>
      <c r="AF13" s="3">
        <v>12724336.050000001</v>
      </c>
      <c r="AG13" s="2">
        <v>12427265.140000001</v>
      </c>
      <c r="AH13" s="2">
        <v>12130194.23</v>
      </c>
      <c r="AI13" s="3">
        <v>11833123.32</v>
      </c>
      <c r="AJ13" s="2">
        <v>11536052.41</v>
      </c>
      <c r="AK13" s="2">
        <v>11238981.5</v>
      </c>
      <c r="AL13" s="3">
        <v>10941910.59</v>
      </c>
      <c r="AM13" s="2">
        <v>10644839.68</v>
      </c>
      <c r="AN13" s="2">
        <v>10347768.77</v>
      </c>
      <c r="AO13" s="3">
        <v>10050697.859999999</v>
      </c>
      <c r="AP13" s="2">
        <v>9753626.9500000011</v>
      </c>
      <c r="AQ13" s="2">
        <v>9456556.040000001</v>
      </c>
      <c r="AR13" s="3">
        <v>9159485.1300000008</v>
      </c>
      <c r="AS13" s="2">
        <v>8862414.2200000007</v>
      </c>
      <c r="AT13" s="2">
        <v>8565343.3100000005</v>
      </c>
      <c r="AU13" s="3">
        <v>8268272.4000000004</v>
      </c>
      <c r="AV13" s="2">
        <v>3553031.1599999978</v>
      </c>
      <c r="AW13" s="2">
        <v>2648869.2099999981</v>
      </c>
      <c r="AX13" s="3">
        <v>2124632.179999995</v>
      </c>
      <c r="AY13" s="2">
        <v>1994394.7599999949</v>
      </c>
      <c r="AZ13" s="2">
        <v>1864157.339999995</v>
      </c>
      <c r="BA13" s="3">
        <v>688725.28000000014</v>
      </c>
      <c r="BB13" s="2">
        <v>670240.34000000008</v>
      </c>
      <c r="BC13" s="2">
        <v>651755.40000000014</v>
      </c>
      <c r="BD13" s="3">
        <v>633270.46000000008</v>
      </c>
      <c r="BE13" s="2">
        <v>614785.52000000014</v>
      </c>
      <c r="BF13" s="2">
        <v>596300.58000000007</v>
      </c>
      <c r="BG13" s="3">
        <v>577815.64000000013</v>
      </c>
      <c r="BH13" s="2">
        <v>559330.70000000019</v>
      </c>
      <c r="BI13" s="2">
        <v>0</v>
      </c>
      <c r="BJ13" s="3">
        <v>0</v>
      </c>
      <c r="BK13" s="2">
        <v>0</v>
      </c>
      <c r="BL13">
        <v>0</v>
      </c>
    </row>
    <row r="14" spans="1:64" ht="15.5" x14ac:dyDescent="0.35">
      <c r="A14" t="s">
        <v>76</v>
      </c>
      <c r="B14" s="2">
        <v>0</v>
      </c>
      <c r="C14" s="2">
        <v>0</v>
      </c>
      <c r="D14" s="2">
        <v>0</v>
      </c>
      <c r="E14" s="3">
        <v>0</v>
      </c>
      <c r="F14" s="2">
        <v>0</v>
      </c>
      <c r="G14" s="2">
        <v>0</v>
      </c>
      <c r="H14" s="3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3">
        <v>0</v>
      </c>
      <c r="O14" s="2">
        <v>0</v>
      </c>
      <c r="P14" s="2">
        <v>0</v>
      </c>
      <c r="Q14" s="3">
        <v>0</v>
      </c>
      <c r="R14" s="2">
        <v>0</v>
      </c>
      <c r="S14" s="2">
        <v>0</v>
      </c>
      <c r="T14" s="3">
        <v>0</v>
      </c>
      <c r="U14" s="2">
        <v>0</v>
      </c>
      <c r="V14" s="2">
        <v>0</v>
      </c>
      <c r="W14" s="3">
        <v>0</v>
      </c>
      <c r="X14" s="2">
        <v>0</v>
      </c>
      <c r="Y14" s="2">
        <v>0</v>
      </c>
      <c r="Z14" s="3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3">
        <v>0</v>
      </c>
      <c r="AG14" s="2">
        <v>0</v>
      </c>
      <c r="AH14" s="2">
        <v>0</v>
      </c>
      <c r="AI14" s="3">
        <v>0</v>
      </c>
      <c r="AJ14" s="2">
        <v>0</v>
      </c>
      <c r="AK14" s="2">
        <v>0</v>
      </c>
      <c r="AL14" s="3">
        <v>0</v>
      </c>
      <c r="AM14" s="2">
        <v>0</v>
      </c>
      <c r="AN14" s="2">
        <v>0</v>
      </c>
      <c r="AO14" s="3">
        <v>0</v>
      </c>
      <c r="AP14" s="2">
        <v>0</v>
      </c>
      <c r="AQ14" s="2">
        <v>0</v>
      </c>
      <c r="AR14" s="3">
        <v>0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3">
        <v>0</v>
      </c>
      <c r="AY14" s="2">
        <v>0</v>
      </c>
      <c r="AZ14" s="2">
        <v>0</v>
      </c>
      <c r="BA14" s="3">
        <v>0</v>
      </c>
      <c r="BB14" s="2">
        <v>0</v>
      </c>
      <c r="BC14" s="2">
        <v>0</v>
      </c>
      <c r="BD14" s="3">
        <v>0</v>
      </c>
      <c r="BE14" s="2">
        <v>0</v>
      </c>
      <c r="BF14" s="2">
        <v>0</v>
      </c>
      <c r="BG14" s="3">
        <v>0</v>
      </c>
      <c r="BH14" s="2">
        <v>0</v>
      </c>
      <c r="BI14" s="2">
        <v>0</v>
      </c>
      <c r="BJ14" s="3">
        <v>0</v>
      </c>
      <c r="BK14" s="2">
        <v>0</v>
      </c>
      <c r="BL14">
        <v>0</v>
      </c>
    </row>
    <row r="15" spans="1:64" ht="15.5" x14ac:dyDescent="0.35">
      <c r="A15" t="s">
        <v>77</v>
      </c>
      <c r="B15" s="2">
        <v>0</v>
      </c>
      <c r="C15" s="2">
        <v>0</v>
      </c>
      <c r="D15" s="2">
        <v>0</v>
      </c>
      <c r="E15" s="3">
        <v>0</v>
      </c>
      <c r="F15" s="2">
        <v>0</v>
      </c>
      <c r="G15" s="2">
        <v>0</v>
      </c>
      <c r="H15" s="3">
        <v>0</v>
      </c>
      <c r="I15" s="2">
        <v>0</v>
      </c>
      <c r="J15" s="2">
        <v>0</v>
      </c>
      <c r="K15" s="3">
        <v>0</v>
      </c>
      <c r="L15" s="2">
        <v>0</v>
      </c>
      <c r="M15" s="2">
        <v>0</v>
      </c>
      <c r="N15" s="3">
        <v>0</v>
      </c>
      <c r="O15" s="2">
        <v>0</v>
      </c>
      <c r="P15" s="2">
        <v>0</v>
      </c>
      <c r="Q15" s="3">
        <v>0</v>
      </c>
      <c r="R15" s="2">
        <v>0</v>
      </c>
      <c r="S15" s="2">
        <v>0</v>
      </c>
      <c r="T15" s="3">
        <v>0</v>
      </c>
      <c r="U15" s="2">
        <v>0</v>
      </c>
      <c r="V15" s="2">
        <v>0</v>
      </c>
      <c r="W15" s="3">
        <v>0</v>
      </c>
      <c r="X15" s="2">
        <v>0</v>
      </c>
      <c r="Y15" s="2">
        <v>0</v>
      </c>
      <c r="Z15" s="3">
        <v>0</v>
      </c>
      <c r="AA15" s="2">
        <v>0</v>
      </c>
      <c r="AB15" s="2">
        <v>0</v>
      </c>
      <c r="AC15" s="3">
        <v>0</v>
      </c>
      <c r="AD15" s="2">
        <v>0</v>
      </c>
      <c r="AE15" s="2">
        <v>0</v>
      </c>
      <c r="AF15" s="3">
        <v>0</v>
      </c>
      <c r="AG15" s="2">
        <v>0</v>
      </c>
      <c r="AH15" s="2">
        <v>0</v>
      </c>
      <c r="AI15" s="3">
        <v>0</v>
      </c>
      <c r="AJ15" s="2">
        <v>0</v>
      </c>
      <c r="AK15" s="2">
        <v>0</v>
      </c>
      <c r="AL15" s="3">
        <v>0</v>
      </c>
      <c r="AM15" s="2">
        <v>0</v>
      </c>
      <c r="AN15" s="2">
        <v>0</v>
      </c>
      <c r="AO15" s="3">
        <v>0</v>
      </c>
      <c r="AP15" s="2">
        <v>0</v>
      </c>
      <c r="AQ15" s="2">
        <v>0</v>
      </c>
      <c r="AR15" s="3">
        <v>0</v>
      </c>
      <c r="AS15" s="2">
        <v>0</v>
      </c>
      <c r="AT15" s="2">
        <v>0</v>
      </c>
      <c r="AU15" s="3">
        <v>0</v>
      </c>
      <c r="AV15" s="2">
        <v>14</v>
      </c>
      <c r="AW15" s="2">
        <v>2</v>
      </c>
      <c r="AX15" s="3">
        <v>1</v>
      </c>
      <c r="AY15" s="2">
        <v>0</v>
      </c>
      <c r="AZ15" s="2">
        <v>0</v>
      </c>
      <c r="BA15" s="3">
        <v>14</v>
      </c>
      <c r="BB15" s="2">
        <v>0</v>
      </c>
      <c r="BC15" s="2">
        <v>0</v>
      </c>
      <c r="BD15" s="3">
        <v>0</v>
      </c>
      <c r="BE15" s="2">
        <v>0</v>
      </c>
      <c r="BF15" s="2">
        <v>0</v>
      </c>
      <c r="BG15" s="3">
        <v>0</v>
      </c>
      <c r="BH15" s="2">
        <v>0</v>
      </c>
      <c r="BI15" s="2">
        <v>2</v>
      </c>
      <c r="BJ15" s="3">
        <v>0</v>
      </c>
      <c r="BK15" s="2">
        <v>0</v>
      </c>
      <c r="BL15">
        <v>0</v>
      </c>
    </row>
    <row r="16" spans="1:64" ht="15.5" x14ac:dyDescent="0.35">
      <c r="A16" t="s">
        <v>78</v>
      </c>
      <c r="B16" s="2">
        <v>0</v>
      </c>
      <c r="C16" s="2">
        <v>0</v>
      </c>
      <c r="D16" s="2">
        <v>0</v>
      </c>
      <c r="E16" s="3">
        <v>0</v>
      </c>
      <c r="F16" s="2">
        <v>0</v>
      </c>
      <c r="G16" s="2">
        <v>0</v>
      </c>
      <c r="H16" s="3">
        <v>0</v>
      </c>
      <c r="I16" s="2">
        <v>0</v>
      </c>
      <c r="J16" s="2">
        <v>0</v>
      </c>
      <c r="K16" s="3">
        <v>0</v>
      </c>
      <c r="L16" s="2">
        <v>0</v>
      </c>
      <c r="M16" s="2">
        <v>0</v>
      </c>
      <c r="N16" s="3">
        <v>0</v>
      </c>
      <c r="O16" s="2">
        <v>0</v>
      </c>
      <c r="P16" s="2">
        <v>0</v>
      </c>
      <c r="Q16" s="3">
        <v>0</v>
      </c>
      <c r="R16" s="2">
        <v>0</v>
      </c>
      <c r="S16" s="2">
        <v>0</v>
      </c>
      <c r="T16" s="3">
        <v>0</v>
      </c>
      <c r="U16" s="2">
        <v>0</v>
      </c>
      <c r="V16" s="2">
        <v>0</v>
      </c>
      <c r="W16" s="3">
        <v>0</v>
      </c>
      <c r="X16" s="2">
        <v>0</v>
      </c>
      <c r="Y16" s="2">
        <v>0</v>
      </c>
      <c r="Z16" s="3">
        <v>0</v>
      </c>
      <c r="AA16" s="2">
        <v>0</v>
      </c>
      <c r="AB16" s="2">
        <v>0</v>
      </c>
      <c r="AC16" s="3">
        <v>0</v>
      </c>
      <c r="AD16" s="2">
        <v>0</v>
      </c>
      <c r="AE16" s="2">
        <v>0</v>
      </c>
      <c r="AF16" s="3">
        <v>0</v>
      </c>
      <c r="AG16" s="2">
        <v>0</v>
      </c>
      <c r="AH16" s="2">
        <v>0</v>
      </c>
      <c r="AI16" s="3">
        <v>0</v>
      </c>
      <c r="AJ16" s="2">
        <v>0</v>
      </c>
      <c r="AK16" s="2">
        <v>0</v>
      </c>
      <c r="AL16" s="3">
        <v>0</v>
      </c>
      <c r="AM16" s="2">
        <v>0</v>
      </c>
      <c r="AN16" s="2">
        <v>0</v>
      </c>
      <c r="AO16" s="3">
        <v>0</v>
      </c>
      <c r="AP16" s="2">
        <v>0</v>
      </c>
      <c r="AQ16" s="2">
        <v>0</v>
      </c>
      <c r="AR16" s="3">
        <v>0</v>
      </c>
      <c r="AS16" s="2">
        <v>0</v>
      </c>
      <c r="AT16" s="2">
        <v>0</v>
      </c>
      <c r="AU16" s="3">
        <v>0</v>
      </c>
      <c r="AV16" s="2">
        <v>0</v>
      </c>
      <c r="AW16" s="2">
        <v>0</v>
      </c>
      <c r="AX16" s="3">
        <v>0</v>
      </c>
      <c r="AY16" s="2">
        <v>0</v>
      </c>
      <c r="AZ16" s="2">
        <v>0</v>
      </c>
      <c r="BA16" s="3">
        <v>0</v>
      </c>
      <c r="BB16" s="2">
        <v>0</v>
      </c>
      <c r="BC16" s="2">
        <v>0</v>
      </c>
      <c r="BD16" s="3">
        <v>0</v>
      </c>
      <c r="BE16" s="2">
        <v>0</v>
      </c>
      <c r="BF16" s="2">
        <v>0</v>
      </c>
      <c r="BG16" s="3">
        <v>0</v>
      </c>
      <c r="BH16" s="2">
        <v>0</v>
      </c>
      <c r="BI16" s="2">
        <v>0</v>
      </c>
      <c r="BJ16" s="3">
        <v>0</v>
      </c>
      <c r="BK16" s="2">
        <v>0</v>
      </c>
      <c r="BL16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X63"/>
  <sheetViews>
    <sheetView workbookViewId="0">
      <selection activeCell="M26" sqref="M26"/>
    </sheetView>
  </sheetViews>
  <sheetFormatPr defaultRowHeight="14.5" x14ac:dyDescent="0.35"/>
  <cols>
    <col min="2" max="2" width="5" customWidth="1"/>
    <col min="3" max="3" width="16" customWidth="1"/>
    <col min="4" max="24" width="11" customWidth="1"/>
  </cols>
  <sheetData>
    <row r="2" spans="2:24" x14ac:dyDescent="0.35"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</row>
    <row r="4" spans="2:24" x14ac:dyDescent="0.35">
      <c r="B4" t="s">
        <v>100</v>
      </c>
      <c r="C4" t="s">
        <v>101</v>
      </c>
      <c r="D4" s="4">
        <v>8474316.9599999934</v>
      </c>
      <c r="E4" s="4">
        <v>12377413.399999989</v>
      </c>
      <c r="F4" s="4">
        <v>10940828.589999991</v>
      </c>
      <c r="G4" s="4">
        <v>9627042.269999994</v>
      </c>
      <c r="H4" s="4">
        <v>8383889.2199999979</v>
      </c>
      <c r="I4" s="4">
        <v>7495133.709999999</v>
      </c>
      <c r="J4" s="4">
        <v>6812672.169999999</v>
      </c>
      <c r="K4" s="4">
        <v>6005644.1000000006</v>
      </c>
      <c r="L4" s="4">
        <v>5176940.1899999985</v>
      </c>
      <c r="M4" s="4">
        <v>4828328.1700000009</v>
      </c>
      <c r="N4" s="4">
        <v>3625007</v>
      </c>
      <c r="O4" s="4">
        <v>2887192.43</v>
      </c>
      <c r="P4" s="4">
        <v>2143966.58</v>
      </c>
      <c r="Q4" s="4">
        <v>1747557.35</v>
      </c>
      <c r="R4" s="4">
        <v>1499791.05</v>
      </c>
      <c r="S4" s="4">
        <v>1036362.98</v>
      </c>
      <c r="T4" s="4">
        <v>645822.82999999996</v>
      </c>
      <c r="U4" s="4">
        <v>490298.97</v>
      </c>
      <c r="V4" s="4">
        <v>193410.3</v>
      </c>
      <c r="W4" s="4">
        <v>61410.86</v>
      </c>
      <c r="X4" s="4">
        <v>0</v>
      </c>
    </row>
    <row r="5" spans="2:24" x14ac:dyDescent="0.35">
      <c r="C5" t="s">
        <v>102</v>
      </c>
      <c r="D5" s="4">
        <v>361</v>
      </c>
      <c r="E5" s="4">
        <v>336</v>
      </c>
      <c r="F5" s="4">
        <v>277</v>
      </c>
      <c r="G5" s="4">
        <v>240</v>
      </c>
      <c r="H5" s="4">
        <v>215</v>
      </c>
      <c r="I5" s="4">
        <v>194</v>
      </c>
      <c r="J5" s="4">
        <v>182</v>
      </c>
      <c r="K5" s="4">
        <v>162</v>
      </c>
      <c r="L5" s="4">
        <v>147</v>
      </c>
      <c r="M5" s="4">
        <v>135</v>
      </c>
      <c r="N5" s="4">
        <v>86</v>
      </c>
      <c r="O5" s="4">
        <v>68</v>
      </c>
      <c r="P5" s="4">
        <v>53</v>
      </c>
      <c r="Q5" s="4">
        <v>43</v>
      </c>
      <c r="R5" s="4">
        <v>37</v>
      </c>
      <c r="S5" s="4">
        <v>23</v>
      </c>
      <c r="T5" s="4">
        <v>14</v>
      </c>
      <c r="U5" s="4">
        <v>11</v>
      </c>
      <c r="V5" s="4">
        <v>2</v>
      </c>
      <c r="W5" s="4">
        <v>0</v>
      </c>
      <c r="X5" s="4">
        <v>0</v>
      </c>
    </row>
    <row r="6" spans="2:24" x14ac:dyDescent="0.35">
      <c r="C6" t="s">
        <v>103</v>
      </c>
      <c r="D6" s="4">
        <v>20</v>
      </c>
      <c r="E6" s="4">
        <v>19</v>
      </c>
      <c r="F6" s="4">
        <v>18</v>
      </c>
      <c r="G6" s="4">
        <v>17</v>
      </c>
      <c r="H6" s="4">
        <v>17</v>
      </c>
      <c r="I6" s="4">
        <v>15</v>
      </c>
      <c r="J6" s="4">
        <v>12</v>
      </c>
      <c r="K6" s="4">
        <v>10</v>
      </c>
      <c r="L6" s="4">
        <v>9</v>
      </c>
      <c r="M6" s="4">
        <v>8</v>
      </c>
      <c r="N6" s="4">
        <v>8</v>
      </c>
      <c r="O6" s="4">
        <v>6</v>
      </c>
      <c r="P6" s="4">
        <v>6</v>
      </c>
      <c r="Q6" s="4">
        <v>6</v>
      </c>
      <c r="R6" s="4">
        <v>6</v>
      </c>
      <c r="S6" s="4">
        <v>5</v>
      </c>
      <c r="T6" s="4">
        <v>5</v>
      </c>
      <c r="U6" s="4">
        <v>5</v>
      </c>
      <c r="V6" s="4">
        <v>5</v>
      </c>
      <c r="W6" s="4">
        <v>1</v>
      </c>
      <c r="X6" s="4">
        <v>0</v>
      </c>
    </row>
    <row r="7" spans="2:24" x14ac:dyDescent="0.35">
      <c r="C7" t="s">
        <v>104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2:24" x14ac:dyDescent="0.35">
      <c r="B8" t="s">
        <v>105</v>
      </c>
      <c r="C8" t="s">
        <v>101</v>
      </c>
      <c r="D8" s="4">
        <v>1804.33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2:24" x14ac:dyDescent="0.35">
      <c r="C9" t="s">
        <v>102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2:24" x14ac:dyDescent="0.35">
      <c r="C10" t="s">
        <v>103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2:24" x14ac:dyDescent="0.35">
      <c r="C11" t="s">
        <v>104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2:24" x14ac:dyDescent="0.35">
      <c r="B12" t="s">
        <v>106</v>
      </c>
      <c r="C12" t="s">
        <v>101</v>
      </c>
      <c r="D12" s="4">
        <v>4865759.379999999</v>
      </c>
      <c r="E12" s="4">
        <v>7140434.8999999994</v>
      </c>
      <c r="F12" s="4">
        <v>6636279.2999999933</v>
      </c>
      <c r="G12" s="4">
        <v>5674907.929999996</v>
      </c>
      <c r="H12" s="4">
        <v>5283411.3599999966</v>
      </c>
      <c r="I12" s="4">
        <v>5108601.3699999973</v>
      </c>
      <c r="J12" s="4">
        <v>4623362.3399999971</v>
      </c>
      <c r="K12" s="4">
        <v>3933313.6399999969</v>
      </c>
      <c r="L12" s="4">
        <v>3921007.1699999971</v>
      </c>
      <c r="M12" s="4">
        <v>3783904.8299999968</v>
      </c>
      <c r="N12" s="4">
        <v>3783904.8299999968</v>
      </c>
      <c r="O12" s="4">
        <v>3707885.759999997</v>
      </c>
      <c r="P12" s="4">
        <v>3666698.759999997</v>
      </c>
      <c r="Q12" s="4">
        <v>3666698.759999997</v>
      </c>
      <c r="R12" s="4">
        <v>2446390.2699999991</v>
      </c>
      <c r="S12" s="4">
        <v>106566.24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2:24" x14ac:dyDescent="0.35">
      <c r="C13" t="s">
        <v>102</v>
      </c>
      <c r="D13" s="4">
        <v>134</v>
      </c>
      <c r="E13" s="4">
        <v>121</v>
      </c>
      <c r="F13" s="4">
        <v>104</v>
      </c>
      <c r="G13" s="4">
        <v>67</v>
      </c>
      <c r="H13" s="4">
        <v>67</v>
      </c>
      <c r="I13" s="4">
        <v>59</v>
      </c>
      <c r="J13" s="4">
        <v>47</v>
      </c>
      <c r="K13" s="4">
        <v>46</v>
      </c>
      <c r="L13" s="4">
        <v>46</v>
      </c>
      <c r="M13" s="4">
        <v>44</v>
      </c>
      <c r="N13" s="4">
        <v>44</v>
      </c>
      <c r="O13" s="4">
        <v>42</v>
      </c>
      <c r="P13" s="4">
        <v>42</v>
      </c>
      <c r="Q13" s="4">
        <v>42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2:24" x14ac:dyDescent="0.35">
      <c r="C14" t="s">
        <v>103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2:24" x14ac:dyDescent="0.35">
      <c r="C15" t="s">
        <v>104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2:24" x14ac:dyDescent="0.35">
      <c r="B16" t="s">
        <v>107</v>
      </c>
      <c r="C16" t="s">
        <v>101</v>
      </c>
      <c r="D16" s="4">
        <v>5672922.4200000037</v>
      </c>
      <c r="E16" s="4">
        <v>8188181.0700000059</v>
      </c>
      <c r="F16" s="4">
        <v>8025857.9700000035</v>
      </c>
      <c r="G16" s="4">
        <v>7803447.2200000035</v>
      </c>
      <c r="H16" s="4">
        <v>7539791.4299999997</v>
      </c>
      <c r="I16" s="4">
        <v>7277023.25</v>
      </c>
      <c r="J16" s="4">
        <v>6821237.8900000006</v>
      </c>
      <c r="K16" s="4">
        <v>5965139.2100000009</v>
      </c>
      <c r="L16" s="4">
        <v>3678551.75</v>
      </c>
      <c r="M16" s="4">
        <v>3242016.21</v>
      </c>
      <c r="N16" s="4">
        <v>2656268.1900000009</v>
      </c>
      <c r="O16" s="4">
        <v>1982916.33</v>
      </c>
      <c r="P16" s="4">
        <v>1706624.24</v>
      </c>
      <c r="Q16" s="4">
        <v>1451955.27</v>
      </c>
      <c r="R16" s="4">
        <v>1180969.97</v>
      </c>
      <c r="S16" s="4">
        <v>949475.77</v>
      </c>
      <c r="T16" s="4">
        <v>804910.61999999988</v>
      </c>
      <c r="U16" s="4">
        <v>673337.82</v>
      </c>
      <c r="V16" s="4">
        <v>335089.67</v>
      </c>
      <c r="W16" s="4">
        <v>238302.46</v>
      </c>
      <c r="X16" s="4">
        <v>0</v>
      </c>
    </row>
    <row r="17" spans="2:24" x14ac:dyDescent="0.35">
      <c r="C17" t="s">
        <v>102</v>
      </c>
      <c r="D17" s="4">
        <v>163</v>
      </c>
      <c r="E17" s="4">
        <v>153</v>
      </c>
      <c r="F17" s="4">
        <v>149</v>
      </c>
      <c r="G17" s="4">
        <v>133</v>
      </c>
      <c r="H17" s="4">
        <v>131</v>
      </c>
      <c r="I17" s="4">
        <v>125</v>
      </c>
      <c r="J17" s="4">
        <v>115</v>
      </c>
      <c r="K17" s="4">
        <v>97</v>
      </c>
      <c r="L17" s="4">
        <v>86</v>
      </c>
      <c r="M17" s="4">
        <v>69</v>
      </c>
      <c r="N17" s="4">
        <v>48</v>
      </c>
      <c r="O17" s="4">
        <v>34</v>
      </c>
      <c r="P17" s="4">
        <v>28</v>
      </c>
      <c r="Q17" s="4">
        <v>22</v>
      </c>
      <c r="R17" s="4">
        <v>14</v>
      </c>
      <c r="S17" s="4">
        <v>11</v>
      </c>
      <c r="T17" s="4">
        <v>8</v>
      </c>
      <c r="U17" s="4">
        <v>6</v>
      </c>
      <c r="V17" s="4">
        <v>3</v>
      </c>
      <c r="W17" s="4">
        <v>1</v>
      </c>
      <c r="X17" s="4">
        <v>0</v>
      </c>
    </row>
    <row r="18" spans="2:24" x14ac:dyDescent="0.35">
      <c r="C18" t="s">
        <v>103</v>
      </c>
      <c r="D18" s="4">
        <v>9</v>
      </c>
      <c r="E18" s="4">
        <v>8</v>
      </c>
      <c r="F18" s="4">
        <v>8</v>
      </c>
      <c r="G18" s="4">
        <v>8</v>
      </c>
      <c r="H18" s="4">
        <v>8</v>
      </c>
      <c r="I18" s="4">
        <v>8</v>
      </c>
      <c r="J18" s="4">
        <v>7</v>
      </c>
      <c r="K18" s="4">
        <v>7</v>
      </c>
      <c r="L18" s="4">
        <v>2</v>
      </c>
      <c r="M18" s="4">
        <v>2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0</v>
      </c>
    </row>
    <row r="19" spans="2:24" x14ac:dyDescent="0.35">
      <c r="C19" t="s">
        <v>104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2:24" x14ac:dyDescent="0.35">
      <c r="B20" t="s">
        <v>108</v>
      </c>
      <c r="C20" t="s">
        <v>101</v>
      </c>
      <c r="D20" s="4">
        <v>42929300.099999927</v>
      </c>
      <c r="E20" s="4">
        <v>61845636.489999913</v>
      </c>
      <c r="F20" s="4">
        <v>59137944.199999899</v>
      </c>
      <c r="G20" s="4">
        <v>55593854.759999953</v>
      </c>
      <c r="H20" s="4">
        <v>51880150.749999993</v>
      </c>
      <c r="I20" s="4">
        <v>51525568.649999984</v>
      </c>
      <c r="J20" s="4">
        <v>46593036.709999971</v>
      </c>
      <c r="K20" s="4">
        <v>38861785.069999993</v>
      </c>
      <c r="L20" s="4">
        <v>33542687.960000001</v>
      </c>
      <c r="M20" s="4">
        <v>29072787.41</v>
      </c>
      <c r="N20" s="4">
        <v>24976036.930000011</v>
      </c>
      <c r="O20" s="4">
        <v>19133918.41</v>
      </c>
      <c r="P20" s="4">
        <v>15741619.26</v>
      </c>
      <c r="Q20" s="4">
        <v>14989794.800000001</v>
      </c>
      <c r="R20" s="4">
        <v>12755383.58</v>
      </c>
      <c r="S20" s="4">
        <v>9219782.8999999985</v>
      </c>
      <c r="T20" s="4">
        <v>8027096.6699999999</v>
      </c>
      <c r="U20" s="4">
        <v>6994494.1700000009</v>
      </c>
      <c r="V20" s="4">
        <v>6603643.6100000022</v>
      </c>
      <c r="W20" s="4">
        <v>707402.5</v>
      </c>
      <c r="X20" s="4">
        <v>0</v>
      </c>
    </row>
    <row r="21" spans="2:24" x14ac:dyDescent="0.35">
      <c r="C21" t="s">
        <v>102</v>
      </c>
      <c r="D21" s="4">
        <v>237</v>
      </c>
      <c r="E21" s="4">
        <v>224</v>
      </c>
      <c r="F21" s="4">
        <v>218</v>
      </c>
      <c r="G21" s="4">
        <v>208</v>
      </c>
      <c r="H21" s="4">
        <v>203</v>
      </c>
      <c r="I21" s="4">
        <v>202</v>
      </c>
      <c r="J21" s="4">
        <v>180</v>
      </c>
      <c r="K21" s="4">
        <v>122</v>
      </c>
      <c r="L21" s="4">
        <v>108</v>
      </c>
      <c r="M21" s="4">
        <v>98</v>
      </c>
      <c r="N21" s="4">
        <v>93</v>
      </c>
      <c r="O21" s="4">
        <v>67</v>
      </c>
      <c r="P21" s="4">
        <v>57</v>
      </c>
      <c r="Q21" s="4">
        <v>55</v>
      </c>
      <c r="R21" s="4">
        <v>37</v>
      </c>
      <c r="S21" s="4">
        <v>29</v>
      </c>
      <c r="T21" s="4">
        <v>25</v>
      </c>
      <c r="U21" s="4">
        <v>22</v>
      </c>
      <c r="V21" s="4">
        <v>17</v>
      </c>
      <c r="W21" s="4">
        <v>0</v>
      </c>
      <c r="X21" s="4">
        <v>0</v>
      </c>
    </row>
    <row r="22" spans="2:24" x14ac:dyDescent="0.35">
      <c r="C22" t="s">
        <v>103</v>
      </c>
      <c r="D22" s="4">
        <v>34</v>
      </c>
      <c r="E22" s="4">
        <v>33</v>
      </c>
      <c r="F22" s="4">
        <v>30</v>
      </c>
      <c r="G22" s="4">
        <v>18</v>
      </c>
      <c r="H22" s="4">
        <v>18</v>
      </c>
      <c r="I22" s="4">
        <v>18</v>
      </c>
      <c r="J22" s="4">
        <v>16</v>
      </c>
      <c r="K22" s="4">
        <v>16</v>
      </c>
      <c r="L22" s="4">
        <v>10</v>
      </c>
      <c r="M22" s="4">
        <v>9</v>
      </c>
      <c r="N22" s="4">
        <v>7</v>
      </c>
      <c r="O22" s="4">
        <v>1</v>
      </c>
      <c r="P22" s="4">
        <v>1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2:24" x14ac:dyDescent="0.35">
      <c r="C23" t="s">
        <v>104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spans="2:24" x14ac:dyDescent="0.35">
      <c r="B24" t="s">
        <v>109</v>
      </c>
      <c r="C24" t="s">
        <v>101</v>
      </c>
      <c r="D24" s="4">
        <v>32097606.640000019</v>
      </c>
      <c r="E24" s="4">
        <v>46730825.070000023</v>
      </c>
      <c r="F24" s="4">
        <v>43192972.430000022</v>
      </c>
      <c r="G24" s="4">
        <v>41066993.170000009</v>
      </c>
      <c r="H24" s="4">
        <v>39409257.660000034</v>
      </c>
      <c r="I24" s="4">
        <v>37787001.82000003</v>
      </c>
      <c r="J24" s="4">
        <v>35716221.090000033</v>
      </c>
      <c r="K24" s="4">
        <v>32545068.080000021</v>
      </c>
      <c r="L24" s="4">
        <v>28923291.47000001</v>
      </c>
      <c r="M24" s="4">
        <v>26238598.230000019</v>
      </c>
      <c r="N24" s="4">
        <v>23260367.430000018</v>
      </c>
      <c r="O24" s="4">
        <v>20528738.54000001</v>
      </c>
      <c r="P24" s="4">
        <v>17344238.580000009</v>
      </c>
      <c r="Q24" s="4">
        <v>15027273.029999999</v>
      </c>
      <c r="R24" s="4">
        <v>12598914.44999999</v>
      </c>
      <c r="S24" s="4">
        <v>9402065.5699999966</v>
      </c>
      <c r="T24" s="4">
        <v>6100592.7199999979</v>
      </c>
      <c r="U24" s="4">
        <v>4124305.7799999989</v>
      </c>
      <c r="V24" s="4">
        <v>2837571.26</v>
      </c>
      <c r="W24" s="4">
        <v>1318996.93</v>
      </c>
      <c r="X24" s="4">
        <v>0</v>
      </c>
    </row>
    <row r="25" spans="2:24" x14ac:dyDescent="0.35">
      <c r="C25" t="s">
        <v>102</v>
      </c>
      <c r="D25" s="4">
        <v>962</v>
      </c>
      <c r="E25" s="4">
        <v>898</v>
      </c>
      <c r="F25" s="4">
        <v>812</v>
      </c>
      <c r="G25" s="4">
        <v>760</v>
      </c>
      <c r="H25" s="4">
        <v>730</v>
      </c>
      <c r="I25" s="4">
        <v>683</v>
      </c>
      <c r="J25" s="4">
        <v>648</v>
      </c>
      <c r="K25" s="4">
        <v>580</v>
      </c>
      <c r="L25" s="4">
        <v>507</v>
      </c>
      <c r="M25" s="4">
        <v>455</v>
      </c>
      <c r="N25" s="4">
        <v>407</v>
      </c>
      <c r="O25" s="4">
        <v>350</v>
      </c>
      <c r="P25" s="4">
        <v>285</v>
      </c>
      <c r="Q25" s="4">
        <v>245</v>
      </c>
      <c r="R25" s="4">
        <v>197</v>
      </c>
      <c r="S25" s="4">
        <v>155</v>
      </c>
      <c r="T25" s="4">
        <v>108</v>
      </c>
      <c r="U25" s="4">
        <v>85</v>
      </c>
      <c r="V25" s="4">
        <v>46</v>
      </c>
      <c r="W25" s="4">
        <v>12</v>
      </c>
      <c r="X25" s="4">
        <v>0</v>
      </c>
    </row>
    <row r="26" spans="2:24" x14ac:dyDescent="0.35">
      <c r="C26" t="s">
        <v>103</v>
      </c>
      <c r="D26" s="4">
        <v>274</v>
      </c>
      <c r="E26" s="4">
        <v>265</v>
      </c>
      <c r="F26" s="4">
        <v>247</v>
      </c>
      <c r="G26" s="4">
        <v>229</v>
      </c>
      <c r="H26" s="4">
        <v>223</v>
      </c>
      <c r="I26" s="4">
        <v>214</v>
      </c>
      <c r="J26" s="4">
        <v>194</v>
      </c>
      <c r="K26" s="4">
        <v>178</v>
      </c>
      <c r="L26" s="4">
        <v>165</v>
      </c>
      <c r="M26" s="4">
        <v>148</v>
      </c>
      <c r="N26" s="4">
        <v>135</v>
      </c>
      <c r="O26" s="4">
        <v>118</v>
      </c>
      <c r="P26" s="4">
        <v>108</v>
      </c>
      <c r="Q26" s="4">
        <v>90</v>
      </c>
      <c r="R26" s="4">
        <v>70</v>
      </c>
      <c r="S26" s="4">
        <v>44</v>
      </c>
      <c r="T26" s="4">
        <v>24</v>
      </c>
      <c r="U26" s="4">
        <v>15</v>
      </c>
      <c r="V26" s="4">
        <v>10</v>
      </c>
      <c r="W26" s="4">
        <v>6</v>
      </c>
      <c r="X26" s="4">
        <v>0</v>
      </c>
    </row>
    <row r="27" spans="2:24" x14ac:dyDescent="0.35">
      <c r="C27" t="s">
        <v>104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2:24" x14ac:dyDescent="0.35">
      <c r="B28" t="s">
        <v>110</v>
      </c>
      <c r="C28" t="s">
        <v>101</v>
      </c>
      <c r="D28" s="4">
        <v>189782178.72</v>
      </c>
      <c r="E28" s="4">
        <v>268936836.12000042</v>
      </c>
      <c r="F28" s="4">
        <v>249326574.06999981</v>
      </c>
      <c r="G28" s="4">
        <v>222594766.48999989</v>
      </c>
      <c r="H28" s="4">
        <v>199392453.91000041</v>
      </c>
      <c r="I28" s="4">
        <v>183383562.8100003</v>
      </c>
      <c r="J28" s="4">
        <v>162437734.72999999</v>
      </c>
      <c r="K28" s="4">
        <v>138084188.51999989</v>
      </c>
      <c r="L28" s="4">
        <v>115451642.51000009</v>
      </c>
      <c r="M28" s="4">
        <v>101073995.25000019</v>
      </c>
      <c r="N28" s="4">
        <v>83840433.679999873</v>
      </c>
      <c r="O28" s="4">
        <v>65288737.84999992</v>
      </c>
      <c r="P28" s="4">
        <v>47488708.39000012</v>
      </c>
      <c r="Q28" s="4">
        <v>41148152.480000153</v>
      </c>
      <c r="R28" s="4">
        <v>32994996.550000042</v>
      </c>
      <c r="S28" s="4">
        <v>22138223.530000009</v>
      </c>
      <c r="T28" s="4">
        <v>14314007.130000001</v>
      </c>
      <c r="U28" s="4">
        <v>11476898.919999991</v>
      </c>
      <c r="V28" s="4">
        <v>7075966.8100000015</v>
      </c>
      <c r="W28" s="4">
        <v>2382010.09</v>
      </c>
      <c r="X28" s="4">
        <v>0</v>
      </c>
    </row>
    <row r="29" spans="2:24" x14ac:dyDescent="0.35">
      <c r="C29" t="s">
        <v>102</v>
      </c>
      <c r="D29" s="4">
        <v>6603</v>
      </c>
      <c r="E29" s="4">
        <v>6008</v>
      </c>
      <c r="F29" s="4">
        <v>5374</v>
      </c>
      <c r="G29" s="4">
        <v>4717</v>
      </c>
      <c r="H29" s="4">
        <v>4221</v>
      </c>
      <c r="I29" s="4">
        <v>3734</v>
      </c>
      <c r="J29" s="4">
        <v>3128</v>
      </c>
      <c r="K29" s="4">
        <v>2582</v>
      </c>
      <c r="L29" s="4">
        <v>2181</v>
      </c>
      <c r="M29" s="4">
        <v>1903</v>
      </c>
      <c r="N29" s="4">
        <v>1567</v>
      </c>
      <c r="O29" s="4">
        <v>1257</v>
      </c>
      <c r="P29" s="4">
        <v>966</v>
      </c>
      <c r="Q29" s="4">
        <v>846</v>
      </c>
      <c r="R29" s="4">
        <v>679</v>
      </c>
      <c r="S29" s="4">
        <v>386</v>
      </c>
      <c r="T29" s="4">
        <v>279</v>
      </c>
      <c r="U29" s="4">
        <v>220</v>
      </c>
      <c r="V29" s="4">
        <v>142</v>
      </c>
      <c r="W29" s="4">
        <v>28</v>
      </c>
      <c r="X29" s="4">
        <v>0</v>
      </c>
    </row>
    <row r="30" spans="2:24" x14ac:dyDescent="0.35">
      <c r="C30" t="s">
        <v>103</v>
      </c>
      <c r="D30" s="4">
        <v>1683</v>
      </c>
      <c r="E30" s="4">
        <v>1642</v>
      </c>
      <c r="F30" s="4">
        <v>1581</v>
      </c>
      <c r="G30" s="4">
        <v>1464</v>
      </c>
      <c r="H30" s="4">
        <v>1368</v>
      </c>
      <c r="I30" s="4">
        <v>1310</v>
      </c>
      <c r="J30" s="4">
        <v>1183</v>
      </c>
      <c r="K30" s="4">
        <v>1130</v>
      </c>
      <c r="L30" s="4">
        <v>1081</v>
      </c>
      <c r="M30" s="4">
        <v>975</v>
      </c>
      <c r="N30" s="4">
        <v>796</v>
      </c>
      <c r="O30" s="4">
        <v>472</v>
      </c>
      <c r="P30" s="4">
        <v>324</v>
      </c>
      <c r="Q30" s="4">
        <v>305</v>
      </c>
      <c r="R30" s="4">
        <v>254</v>
      </c>
      <c r="S30" s="4">
        <v>186</v>
      </c>
      <c r="T30" s="4">
        <v>146</v>
      </c>
      <c r="U30" s="4">
        <v>124</v>
      </c>
      <c r="V30" s="4">
        <v>18</v>
      </c>
      <c r="W30" s="4">
        <v>16</v>
      </c>
      <c r="X30" s="4">
        <v>0</v>
      </c>
    </row>
    <row r="31" spans="2:24" x14ac:dyDescent="0.35">
      <c r="C31" t="s">
        <v>104</v>
      </c>
      <c r="D31" s="4">
        <v>1</v>
      </c>
      <c r="E31" s="4">
        <v>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</row>
    <row r="32" spans="2:24" x14ac:dyDescent="0.35">
      <c r="B32" t="s">
        <v>111</v>
      </c>
      <c r="C32" t="s">
        <v>101</v>
      </c>
      <c r="D32" s="4">
        <v>29590873.27</v>
      </c>
      <c r="E32" s="4">
        <v>43669383.060000002</v>
      </c>
      <c r="F32" s="4">
        <v>42567107.119999997</v>
      </c>
      <c r="G32" s="4">
        <v>39649962.110000037</v>
      </c>
      <c r="H32" s="4">
        <v>37295914.750000082</v>
      </c>
      <c r="I32" s="4">
        <v>35565445.650000058</v>
      </c>
      <c r="J32" s="4">
        <v>30107964.08000005</v>
      </c>
      <c r="K32" s="4">
        <v>25707458.59000003</v>
      </c>
      <c r="L32" s="4">
        <v>20712018.02</v>
      </c>
      <c r="M32" s="4">
        <v>17876575.499999989</v>
      </c>
      <c r="N32" s="4">
        <v>15988192.839999991</v>
      </c>
      <c r="O32" s="4">
        <v>13833121.159999991</v>
      </c>
      <c r="P32" s="4">
        <v>10803890.42</v>
      </c>
      <c r="Q32" s="4">
        <v>9065309.0300000012</v>
      </c>
      <c r="R32" s="4">
        <v>5672330.2300000004</v>
      </c>
      <c r="S32" s="4">
        <v>3898695.26</v>
      </c>
      <c r="T32" s="4">
        <v>2676827.0299999989</v>
      </c>
      <c r="U32" s="4">
        <v>1905433.44</v>
      </c>
      <c r="V32" s="4">
        <v>1401999.78</v>
      </c>
      <c r="W32" s="4">
        <v>698088.55999999982</v>
      </c>
      <c r="X32" s="4">
        <v>0</v>
      </c>
    </row>
    <row r="33" spans="2:24" x14ac:dyDescent="0.35">
      <c r="C33" t="s">
        <v>102</v>
      </c>
      <c r="D33" s="4">
        <v>454</v>
      </c>
      <c r="E33" s="4">
        <v>426</v>
      </c>
      <c r="F33" s="4">
        <v>403</v>
      </c>
      <c r="G33" s="4">
        <v>382</v>
      </c>
      <c r="H33" s="4">
        <v>363</v>
      </c>
      <c r="I33" s="4">
        <v>349</v>
      </c>
      <c r="J33" s="4">
        <v>305</v>
      </c>
      <c r="K33" s="4">
        <v>250</v>
      </c>
      <c r="L33" s="4">
        <v>182</v>
      </c>
      <c r="M33" s="4">
        <v>161</v>
      </c>
      <c r="N33" s="4">
        <v>147</v>
      </c>
      <c r="O33" s="4">
        <v>118</v>
      </c>
      <c r="P33" s="4">
        <v>105</v>
      </c>
      <c r="Q33" s="4">
        <v>99</v>
      </c>
      <c r="R33" s="4">
        <v>71</v>
      </c>
      <c r="S33" s="4">
        <v>54</v>
      </c>
      <c r="T33" s="4">
        <v>44</v>
      </c>
      <c r="U33" s="4">
        <v>33</v>
      </c>
      <c r="V33" s="4">
        <v>14</v>
      </c>
      <c r="W33" s="4">
        <v>3</v>
      </c>
      <c r="X33" s="4">
        <v>0</v>
      </c>
    </row>
    <row r="34" spans="2:24" x14ac:dyDescent="0.35">
      <c r="C34" t="s">
        <v>103</v>
      </c>
      <c r="D34" s="4">
        <v>286</v>
      </c>
      <c r="E34" s="4">
        <v>284</v>
      </c>
      <c r="F34" s="4">
        <v>279</v>
      </c>
      <c r="G34" s="4">
        <v>247</v>
      </c>
      <c r="H34" s="4">
        <v>236</v>
      </c>
      <c r="I34" s="4">
        <v>212</v>
      </c>
      <c r="J34" s="4">
        <v>194</v>
      </c>
      <c r="K34" s="4">
        <v>179</v>
      </c>
      <c r="L34" s="4">
        <v>159</v>
      </c>
      <c r="M34" s="4">
        <v>134</v>
      </c>
      <c r="N34" s="4">
        <v>118</v>
      </c>
      <c r="O34" s="4">
        <v>82</v>
      </c>
      <c r="P34" s="4">
        <v>68</v>
      </c>
      <c r="Q34" s="4">
        <v>54</v>
      </c>
      <c r="R34" s="4">
        <v>34</v>
      </c>
      <c r="S34" s="4">
        <v>23</v>
      </c>
      <c r="T34" s="4">
        <v>11</v>
      </c>
      <c r="U34" s="4">
        <v>11</v>
      </c>
      <c r="V34" s="4">
        <v>9</v>
      </c>
      <c r="W34" s="4">
        <v>5</v>
      </c>
      <c r="X34" s="4">
        <v>0</v>
      </c>
    </row>
    <row r="35" spans="2:24" x14ac:dyDescent="0.35">
      <c r="C35" t="s">
        <v>104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spans="2:24" x14ac:dyDescent="0.35">
      <c r="B36" t="s">
        <v>112</v>
      </c>
      <c r="C36" t="s">
        <v>101</v>
      </c>
      <c r="D36" s="4">
        <v>65225362.229999907</v>
      </c>
      <c r="E36" s="4">
        <v>90890539.169999838</v>
      </c>
      <c r="F36" s="4">
        <v>83164446.899999827</v>
      </c>
      <c r="G36" s="4">
        <v>75008972.309999824</v>
      </c>
      <c r="H36" s="4">
        <v>66438034.059999853</v>
      </c>
      <c r="I36" s="4">
        <v>60259073.129999883</v>
      </c>
      <c r="J36" s="4">
        <v>54574190.279999919</v>
      </c>
      <c r="K36" s="4">
        <v>47661051.569999963</v>
      </c>
      <c r="L36" s="4">
        <v>40899765.839999981</v>
      </c>
      <c r="M36" s="4">
        <v>36765410.299999967</v>
      </c>
      <c r="N36" s="4">
        <v>31271697.30999998</v>
      </c>
      <c r="O36" s="4">
        <v>24106312.48999998</v>
      </c>
      <c r="P36" s="4">
        <v>19451499.34999999</v>
      </c>
      <c r="Q36" s="4">
        <v>16710440.71000001</v>
      </c>
      <c r="R36" s="4">
        <v>14161978.59000002</v>
      </c>
      <c r="S36" s="4">
        <v>11765405.410000009</v>
      </c>
      <c r="T36" s="4">
        <v>7500162.9799999986</v>
      </c>
      <c r="U36" s="4">
        <v>5638878.6500000004</v>
      </c>
      <c r="V36" s="4">
        <v>3563004.02</v>
      </c>
      <c r="W36" s="4">
        <v>1723337.61</v>
      </c>
      <c r="X36" s="4">
        <v>0</v>
      </c>
    </row>
    <row r="37" spans="2:24" x14ac:dyDescent="0.35">
      <c r="C37" t="s">
        <v>102</v>
      </c>
      <c r="D37" s="4">
        <v>2562</v>
      </c>
      <c r="E37" s="4">
        <v>2286</v>
      </c>
      <c r="F37" s="4">
        <v>2051</v>
      </c>
      <c r="G37" s="4">
        <v>1823</v>
      </c>
      <c r="H37" s="4">
        <v>1613</v>
      </c>
      <c r="I37" s="4">
        <v>1452</v>
      </c>
      <c r="J37" s="4">
        <v>1282</v>
      </c>
      <c r="K37" s="4">
        <v>1080</v>
      </c>
      <c r="L37" s="4">
        <v>929</v>
      </c>
      <c r="M37" s="4">
        <v>827</v>
      </c>
      <c r="N37" s="4">
        <v>654</v>
      </c>
      <c r="O37" s="4">
        <v>483</v>
      </c>
      <c r="P37" s="4">
        <v>388</v>
      </c>
      <c r="Q37" s="4">
        <v>339</v>
      </c>
      <c r="R37" s="4">
        <v>285</v>
      </c>
      <c r="S37" s="4">
        <v>226</v>
      </c>
      <c r="T37" s="4">
        <v>143</v>
      </c>
      <c r="U37" s="4">
        <v>107</v>
      </c>
      <c r="V37" s="4">
        <v>71</v>
      </c>
      <c r="W37" s="4">
        <v>14</v>
      </c>
      <c r="X37" s="4">
        <v>0</v>
      </c>
    </row>
    <row r="38" spans="2:24" x14ac:dyDescent="0.35">
      <c r="C38" t="s">
        <v>103</v>
      </c>
      <c r="D38" s="4">
        <v>223</v>
      </c>
      <c r="E38" s="4">
        <v>215</v>
      </c>
      <c r="F38" s="4">
        <v>212</v>
      </c>
      <c r="G38" s="4">
        <v>199</v>
      </c>
      <c r="H38" s="4">
        <v>193</v>
      </c>
      <c r="I38" s="4">
        <v>187</v>
      </c>
      <c r="J38" s="4">
        <v>182</v>
      </c>
      <c r="K38" s="4">
        <v>162</v>
      </c>
      <c r="L38" s="4">
        <v>137</v>
      </c>
      <c r="M38" s="4">
        <v>126</v>
      </c>
      <c r="N38" s="4">
        <v>124</v>
      </c>
      <c r="O38" s="4">
        <v>74</v>
      </c>
      <c r="P38" s="4">
        <v>65</v>
      </c>
      <c r="Q38" s="4">
        <v>58</v>
      </c>
      <c r="R38" s="4">
        <v>31</v>
      </c>
      <c r="S38" s="4">
        <v>22</v>
      </c>
      <c r="T38" s="4">
        <v>11</v>
      </c>
      <c r="U38" s="4">
        <v>10</v>
      </c>
      <c r="V38" s="4">
        <v>4</v>
      </c>
      <c r="W38" s="4">
        <v>0</v>
      </c>
      <c r="X38" s="4">
        <v>0</v>
      </c>
    </row>
    <row r="39" spans="2:24" x14ac:dyDescent="0.35">
      <c r="C39" t="s">
        <v>104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</row>
    <row r="40" spans="2:24" x14ac:dyDescent="0.35">
      <c r="B40" t="s">
        <v>113</v>
      </c>
      <c r="C40" t="s">
        <v>101</v>
      </c>
      <c r="D40" s="4">
        <v>12971536.24000003</v>
      </c>
      <c r="E40" s="4">
        <v>19182271.040000051</v>
      </c>
      <c r="F40" s="4">
        <v>18753906.78000005</v>
      </c>
      <c r="G40" s="4">
        <v>18432526.840000041</v>
      </c>
      <c r="H40" s="4">
        <v>17322674.350000039</v>
      </c>
      <c r="I40" s="4">
        <v>15447963.860000029</v>
      </c>
      <c r="J40" s="4">
        <v>14497410.73000003</v>
      </c>
      <c r="K40" s="4">
        <v>13938372.34000003</v>
      </c>
      <c r="L40" s="4">
        <v>11309224.69000002</v>
      </c>
      <c r="M40" s="4">
        <v>6220566.8200000003</v>
      </c>
      <c r="N40" s="4">
        <v>5439255.8399999999</v>
      </c>
      <c r="O40" s="4">
        <v>5298745.05</v>
      </c>
      <c r="P40" s="4">
        <v>5210806.16</v>
      </c>
      <c r="Q40" s="4">
        <v>5194315.08</v>
      </c>
      <c r="R40" s="4">
        <v>5129068.04</v>
      </c>
      <c r="S40" s="4">
        <v>4883702.49</v>
      </c>
      <c r="T40" s="4">
        <v>4883702.49</v>
      </c>
      <c r="U40" s="4">
        <v>4865370.6900000004</v>
      </c>
      <c r="V40" s="4">
        <v>4667775.41</v>
      </c>
      <c r="W40" s="4">
        <v>1923076.64</v>
      </c>
      <c r="X40" s="4">
        <v>0</v>
      </c>
    </row>
    <row r="41" spans="2:24" x14ac:dyDescent="0.35">
      <c r="C41" t="s">
        <v>102</v>
      </c>
      <c r="D41" s="4">
        <v>274</v>
      </c>
      <c r="E41" s="4">
        <v>273</v>
      </c>
      <c r="F41" s="4">
        <v>259</v>
      </c>
      <c r="G41" s="4">
        <v>246</v>
      </c>
      <c r="H41" s="4">
        <v>186</v>
      </c>
      <c r="I41" s="4">
        <v>145</v>
      </c>
      <c r="J41" s="4">
        <v>108</v>
      </c>
      <c r="K41" s="4">
        <v>97</v>
      </c>
      <c r="L41" s="4">
        <v>86</v>
      </c>
      <c r="M41" s="4">
        <v>59</v>
      </c>
      <c r="N41" s="4">
        <v>57</v>
      </c>
      <c r="O41" s="4">
        <v>52</v>
      </c>
      <c r="P41" s="4">
        <v>51</v>
      </c>
      <c r="Q41" s="4">
        <v>50</v>
      </c>
      <c r="R41" s="4">
        <v>49</v>
      </c>
      <c r="S41" s="4">
        <v>48</v>
      </c>
      <c r="T41" s="4">
        <v>48</v>
      </c>
      <c r="U41" s="4">
        <v>47</v>
      </c>
      <c r="V41" s="4">
        <v>34</v>
      </c>
      <c r="W41" s="4">
        <v>3</v>
      </c>
      <c r="X41" s="4">
        <v>0</v>
      </c>
    </row>
    <row r="42" spans="2:24" x14ac:dyDescent="0.35">
      <c r="C42" t="s">
        <v>103</v>
      </c>
      <c r="D42" s="4">
        <v>110</v>
      </c>
      <c r="E42" s="4">
        <v>110</v>
      </c>
      <c r="F42" s="4">
        <v>110</v>
      </c>
      <c r="G42" s="4">
        <v>110</v>
      </c>
      <c r="H42" s="4">
        <v>110</v>
      </c>
      <c r="I42" s="4">
        <v>110</v>
      </c>
      <c r="J42" s="4">
        <v>110</v>
      </c>
      <c r="K42" s="4">
        <v>110</v>
      </c>
      <c r="L42" s="4">
        <v>42</v>
      </c>
      <c r="M42" s="4">
        <v>18</v>
      </c>
      <c r="N42" s="4">
        <v>17</v>
      </c>
      <c r="O42" s="4">
        <v>17</v>
      </c>
      <c r="P42" s="4">
        <v>17</v>
      </c>
      <c r="Q42" s="4">
        <v>17</v>
      </c>
      <c r="R42" s="4">
        <v>13</v>
      </c>
      <c r="S42" s="4">
        <v>7</v>
      </c>
      <c r="T42" s="4">
        <v>7</v>
      </c>
      <c r="U42" s="4">
        <v>7</v>
      </c>
      <c r="V42" s="4">
        <v>7</v>
      </c>
      <c r="W42" s="4">
        <v>5</v>
      </c>
      <c r="X42" s="4">
        <v>0</v>
      </c>
    </row>
    <row r="43" spans="2:24" x14ac:dyDescent="0.35">
      <c r="C43" t="s">
        <v>104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2:24" x14ac:dyDescent="0.35">
      <c r="B44" t="s">
        <v>114</v>
      </c>
      <c r="C44" t="s">
        <v>101</v>
      </c>
      <c r="D44" s="4">
        <v>2154478.12</v>
      </c>
      <c r="E44" s="4">
        <v>3231717.18</v>
      </c>
      <c r="F44" s="4">
        <v>3198734.77</v>
      </c>
      <c r="G44" s="4">
        <v>3151865.88</v>
      </c>
      <c r="H44" s="4">
        <v>3151865.88</v>
      </c>
      <c r="I44" s="4">
        <v>3151865.88</v>
      </c>
      <c r="J44" s="4">
        <v>3023703.69</v>
      </c>
      <c r="K44" s="4">
        <v>2817451.32</v>
      </c>
      <c r="L44" s="4">
        <v>2520796.02</v>
      </c>
      <c r="M44" s="4">
        <v>2397644.350000001</v>
      </c>
      <c r="N44" s="4">
        <v>1808594.42</v>
      </c>
      <c r="O44" s="4">
        <v>1489778.47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2:24" x14ac:dyDescent="0.35">
      <c r="C45" t="s">
        <v>102</v>
      </c>
      <c r="D45" s="4">
        <v>16</v>
      </c>
      <c r="E45" s="4">
        <v>16</v>
      </c>
      <c r="F45" s="4">
        <v>13</v>
      </c>
      <c r="G45" s="4">
        <v>13</v>
      </c>
      <c r="H45" s="4">
        <v>13</v>
      </c>
      <c r="I45" s="4">
        <v>13</v>
      </c>
      <c r="J45" s="4">
        <v>12</v>
      </c>
      <c r="K45" s="4">
        <v>12</v>
      </c>
      <c r="L45" s="4">
        <v>9</v>
      </c>
      <c r="M45" s="4">
        <v>9</v>
      </c>
      <c r="N45" s="4">
        <v>6</v>
      </c>
      <c r="O45" s="4">
        <v>5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2:24" x14ac:dyDescent="0.35">
      <c r="C46" t="s">
        <v>103</v>
      </c>
      <c r="D46" s="4">
        <v>13</v>
      </c>
      <c r="E46" s="4">
        <v>13</v>
      </c>
      <c r="F46" s="4">
        <v>13</v>
      </c>
      <c r="G46" s="4">
        <v>13</v>
      </c>
      <c r="H46" s="4">
        <v>13</v>
      </c>
      <c r="I46" s="4">
        <v>13</v>
      </c>
      <c r="J46" s="4">
        <v>13</v>
      </c>
      <c r="K46" s="4">
        <v>12</v>
      </c>
      <c r="L46" s="4">
        <v>12</v>
      </c>
      <c r="M46" s="4">
        <v>11</v>
      </c>
      <c r="N46" s="4">
        <v>8</v>
      </c>
      <c r="O46" s="4">
        <v>7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spans="2:24" x14ac:dyDescent="0.35">
      <c r="C47" t="s">
        <v>104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2:24" x14ac:dyDescent="0.35">
      <c r="B48" t="s">
        <v>115</v>
      </c>
      <c r="C48" t="s">
        <v>101</v>
      </c>
      <c r="D48" s="4">
        <v>4297121.3200000403</v>
      </c>
      <c r="E48" s="4">
        <v>6440335.9500000607</v>
      </c>
      <c r="F48" s="4">
        <v>6416679.8400000595</v>
      </c>
      <c r="G48" s="4">
        <v>1452200.680000002</v>
      </c>
      <c r="H48" s="4">
        <v>23954.25</v>
      </c>
      <c r="I48" s="4">
        <v>23954.25</v>
      </c>
      <c r="J48" s="4">
        <v>23954.25</v>
      </c>
      <c r="K48" s="4">
        <v>23954.25</v>
      </c>
      <c r="L48" s="4">
        <v>23954.25</v>
      </c>
      <c r="M48" s="4">
        <v>23954.25</v>
      </c>
      <c r="N48" s="4">
        <v>7984.75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</row>
    <row r="49" spans="2:24" x14ac:dyDescent="0.35">
      <c r="C49" t="s">
        <v>102</v>
      </c>
      <c r="D49" s="4">
        <v>2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</row>
    <row r="50" spans="2:24" x14ac:dyDescent="0.35">
      <c r="C50" t="s">
        <v>103</v>
      </c>
      <c r="D50" s="4">
        <v>478</v>
      </c>
      <c r="E50" s="4">
        <v>478</v>
      </c>
      <c r="F50" s="4">
        <v>475</v>
      </c>
      <c r="G50" s="4">
        <v>1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spans="2:24" x14ac:dyDescent="0.35">
      <c r="C51" t="s">
        <v>104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</row>
    <row r="52" spans="2:24" x14ac:dyDescent="0.35">
      <c r="B52" t="s">
        <v>116</v>
      </c>
      <c r="C52" t="s">
        <v>101</v>
      </c>
      <c r="D52" s="4">
        <v>437762.92</v>
      </c>
      <c r="E52" s="4">
        <v>656644.38</v>
      </c>
      <c r="F52" s="4">
        <v>656644.38</v>
      </c>
      <c r="G52" s="4">
        <v>644828.23</v>
      </c>
      <c r="H52" s="4">
        <v>621195.92999999993</v>
      </c>
      <c r="I52" s="4">
        <v>621195.92999999993</v>
      </c>
      <c r="J52" s="4">
        <v>621195.92999999993</v>
      </c>
      <c r="K52" s="4">
        <v>621195.92999999993</v>
      </c>
      <c r="L52" s="4">
        <v>621195.92999999993</v>
      </c>
      <c r="M52" s="4">
        <v>581799.27</v>
      </c>
      <c r="N52" s="4">
        <v>505402.96</v>
      </c>
      <c r="O52" s="4">
        <v>496701.66</v>
      </c>
      <c r="P52" s="4">
        <v>496701.66</v>
      </c>
      <c r="Q52" s="4">
        <v>496701.66</v>
      </c>
      <c r="R52" s="4">
        <v>496701.66</v>
      </c>
      <c r="S52" s="4">
        <v>496701.66</v>
      </c>
      <c r="T52" s="4">
        <v>473663.8</v>
      </c>
      <c r="U52" s="4">
        <v>409329.97</v>
      </c>
      <c r="V52" s="4">
        <v>186748.2</v>
      </c>
      <c r="W52" s="4">
        <v>95951.88</v>
      </c>
      <c r="X52" s="4">
        <v>0</v>
      </c>
    </row>
    <row r="53" spans="2:24" x14ac:dyDescent="0.35">
      <c r="C53" t="s">
        <v>102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</row>
    <row r="54" spans="2:24" x14ac:dyDescent="0.35">
      <c r="C54" t="s">
        <v>103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</row>
    <row r="55" spans="2:24" x14ac:dyDescent="0.35">
      <c r="C55" t="s">
        <v>104</v>
      </c>
      <c r="D55" s="4">
        <v>15</v>
      </c>
      <c r="E55" s="4">
        <v>15</v>
      </c>
      <c r="F55" s="4">
        <v>15</v>
      </c>
      <c r="G55" s="4">
        <v>14</v>
      </c>
      <c r="H55" s="4">
        <v>14</v>
      </c>
      <c r="I55" s="4">
        <v>14</v>
      </c>
      <c r="J55" s="4">
        <v>14</v>
      </c>
      <c r="K55" s="4">
        <v>14</v>
      </c>
      <c r="L55" s="4">
        <v>14</v>
      </c>
      <c r="M55" s="4">
        <v>12</v>
      </c>
      <c r="N55" s="4">
        <v>10</v>
      </c>
      <c r="O55" s="4">
        <v>10</v>
      </c>
      <c r="P55" s="4">
        <v>10</v>
      </c>
      <c r="Q55" s="4">
        <v>10</v>
      </c>
      <c r="R55" s="4">
        <v>10</v>
      </c>
      <c r="S55" s="4">
        <v>10</v>
      </c>
      <c r="T55" s="4">
        <v>9</v>
      </c>
      <c r="U55" s="4">
        <v>7</v>
      </c>
      <c r="V55" s="4">
        <v>4</v>
      </c>
      <c r="W55" s="4">
        <v>2</v>
      </c>
      <c r="X55" s="4">
        <v>0</v>
      </c>
    </row>
    <row r="56" spans="2:24" x14ac:dyDescent="0.35">
      <c r="B56" t="s">
        <v>117</v>
      </c>
      <c r="C56" t="s">
        <v>101</v>
      </c>
      <c r="D56" s="4">
        <v>1753662.72</v>
      </c>
      <c r="E56" s="4">
        <v>2539137.4699999988</v>
      </c>
      <c r="F56" s="4">
        <v>2418883.1099999989</v>
      </c>
      <c r="G56" s="4">
        <v>2260577.2799999989</v>
      </c>
      <c r="H56" s="4">
        <v>2028267.3099999989</v>
      </c>
      <c r="I56" s="4">
        <v>1828603.88</v>
      </c>
      <c r="J56" s="4">
        <v>1672768.7200000009</v>
      </c>
      <c r="K56" s="4">
        <v>1435159.4300000011</v>
      </c>
      <c r="L56" s="4">
        <v>1223404.82</v>
      </c>
      <c r="M56" s="4">
        <v>1058006.76</v>
      </c>
      <c r="N56" s="4">
        <v>916561.22</v>
      </c>
      <c r="O56" s="4">
        <v>732411.66999999981</v>
      </c>
      <c r="P56" s="4">
        <v>615123.01999999979</v>
      </c>
      <c r="Q56" s="4">
        <v>548329.18999999971</v>
      </c>
      <c r="R56" s="4">
        <v>388729.22</v>
      </c>
      <c r="S56" s="4">
        <v>234554.48</v>
      </c>
      <c r="T56" s="4">
        <v>149381.99</v>
      </c>
      <c r="U56" s="4">
        <v>136445.01999999999</v>
      </c>
      <c r="V56" s="4">
        <v>116367.56</v>
      </c>
      <c r="W56" s="4">
        <v>43272.55</v>
      </c>
      <c r="X56" s="4">
        <v>0</v>
      </c>
    </row>
    <row r="57" spans="2:24" x14ac:dyDescent="0.35">
      <c r="C57" t="s">
        <v>102</v>
      </c>
      <c r="D57" s="4">
        <v>507</v>
      </c>
      <c r="E57" s="4">
        <v>479</v>
      </c>
      <c r="F57" s="4">
        <v>460</v>
      </c>
      <c r="G57" s="4">
        <v>422</v>
      </c>
      <c r="H57" s="4">
        <v>362</v>
      </c>
      <c r="I57" s="4">
        <v>336</v>
      </c>
      <c r="J57" s="4">
        <v>302</v>
      </c>
      <c r="K57" s="4">
        <v>247</v>
      </c>
      <c r="L57" s="4">
        <v>216</v>
      </c>
      <c r="M57" s="4">
        <v>187</v>
      </c>
      <c r="N57" s="4">
        <v>162</v>
      </c>
      <c r="O57" s="4">
        <v>125</v>
      </c>
      <c r="P57" s="4">
        <v>116</v>
      </c>
      <c r="Q57" s="4">
        <v>93</v>
      </c>
      <c r="R57" s="4">
        <v>64</v>
      </c>
      <c r="S57" s="4">
        <v>36</v>
      </c>
      <c r="T57" s="4">
        <v>29</v>
      </c>
      <c r="U57" s="4">
        <v>24</v>
      </c>
      <c r="V57" s="4">
        <v>22</v>
      </c>
      <c r="W57" s="4">
        <v>1</v>
      </c>
      <c r="X57" s="4">
        <v>0</v>
      </c>
    </row>
    <row r="58" spans="2:24" x14ac:dyDescent="0.35">
      <c r="C58" t="s">
        <v>103</v>
      </c>
      <c r="D58" s="4">
        <v>30</v>
      </c>
      <c r="E58" s="4">
        <v>30</v>
      </c>
      <c r="F58" s="4">
        <v>30</v>
      </c>
      <c r="G58" s="4">
        <v>30</v>
      </c>
      <c r="H58" s="4">
        <v>30</v>
      </c>
      <c r="I58" s="4">
        <v>30</v>
      </c>
      <c r="J58" s="4">
        <v>30</v>
      </c>
      <c r="K58" s="4">
        <v>30</v>
      </c>
      <c r="L58" s="4">
        <v>30</v>
      </c>
      <c r="M58" s="4">
        <v>15</v>
      </c>
      <c r="N58" s="4">
        <v>15</v>
      </c>
      <c r="O58" s="4">
        <v>15</v>
      </c>
      <c r="P58" s="4">
        <v>5</v>
      </c>
      <c r="Q58" s="4">
        <v>5</v>
      </c>
      <c r="R58" s="4">
        <v>5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59" spans="2:24" x14ac:dyDescent="0.35">
      <c r="C59" t="s">
        <v>104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spans="2:24" x14ac:dyDescent="0.35">
      <c r="B60" t="s">
        <v>118</v>
      </c>
      <c r="C60" t="s">
        <v>101</v>
      </c>
      <c r="D60" s="4">
        <v>1676784.02</v>
      </c>
      <c r="E60" s="4">
        <v>2515176.0299999998</v>
      </c>
      <c r="F60" s="4">
        <v>2515176.0299999998</v>
      </c>
      <c r="G60" s="4">
        <v>2515176.0299999998</v>
      </c>
      <c r="H60" s="4">
        <v>2515176.0299999998</v>
      </c>
      <c r="I60" s="4">
        <v>2515176.0299999998</v>
      </c>
      <c r="J60" s="4">
        <v>2515176.0299999998</v>
      </c>
      <c r="K60" s="4">
        <v>2515176.0299999998</v>
      </c>
      <c r="L60" s="4">
        <v>2515176.0299999998</v>
      </c>
      <c r="M60" s="4">
        <v>2515176.0299999998</v>
      </c>
      <c r="N60" s="4">
        <v>2515176.0299999998</v>
      </c>
      <c r="O60" s="4">
        <v>2515176.0299999998</v>
      </c>
      <c r="P60" s="4">
        <v>2515176.0299999998</v>
      </c>
      <c r="Q60" s="4">
        <v>2515176.0299999998</v>
      </c>
      <c r="R60" s="4">
        <v>2515176.0299999998</v>
      </c>
      <c r="S60" s="4">
        <v>1693327.49</v>
      </c>
      <c r="T60" s="4">
        <v>1091773.56</v>
      </c>
      <c r="U60" s="4">
        <v>167868.9</v>
      </c>
      <c r="V60" s="4">
        <v>167868.9</v>
      </c>
      <c r="W60" s="4">
        <v>111912.6</v>
      </c>
      <c r="X60" s="4">
        <v>0</v>
      </c>
    </row>
    <row r="61" spans="2:24" x14ac:dyDescent="0.35">
      <c r="C61" t="s">
        <v>102</v>
      </c>
      <c r="D61" s="4">
        <v>33</v>
      </c>
      <c r="E61" s="4">
        <v>33</v>
      </c>
      <c r="F61" s="4">
        <v>33</v>
      </c>
      <c r="G61" s="4">
        <v>33</v>
      </c>
      <c r="H61" s="4">
        <v>33</v>
      </c>
      <c r="I61" s="4">
        <v>33</v>
      </c>
      <c r="J61" s="4">
        <v>33</v>
      </c>
      <c r="K61" s="4">
        <v>33</v>
      </c>
      <c r="L61" s="4">
        <v>33</v>
      </c>
      <c r="M61" s="4">
        <v>33</v>
      </c>
      <c r="N61" s="4">
        <v>33</v>
      </c>
      <c r="O61" s="4">
        <v>33</v>
      </c>
      <c r="P61" s="4">
        <v>33</v>
      </c>
      <c r="Q61" s="4">
        <v>33</v>
      </c>
      <c r="R61" s="4">
        <v>33</v>
      </c>
      <c r="S61" s="4">
        <v>17</v>
      </c>
      <c r="T61" s="4">
        <v>16</v>
      </c>
      <c r="U61" s="4">
        <v>2</v>
      </c>
      <c r="V61" s="4">
        <v>2</v>
      </c>
      <c r="W61" s="4">
        <v>0</v>
      </c>
      <c r="X61" s="4">
        <v>0</v>
      </c>
    </row>
    <row r="62" spans="2:24" x14ac:dyDescent="0.35">
      <c r="C62" t="s">
        <v>103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  <row r="63" spans="2:24" x14ac:dyDescent="0.35">
      <c r="C63" t="s">
        <v>104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63E6-8AFE-46A8-B3EC-1743560AE15D}">
  <dimension ref="A2:Z237"/>
  <sheetViews>
    <sheetView tabSelected="1" topLeftCell="G126" zoomScale="112" zoomScaleNormal="112" workbookViewId="0">
      <selection activeCell="D149" sqref="D149:R151"/>
    </sheetView>
  </sheetViews>
  <sheetFormatPr defaultRowHeight="14.5" x14ac:dyDescent="0.35"/>
  <cols>
    <col min="1" max="1" width="11.81640625" bestFit="1" customWidth="1"/>
    <col min="3" max="4" width="19.1796875" bestFit="1" customWidth="1"/>
    <col min="5" max="5" width="15.81640625" bestFit="1" customWidth="1"/>
    <col min="6" max="7" width="14.36328125" bestFit="1" customWidth="1"/>
    <col min="8" max="8" width="15.81640625" bestFit="1" customWidth="1"/>
    <col min="9" max="9" width="19.26953125" bestFit="1" customWidth="1"/>
    <col min="10" max="11" width="13.36328125" bestFit="1" customWidth="1"/>
    <col min="12" max="12" width="19.26953125" bestFit="1" customWidth="1"/>
    <col min="13" max="13" width="39.26953125" bestFit="1" customWidth="1"/>
    <col min="14" max="14" width="15.453125" bestFit="1" customWidth="1"/>
    <col min="15" max="15" width="13.36328125" bestFit="1" customWidth="1"/>
    <col min="16" max="17" width="16" bestFit="1" customWidth="1"/>
    <col min="18" max="18" width="15.453125" bestFit="1" customWidth="1"/>
    <col min="19" max="21" width="9.7265625" bestFit="1" customWidth="1"/>
    <col min="22" max="22" width="22.6328125" bestFit="1" customWidth="1"/>
    <col min="23" max="23" width="8.7265625" bestFit="1" customWidth="1"/>
    <col min="24" max="24" width="12.453125" bestFit="1" customWidth="1"/>
    <col min="25" max="25" width="8.7265625" bestFit="1" customWidth="1"/>
  </cols>
  <sheetData>
    <row r="2" spans="1:25" x14ac:dyDescent="0.35"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</row>
    <row r="4" spans="1:25" x14ac:dyDescent="0.35">
      <c r="A4">
        <v>1.3361619053663651</v>
      </c>
      <c r="C4" t="s">
        <v>100</v>
      </c>
      <c r="D4" t="s">
        <v>101</v>
      </c>
      <c r="E4" s="4">
        <v>11323059.495952094</v>
      </c>
      <c r="F4" s="4">
        <v>16538228.272051165</v>
      </c>
      <c r="G4" s="4">
        <v>14618718.37510119</v>
      </c>
      <c r="H4" s="4">
        <v>12863287.142525729</v>
      </c>
      <c r="I4" s="4">
        <v>11202233.394575726</v>
      </c>
      <c r="J4" s="4">
        <v>10014712.138929272</v>
      </c>
      <c r="K4" s="4">
        <v>9102833.0273036081</v>
      </c>
      <c r="L4" s="4">
        <v>8024512.86360827</v>
      </c>
      <c r="M4" s="4">
        <v>6917230.2682381105</v>
      </c>
      <c r="N4" s="4">
        <v>6451428.1673612958</v>
      </c>
      <c r="O4" s="4">
        <v>4843596.2600864116</v>
      </c>
      <c r="P4" s="4">
        <v>3857756.5384281459</v>
      </c>
      <c r="Q4" s="4">
        <v>2864686.4705746095</v>
      </c>
      <c r="R4" s="4">
        <v>2335019.558512996</v>
      </c>
      <c r="S4" s="4">
        <v>2003963.6670194215</v>
      </c>
      <c r="T4" s="4">
        <v>1384748.7340079641</v>
      </c>
      <c r="U4" s="4">
        <v>862923.86306189804</v>
      </c>
      <c r="V4" s="4">
        <v>655118.80595436622</v>
      </c>
      <c r="W4" s="4">
        <v>258427.47496548027</v>
      </c>
      <c r="X4" s="4">
        <v>82054.851707787093</v>
      </c>
      <c r="Y4" s="4">
        <v>0</v>
      </c>
    </row>
    <row r="5" spans="1:25" x14ac:dyDescent="0.35">
      <c r="D5" t="s">
        <v>102</v>
      </c>
      <c r="E5" s="4">
        <v>361</v>
      </c>
      <c r="F5" s="4">
        <v>336</v>
      </c>
      <c r="G5" s="4">
        <v>277</v>
      </c>
      <c r="H5" s="4">
        <v>240</v>
      </c>
      <c r="I5" s="4">
        <v>215</v>
      </c>
      <c r="J5" s="4">
        <v>194</v>
      </c>
      <c r="K5" s="4">
        <v>182</v>
      </c>
      <c r="L5" s="4">
        <v>162</v>
      </c>
      <c r="M5" s="4">
        <v>147</v>
      </c>
      <c r="N5" s="4">
        <v>135</v>
      </c>
      <c r="O5" s="4">
        <v>86</v>
      </c>
      <c r="P5" s="4">
        <v>68</v>
      </c>
      <c r="Q5" s="4">
        <v>53</v>
      </c>
      <c r="R5" s="4">
        <v>43</v>
      </c>
      <c r="S5" s="4">
        <v>37</v>
      </c>
      <c r="T5" s="4">
        <v>23</v>
      </c>
      <c r="U5" s="4">
        <v>14</v>
      </c>
      <c r="V5" s="4">
        <v>11</v>
      </c>
      <c r="W5" s="4">
        <v>2</v>
      </c>
      <c r="X5" s="4">
        <v>0</v>
      </c>
      <c r="Y5" s="4">
        <v>0</v>
      </c>
    </row>
    <row r="6" spans="1:25" x14ac:dyDescent="0.35">
      <c r="D6" t="s">
        <v>103</v>
      </c>
      <c r="E6" s="4">
        <v>20</v>
      </c>
      <c r="F6" s="4">
        <v>19</v>
      </c>
      <c r="G6" s="4">
        <v>18</v>
      </c>
      <c r="H6" s="4">
        <v>17</v>
      </c>
      <c r="I6" s="4">
        <v>17</v>
      </c>
      <c r="J6" s="4">
        <v>15</v>
      </c>
      <c r="K6" s="4">
        <v>12</v>
      </c>
      <c r="L6" s="4">
        <v>10</v>
      </c>
      <c r="M6" s="4">
        <v>9</v>
      </c>
      <c r="N6" s="4">
        <v>8</v>
      </c>
      <c r="O6" s="4">
        <v>8</v>
      </c>
      <c r="P6" s="4">
        <v>6</v>
      </c>
      <c r="Q6" s="4">
        <v>6</v>
      </c>
      <c r="R6" s="4">
        <v>6</v>
      </c>
      <c r="S6" s="4">
        <v>6</v>
      </c>
      <c r="T6" s="4">
        <v>5</v>
      </c>
      <c r="U6" s="4">
        <v>5</v>
      </c>
      <c r="V6" s="4">
        <v>5</v>
      </c>
      <c r="W6" s="4">
        <v>5</v>
      </c>
      <c r="X6" s="4">
        <v>1</v>
      </c>
      <c r="Y6" s="4">
        <v>0</v>
      </c>
    </row>
    <row r="7" spans="1:25" x14ac:dyDescent="0.35">
      <c r="D7" t="s">
        <v>104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1:25" x14ac:dyDescent="0.35">
      <c r="A8">
        <v>18.132137103848667</v>
      </c>
      <c r="C8" t="s">
        <v>105</v>
      </c>
      <c r="D8" t="s">
        <v>101</v>
      </c>
      <c r="E8" s="4">
        <v>32716.358940587263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1:25" x14ac:dyDescent="0.35">
      <c r="D9" t="s">
        <v>102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1:25" x14ac:dyDescent="0.35">
      <c r="D10" t="s">
        <v>103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1:25" x14ac:dyDescent="0.35">
      <c r="D11" t="s">
        <v>104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1:25" x14ac:dyDescent="0.35">
      <c r="A12">
        <v>1.3353184815648083</v>
      </c>
      <c r="C12" t="s">
        <v>106</v>
      </c>
      <c r="D12" t="s">
        <v>101</v>
      </c>
      <c r="E12" s="4">
        <v>6497338.4269613214</v>
      </c>
      <c r="F12" s="4">
        <v>9534754.6883803625</v>
      </c>
      <c r="G12" s="4">
        <v>8861546.398115959</v>
      </c>
      <c r="H12" s="4">
        <v>7577809.4401076837</v>
      </c>
      <c r="I12" s="4">
        <v>7055036.8347174544</v>
      </c>
      <c r="J12" s="4">
        <v>6821609.8243082957</v>
      </c>
      <c r="K12" s="4">
        <v>6173661.1795727145</v>
      </c>
      <c r="L12" s="4">
        <v>5252226.397282945</v>
      </c>
      <c r="M12" s="4">
        <v>5235793.3404491218</v>
      </c>
      <c r="N12" s="4">
        <v>5052718.0519813392</v>
      </c>
      <c r="O12" s="4">
        <v>5052718.0519813392</v>
      </c>
      <c r="P12" s="4">
        <v>4951208.3828589711</v>
      </c>
      <c r="Q12" s="4">
        <v>4896210.6205587611</v>
      </c>
      <c r="R12" s="4">
        <v>4896210.6205587611</v>
      </c>
      <c r="S12" s="4">
        <v>3266710.1406513201</v>
      </c>
      <c r="T12" s="4">
        <v>142299.86978287093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1:25" x14ac:dyDescent="0.35">
      <c r="D13" t="s">
        <v>102</v>
      </c>
      <c r="E13" s="4">
        <v>134</v>
      </c>
      <c r="F13" s="4">
        <v>121</v>
      </c>
      <c r="G13" s="4">
        <v>104</v>
      </c>
      <c r="H13" s="4">
        <v>67</v>
      </c>
      <c r="I13" s="4">
        <v>67</v>
      </c>
      <c r="J13" s="4">
        <v>59</v>
      </c>
      <c r="K13" s="4">
        <v>47</v>
      </c>
      <c r="L13" s="4">
        <v>46</v>
      </c>
      <c r="M13" s="4">
        <v>46</v>
      </c>
      <c r="N13" s="4">
        <v>44</v>
      </c>
      <c r="O13" s="4">
        <v>44</v>
      </c>
      <c r="P13" s="4">
        <v>42</v>
      </c>
      <c r="Q13" s="4">
        <v>42</v>
      </c>
      <c r="R13" s="4">
        <v>42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1:25" x14ac:dyDescent="0.35">
      <c r="D14" t="s">
        <v>103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1:25" x14ac:dyDescent="0.35">
      <c r="D15" t="s">
        <v>104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</row>
    <row r="16" spans="1:25" x14ac:dyDescent="0.35">
      <c r="A16">
        <v>1</v>
      </c>
      <c r="C16" t="s">
        <v>107</v>
      </c>
      <c r="D16" t="s">
        <v>101</v>
      </c>
      <c r="E16" s="4">
        <v>5672922.4200000037</v>
      </c>
      <c r="F16" s="4">
        <v>8188181.0700000059</v>
      </c>
      <c r="G16" s="4">
        <v>8025857.9700000035</v>
      </c>
      <c r="H16" s="4">
        <v>7803447.2200000035</v>
      </c>
      <c r="I16" s="4">
        <v>7539791.4299999997</v>
      </c>
      <c r="J16" s="4">
        <v>7277023.25</v>
      </c>
      <c r="K16" s="4">
        <v>6821237.8900000006</v>
      </c>
      <c r="L16" s="4">
        <v>5965139.2100000009</v>
      </c>
      <c r="M16" s="4">
        <v>3678551.75</v>
      </c>
      <c r="N16" s="4">
        <v>3242016.21</v>
      </c>
      <c r="O16" s="4">
        <v>2656268.1900000009</v>
      </c>
      <c r="P16" s="4">
        <v>1982916.33</v>
      </c>
      <c r="Q16" s="4">
        <v>1706624.24</v>
      </c>
      <c r="R16" s="4">
        <v>1451955.27</v>
      </c>
      <c r="S16" s="4">
        <v>1180969.97</v>
      </c>
      <c r="T16" s="4">
        <v>949475.77</v>
      </c>
      <c r="U16" s="4">
        <v>804910.61999999988</v>
      </c>
      <c r="V16" s="4">
        <v>673337.82</v>
      </c>
      <c r="W16" s="4">
        <v>335089.67</v>
      </c>
      <c r="X16" s="4">
        <v>238302.46</v>
      </c>
      <c r="Y16" s="4">
        <v>0</v>
      </c>
    </row>
    <row r="17" spans="1:25" x14ac:dyDescent="0.35">
      <c r="D17" t="s">
        <v>102</v>
      </c>
      <c r="E17" s="4">
        <v>163</v>
      </c>
      <c r="F17" s="4">
        <v>153</v>
      </c>
      <c r="G17" s="4">
        <v>149</v>
      </c>
      <c r="H17" s="4">
        <v>133</v>
      </c>
      <c r="I17" s="4">
        <v>131</v>
      </c>
      <c r="J17" s="4">
        <v>125</v>
      </c>
      <c r="K17" s="4">
        <v>115</v>
      </c>
      <c r="L17" s="4">
        <v>97</v>
      </c>
      <c r="M17" s="4">
        <v>86</v>
      </c>
      <c r="N17" s="4">
        <v>69</v>
      </c>
      <c r="O17" s="4">
        <v>48</v>
      </c>
      <c r="P17" s="4">
        <v>34</v>
      </c>
      <c r="Q17" s="4">
        <v>28</v>
      </c>
      <c r="R17" s="4">
        <v>22</v>
      </c>
      <c r="S17" s="4">
        <v>14</v>
      </c>
      <c r="T17" s="4">
        <v>11</v>
      </c>
      <c r="U17" s="4">
        <v>8</v>
      </c>
      <c r="V17" s="4">
        <v>6</v>
      </c>
      <c r="W17" s="4">
        <v>3</v>
      </c>
      <c r="X17" s="4">
        <v>1</v>
      </c>
      <c r="Y17" s="4">
        <v>0</v>
      </c>
    </row>
    <row r="18" spans="1:25" x14ac:dyDescent="0.35">
      <c r="D18" t="s">
        <v>103</v>
      </c>
      <c r="E18" s="4">
        <v>9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>
        <v>7</v>
      </c>
      <c r="L18" s="4">
        <v>7</v>
      </c>
      <c r="M18" s="4">
        <v>2</v>
      </c>
      <c r="N18" s="4">
        <v>2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</row>
    <row r="19" spans="1:25" x14ac:dyDescent="0.35">
      <c r="D19" t="s">
        <v>104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</row>
    <row r="20" spans="1:25" x14ac:dyDescent="0.35">
      <c r="A20">
        <v>0.28376110933030235</v>
      </c>
      <c r="C20" t="s">
        <v>108</v>
      </c>
      <c r="D20" t="s">
        <v>101</v>
      </c>
      <c r="E20" s="4">
        <v>12181665.819149438</v>
      </c>
      <c r="F20" s="4">
        <v>17549386.417641003</v>
      </c>
      <c r="G20" s="4">
        <v>16781048.649705492</v>
      </c>
      <c r="H20" s="4">
        <v>15775373.898645297</v>
      </c>
      <c r="I20" s="4">
        <v>14721569.129043315</v>
      </c>
      <c r="J20" s="4">
        <v>14620952.518998645</v>
      </c>
      <c r="K20" s="4">
        <v>13221291.783897093</v>
      </c>
      <c r="L20" s="4">
        <v>11027463.242018979</v>
      </c>
      <c r="M20" s="4">
        <v>9518110.3454497773</v>
      </c>
      <c r="N20" s="4">
        <v>8249726.4067856474</v>
      </c>
      <c r="O20" s="4">
        <v>7087227.945931402</v>
      </c>
      <c r="P20" s="4">
        <v>5429461.9138570949</v>
      </c>
      <c r="Q20" s="4">
        <v>4466859.3438728536</v>
      </c>
      <c r="R20" s="4">
        <v>4253520.8010815978</v>
      </c>
      <c r="S20" s="4">
        <v>3619481.7945943233</v>
      </c>
      <c r="T20" s="4">
        <v>2616215.8234885517</v>
      </c>
      <c r="U20" s="4">
        <v>2277777.8557807761</v>
      </c>
      <c r="V20" s="4">
        <v>1984765.4248835326</v>
      </c>
      <c r="W20" s="4">
        <v>1873857.2363955632</v>
      </c>
      <c r="X20" s="4">
        <v>200733.3181430292</v>
      </c>
      <c r="Y20" s="4">
        <v>0</v>
      </c>
    </row>
    <row r="21" spans="1:25" x14ac:dyDescent="0.35">
      <c r="D21" t="s">
        <v>102</v>
      </c>
      <c r="E21" s="4">
        <v>237</v>
      </c>
      <c r="F21" s="4">
        <v>224</v>
      </c>
      <c r="G21" s="4">
        <v>218</v>
      </c>
      <c r="H21" s="4">
        <v>208</v>
      </c>
      <c r="I21" s="4">
        <v>203</v>
      </c>
      <c r="J21" s="4">
        <v>202</v>
      </c>
      <c r="K21" s="4">
        <v>180</v>
      </c>
      <c r="L21" s="4">
        <v>122</v>
      </c>
      <c r="M21" s="4">
        <v>108</v>
      </c>
      <c r="N21" s="4">
        <v>98</v>
      </c>
      <c r="O21" s="4">
        <v>93</v>
      </c>
      <c r="P21" s="4">
        <v>67</v>
      </c>
      <c r="Q21" s="4">
        <v>57</v>
      </c>
      <c r="R21" s="4">
        <v>55</v>
      </c>
      <c r="S21" s="4">
        <v>37</v>
      </c>
      <c r="T21" s="4">
        <v>29</v>
      </c>
      <c r="U21" s="4">
        <v>25</v>
      </c>
      <c r="V21" s="4">
        <v>22</v>
      </c>
      <c r="W21" s="4">
        <v>17</v>
      </c>
      <c r="X21" s="4">
        <v>0</v>
      </c>
      <c r="Y21" s="4">
        <v>0</v>
      </c>
    </row>
    <row r="22" spans="1:25" x14ac:dyDescent="0.35">
      <c r="D22" t="s">
        <v>103</v>
      </c>
      <c r="E22" s="4">
        <v>34</v>
      </c>
      <c r="F22" s="4">
        <v>33</v>
      </c>
      <c r="G22" s="4">
        <v>30</v>
      </c>
      <c r="H22" s="4">
        <v>18</v>
      </c>
      <c r="I22" s="4">
        <v>18</v>
      </c>
      <c r="J22" s="4">
        <v>18</v>
      </c>
      <c r="K22" s="4">
        <v>16</v>
      </c>
      <c r="L22" s="4">
        <v>16</v>
      </c>
      <c r="M22" s="4">
        <v>10</v>
      </c>
      <c r="N22" s="4">
        <v>9</v>
      </c>
      <c r="O22" s="4">
        <v>7</v>
      </c>
      <c r="P22" s="4">
        <v>1</v>
      </c>
      <c r="Q22" s="4">
        <v>1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1:25" x14ac:dyDescent="0.35">
      <c r="D23" t="s">
        <v>104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1:25" x14ac:dyDescent="0.35">
      <c r="A24">
        <v>1</v>
      </c>
      <c r="C24" t="s">
        <v>109</v>
      </c>
      <c r="D24" t="s">
        <v>101</v>
      </c>
      <c r="E24" s="4">
        <v>32097606.640000019</v>
      </c>
      <c r="F24" s="4">
        <v>46730825.070000023</v>
      </c>
      <c r="G24" s="4">
        <v>43192972.430000022</v>
      </c>
      <c r="H24" s="4">
        <v>41066993.170000009</v>
      </c>
      <c r="I24" s="4">
        <v>39409257.660000034</v>
      </c>
      <c r="J24" s="4">
        <v>37787001.82000003</v>
      </c>
      <c r="K24" s="4">
        <v>35716221.090000033</v>
      </c>
      <c r="L24" s="4">
        <v>32545068.080000021</v>
      </c>
      <c r="M24" s="4">
        <v>28923291.47000001</v>
      </c>
      <c r="N24" s="4">
        <v>26238598.230000019</v>
      </c>
      <c r="O24" s="4">
        <v>23260367.430000018</v>
      </c>
      <c r="P24" s="4">
        <v>20528738.54000001</v>
      </c>
      <c r="Q24" s="4">
        <v>17344238.580000009</v>
      </c>
      <c r="R24" s="4">
        <v>15027273.029999999</v>
      </c>
      <c r="S24" s="4">
        <v>12598914.44999999</v>
      </c>
      <c r="T24" s="4">
        <v>9402065.5699999966</v>
      </c>
      <c r="U24" s="4">
        <v>6100592.7199999979</v>
      </c>
      <c r="V24" s="4">
        <v>4124305.7799999989</v>
      </c>
      <c r="W24" s="4">
        <v>2837571.26</v>
      </c>
      <c r="X24" s="4">
        <v>1318996.93</v>
      </c>
      <c r="Y24" s="4">
        <v>0</v>
      </c>
    </row>
    <row r="25" spans="1:25" x14ac:dyDescent="0.35">
      <c r="D25" t="s">
        <v>102</v>
      </c>
      <c r="E25" s="4">
        <v>962</v>
      </c>
      <c r="F25" s="4">
        <v>898</v>
      </c>
      <c r="G25" s="4">
        <v>812</v>
      </c>
      <c r="H25" s="4">
        <v>760</v>
      </c>
      <c r="I25" s="4">
        <v>730</v>
      </c>
      <c r="J25" s="4">
        <v>683</v>
      </c>
      <c r="K25" s="4">
        <v>648</v>
      </c>
      <c r="L25" s="4">
        <v>580</v>
      </c>
      <c r="M25" s="4">
        <v>507</v>
      </c>
      <c r="N25" s="4">
        <v>455</v>
      </c>
      <c r="O25" s="4">
        <v>407</v>
      </c>
      <c r="P25" s="4">
        <v>350</v>
      </c>
      <c r="Q25" s="4">
        <v>285</v>
      </c>
      <c r="R25" s="4">
        <v>245</v>
      </c>
      <c r="S25" s="4">
        <v>197</v>
      </c>
      <c r="T25" s="4">
        <v>155</v>
      </c>
      <c r="U25" s="4">
        <v>108</v>
      </c>
      <c r="V25" s="4">
        <v>85</v>
      </c>
      <c r="W25" s="4">
        <v>46</v>
      </c>
      <c r="X25" s="4">
        <v>12</v>
      </c>
      <c r="Y25" s="4">
        <v>0</v>
      </c>
    </row>
    <row r="26" spans="1:25" x14ac:dyDescent="0.35">
      <c r="D26" t="s">
        <v>103</v>
      </c>
      <c r="E26" s="4">
        <v>274</v>
      </c>
      <c r="F26" s="4">
        <v>265</v>
      </c>
      <c r="G26" s="4">
        <v>247</v>
      </c>
      <c r="H26" s="4">
        <v>229</v>
      </c>
      <c r="I26" s="4">
        <v>223</v>
      </c>
      <c r="J26" s="4">
        <v>214</v>
      </c>
      <c r="K26" s="4">
        <v>194</v>
      </c>
      <c r="L26" s="4">
        <v>178</v>
      </c>
      <c r="M26" s="4">
        <v>165</v>
      </c>
      <c r="N26" s="4">
        <v>148</v>
      </c>
      <c r="O26" s="4">
        <v>135</v>
      </c>
      <c r="P26" s="4">
        <v>118</v>
      </c>
      <c r="Q26" s="4">
        <v>108</v>
      </c>
      <c r="R26" s="4">
        <v>90</v>
      </c>
      <c r="S26" s="4">
        <v>70</v>
      </c>
      <c r="T26" s="4">
        <v>44</v>
      </c>
      <c r="U26" s="4">
        <v>24</v>
      </c>
      <c r="V26" s="4">
        <v>15</v>
      </c>
      <c r="W26" s="4">
        <v>10</v>
      </c>
      <c r="X26" s="4">
        <v>6</v>
      </c>
      <c r="Y26" s="4">
        <v>0</v>
      </c>
    </row>
    <row r="27" spans="1:25" x14ac:dyDescent="0.35">
      <c r="D27" t="s">
        <v>104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1:25" x14ac:dyDescent="0.35">
      <c r="A28">
        <v>1</v>
      </c>
      <c r="C28" t="s">
        <v>110</v>
      </c>
      <c r="D28" t="s">
        <v>101</v>
      </c>
      <c r="E28" s="4">
        <v>189782178.72</v>
      </c>
      <c r="F28" s="4">
        <v>268936836.12000042</v>
      </c>
      <c r="G28" s="4">
        <v>249326574.06999981</v>
      </c>
      <c r="H28" s="4">
        <v>222594766.48999989</v>
      </c>
      <c r="I28" s="4">
        <v>199392453.91000041</v>
      </c>
      <c r="J28" s="4">
        <v>183383562.8100003</v>
      </c>
      <c r="K28" s="4">
        <v>162437734.72999999</v>
      </c>
      <c r="L28" s="4">
        <v>138084188.51999989</v>
      </c>
      <c r="M28" s="4">
        <v>115451642.51000009</v>
      </c>
      <c r="N28" s="4">
        <v>101073995.25000019</v>
      </c>
      <c r="O28" s="4">
        <v>83840433.679999873</v>
      </c>
      <c r="P28" s="4">
        <v>65288737.84999992</v>
      </c>
      <c r="Q28" s="4">
        <v>47488708.39000012</v>
      </c>
      <c r="R28" s="4">
        <v>41148152.480000153</v>
      </c>
      <c r="S28" s="4">
        <v>32994996.550000042</v>
      </c>
      <c r="T28" s="4">
        <v>22138223.530000009</v>
      </c>
      <c r="U28" s="4">
        <v>14314007.130000001</v>
      </c>
      <c r="V28" s="4">
        <v>11476898.919999991</v>
      </c>
      <c r="W28" s="4">
        <v>7075966.8100000015</v>
      </c>
      <c r="X28" s="4">
        <v>2382010.09</v>
      </c>
      <c r="Y28" s="4">
        <v>0</v>
      </c>
    </row>
    <row r="29" spans="1:25" x14ac:dyDescent="0.35">
      <c r="D29" t="s">
        <v>102</v>
      </c>
      <c r="E29" s="4">
        <v>6603</v>
      </c>
      <c r="F29" s="4">
        <v>6008</v>
      </c>
      <c r="G29" s="4">
        <v>5374</v>
      </c>
      <c r="H29" s="4">
        <v>4717</v>
      </c>
      <c r="I29" s="4">
        <v>4221</v>
      </c>
      <c r="J29" s="4">
        <v>3734</v>
      </c>
      <c r="K29" s="4">
        <v>3128</v>
      </c>
      <c r="L29" s="4">
        <v>2582</v>
      </c>
      <c r="M29" s="4">
        <v>2181</v>
      </c>
      <c r="N29" s="4">
        <v>1903</v>
      </c>
      <c r="O29" s="4">
        <v>1567</v>
      </c>
      <c r="P29" s="4">
        <v>1257</v>
      </c>
      <c r="Q29" s="4">
        <v>966</v>
      </c>
      <c r="R29" s="4">
        <v>846</v>
      </c>
      <c r="S29" s="4">
        <v>679</v>
      </c>
      <c r="T29" s="4">
        <v>386</v>
      </c>
      <c r="U29" s="4">
        <v>279</v>
      </c>
      <c r="V29" s="4">
        <v>220</v>
      </c>
      <c r="W29" s="4">
        <v>142</v>
      </c>
      <c r="X29" s="4">
        <v>28</v>
      </c>
      <c r="Y29" s="4">
        <v>0</v>
      </c>
    </row>
    <row r="30" spans="1:25" x14ac:dyDescent="0.35">
      <c r="D30" t="s">
        <v>103</v>
      </c>
      <c r="E30" s="4">
        <v>1683</v>
      </c>
      <c r="F30" s="4">
        <v>1642</v>
      </c>
      <c r="G30" s="4">
        <v>1581</v>
      </c>
      <c r="H30" s="4">
        <v>1464</v>
      </c>
      <c r="I30" s="4">
        <v>1368</v>
      </c>
      <c r="J30" s="4">
        <v>1310</v>
      </c>
      <c r="K30" s="4">
        <v>1183</v>
      </c>
      <c r="L30" s="4">
        <v>1130</v>
      </c>
      <c r="M30" s="4">
        <v>1081</v>
      </c>
      <c r="N30" s="4">
        <v>975</v>
      </c>
      <c r="O30" s="4">
        <v>796</v>
      </c>
      <c r="P30" s="4">
        <v>472</v>
      </c>
      <c r="Q30" s="4">
        <v>324</v>
      </c>
      <c r="R30" s="4">
        <v>305</v>
      </c>
      <c r="S30" s="4">
        <v>254</v>
      </c>
      <c r="T30" s="4">
        <v>186</v>
      </c>
      <c r="U30" s="4">
        <v>146</v>
      </c>
      <c r="V30" s="4">
        <v>124</v>
      </c>
      <c r="W30" s="4">
        <v>18</v>
      </c>
      <c r="X30" s="4">
        <v>16</v>
      </c>
      <c r="Y30" s="4">
        <v>0</v>
      </c>
    </row>
    <row r="31" spans="1:25" x14ac:dyDescent="0.35">
      <c r="D31" t="s">
        <v>104</v>
      </c>
      <c r="E31" s="4">
        <v>1</v>
      </c>
      <c r="F31" s="4">
        <v>1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1:25" x14ac:dyDescent="0.35">
      <c r="A32">
        <v>1</v>
      </c>
      <c r="C32" t="s">
        <v>111</v>
      </c>
      <c r="D32" t="s">
        <v>101</v>
      </c>
      <c r="E32" s="4">
        <v>29590873.27</v>
      </c>
      <c r="F32" s="4">
        <v>43669383.060000002</v>
      </c>
      <c r="G32" s="4">
        <v>42567107.119999997</v>
      </c>
      <c r="H32" s="4">
        <v>39649962.110000037</v>
      </c>
      <c r="I32" s="4">
        <v>37295914.750000082</v>
      </c>
      <c r="J32" s="4">
        <v>35565445.650000058</v>
      </c>
      <c r="K32" s="4">
        <v>30107964.08000005</v>
      </c>
      <c r="L32" s="4">
        <v>25707458.59000003</v>
      </c>
      <c r="M32" s="4">
        <v>20712018.02</v>
      </c>
      <c r="N32" s="4">
        <v>17876575.499999989</v>
      </c>
      <c r="O32" s="4">
        <v>15988192.839999991</v>
      </c>
      <c r="P32" s="4">
        <v>13833121.159999991</v>
      </c>
      <c r="Q32" s="4">
        <v>10803890.42</v>
      </c>
      <c r="R32" s="4">
        <v>9065309.0300000012</v>
      </c>
      <c r="S32" s="4">
        <v>5672330.2300000004</v>
      </c>
      <c r="T32" s="4">
        <v>3898695.26</v>
      </c>
      <c r="U32" s="4">
        <v>2676827.0299999989</v>
      </c>
      <c r="V32" s="4">
        <v>1905433.44</v>
      </c>
      <c r="W32" s="4">
        <v>1401999.78</v>
      </c>
      <c r="X32" s="4">
        <v>698088.55999999982</v>
      </c>
      <c r="Y32" s="4">
        <v>0</v>
      </c>
    </row>
    <row r="33" spans="1:25" x14ac:dyDescent="0.35">
      <c r="D33" t="s">
        <v>102</v>
      </c>
      <c r="E33" s="4">
        <v>454</v>
      </c>
      <c r="F33" s="4">
        <v>426</v>
      </c>
      <c r="G33" s="4">
        <v>403</v>
      </c>
      <c r="H33" s="4">
        <v>382</v>
      </c>
      <c r="I33" s="4">
        <v>363</v>
      </c>
      <c r="J33" s="4">
        <v>349</v>
      </c>
      <c r="K33" s="4">
        <v>305</v>
      </c>
      <c r="L33" s="4">
        <v>250</v>
      </c>
      <c r="M33" s="4">
        <v>182</v>
      </c>
      <c r="N33" s="4">
        <v>161</v>
      </c>
      <c r="O33" s="4">
        <v>147</v>
      </c>
      <c r="P33" s="4">
        <v>118</v>
      </c>
      <c r="Q33" s="4">
        <v>105</v>
      </c>
      <c r="R33" s="4">
        <v>99</v>
      </c>
      <c r="S33" s="4">
        <v>71</v>
      </c>
      <c r="T33" s="4">
        <v>54</v>
      </c>
      <c r="U33" s="4">
        <v>44</v>
      </c>
      <c r="V33" s="4">
        <v>33</v>
      </c>
      <c r="W33" s="4">
        <v>14</v>
      </c>
      <c r="X33" s="4">
        <v>3</v>
      </c>
      <c r="Y33" s="4">
        <v>0</v>
      </c>
    </row>
    <row r="34" spans="1:25" x14ac:dyDescent="0.35">
      <c r="D34" t="s">
        <v>103</v>
      </c>
      <c r="E34" s="4">
        <v>286</v>
      </c>
      <c r="F34" s="4">
        <v>284</v>
      </c>
      <c r="G34" s="4">
        <v>279</v>
      </c>
      <c r="H34" s="4">
        <v>247</v>
      </c>
      <c r="I34" s="4">
        <v>236</v>
      </c>
      <c r="J34" s="4">
        <v>212</v>
      </c>
      <c r="K34" s="4">
        <v>194</v>
      </c>
      <c r="L34" s="4">
        <v>179</v>
      </c>
      <c r="M34" s="4">
        <v>159</v>
      </c>
      <c r="N34" s="4">
        <v>134</v>
      </c>
      <c r="O34" s="4">
        <v>118</v>
      </c>
      <c r="P34" s="4">
        <v>82</v>
      </c>
      <c r="Q34" s="4">
        <v>68</v>
      </c>
      <c r="R34" s="4">
        <v>54</v>
      </c>
      <c r="S34" s="4">
        <v>34</v>
      </c>
      <c r="T34" s="4">
        <v>23</v>
      </c>
      <c r="U34" s="4">
        <v>11</v>
      </c>
      <c r="V34" s="4">
        <v>11</v>
      </c>
      <c r="W34" s="4">
        <v>9</v>
      </c>
      <c r="X34" s="4">
        <v>5</v>
      </c>
      <c r="Y34" s="4">
        <v>0</v>
      </c>
    </row>
    <row r="35" spans="1:25" x14ac:dyDescent="0.35">
      <c r="D35" t="s">
        <v>104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</row>
    <row r="36" spans="1:25" x14ac:dyDescent="0.35">
      <c r="A36">
        <v>1</v>
      </c>
      <c r="C36" t="s">
        <v>112</v>
      </c>
      <c r="D36" t="s">
        <v>101</v>
      </c>
      <c r="E36" s="4">
        <v>65225362.229999907</v>
      </c>
      <c r="F36" s="4">
        <v>90890539.169999838</v>
      </c>
      <c r="G36" s="4">
        <v>83164446.899999827</v>
      </c>
      <c r="H36" s="4">
        <v>75008972.309999824</v>
      </c>
      <c r="I36" s="4">
        <v>66438034.059999853</v>
      </c>
      <c r="J36" s="4">
        <v>60259073.129999883</v>
      </c>
      <c r="K36" s="4">
        <v>54574190.279999919</v>
      </c>
      <c r="L36" s="4">
        <v>47661051.569999963</v>
      </c>
      <c r="M36" s="4">
        <v>40899765.839999981</v>
      </c>
      <c r="N36" s="4">
        <v>36765410.299999967</v>
      </c>
      <c r="O36" s="4">
        <v>31271697.30999998</v>
      </c>
      <c r="P36" s="4">
        <v>24106312.48999998</v>
      </c>
      <c r="Q36" s="4">
        <v>19451499.34999999</v>
      </c>
      <c r="R36" s="4">
        <v>16710440.71000001</v>
      </c>
      <c r="S36" s="4">
        <v>14161978.59000002</v>
      </c>
      <c r="T36" s="4">
        <v>11765405.410000009</v>
      </c>
      <c r="U36" s="4">
        <v>7500162.9799999986</v>
      </c>
      <c r="V36" s="4">
        <v>5638878.6500000004</v>
      </c>
      <c r="W36" s="4">
        <v>3563004.02</v>
      </c>
      <c r="X36" s="4">
        <v>1723337.61</v>
      </c>
      <c r="Y36" s="4">
        <v>0</v>
      </c>
    </row>
    <row r="37" spans="1:25" x14ac:dyDescent="0.35">
      <c r="D37" t="s">
        <v>102</v>
      </c>
      <c r="E37" s="4">
        <v>2562</v>
      </c>
      <c r="F37" s="4">
        <v>2286</v>
      </c>
      <c r="G37" s="4">
        <v>2051</v>
      </c>
      <c r="H37" s="4">
        <v>1823</v>
      </c>
      <c r="I37" s="4">
        <v>1613</v>
      </c>
      <c r="J37" s="4">
        <v>1452</v>
      </c>
      <c r="K37" s="4">
        <v>1282</v>
      </c>
      <c r="L37" s="4">
        <v>1080</v>
      </c>
      <c r="M37" s="4">
        <v>929</v>
      </c>
      <c r="N37" s="4">
        <v>827</v>
      </c>
      <c r="O37" s="4">
        <v>654</v>
      </c>
      <c r="P37" s="4">
        <v>483</v>
      </c>
      <c r="Q37" s="4">
        <v>388</v>
      </c>
      <c r="R37" s="4">
        <v>339</v>
      </c>
      <c r="S37" s="4">
        <v>285</v>
      </c>
      <c r="T37" s="4">
        <v>226</v>
      </c>
      <c r="U37" s="4">
        <v>143</v>
      </c>
      <c r="V37" s="4">
        <v>107</v>
      </c>
      <c r="W37" s="4">
        <v>71</v>
      </c>
      <c r="X37" s="4">
        <v>14</v>
      </c>
      <c r="Y37" s="4">
        <v>0</v>
      </c>
    </row>
    <row r="38" spans="1:25" x14ac:dyDescent="0.35">
      <c r="D38" t="s">
        <v>103</v>
      </c>
      <c r="E38" s="4">
        <v>223</v>
      </c>
      <c r="F38" s="4">
        <v>215</v>
      </c>
      <c r="G38" s="4">
        <v>212</v>
      </c>
      <c r="H38" s="4">
        <v>199</v>
      </c>
      <c r="I38" s="4">
        <v>193</v>
      </c>
      <c r="J38" s="4">
        <v>187</v>
      </c>
      <c r="K38" s="4">
        <v>182</v>
      </c>
      <c r="L38" s="4">
        <v>162</v>
      </c>
      <c r="M38" s="4">
        <v>137</v>
      </c>
      <c r="N38" s="4">
        <v>126</v>
      </c>
      <c r="O38" s="4">
        <v>124</v>
      </c>
      <c r="P38" s="4">
        <v>74</v>
      </c>
      <c r="Q38" s="4">
        <v>65</v>
      </c>
      <c r="R38" s="4">
        <v>58</v>
      </c>
      <c r="S38" s="4">
        <v>31</v>
      </c>
      <c r="T38" s="4">
        <v>22</v>
      </c>
      <c r="U38" s="4">
        <v>11</v>
      </c>
      <c r="V38" s="4">
        <v>10</v>
      </c>
      <c r="W38" s="4">
        <v>4</v>
      </c>
      <c r="X38" s="4">
        <v>0</v>
      </c>
      <c r="Y38" s="4">
        <v>0</v>
      </c>
    </row>
    <row r="39" spans="1:25" x14ac:dyDescent="0.35">
      <c r="D39" t="s">
        <v>104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</row>
    <row r="40" spans="1:25" x14ac:dyDescent="0.35">
      <c r="A40">
        <v>1</v>
      </c>
      <c r="C40" t="s">
        <v>113</v>
      </c>
      <c r="D40" t="s">
        <v>101</v>
      </c>
      <c r="E40" s="4">
        <v>12971536.24000003</v>
      </c>
      <c r="F40" s="4">
        <v>19182271.040000051</v>
      </c>
      <c r="G40" s="4">
        <v>18753906.78000005</v>
      </c>
      <c r="H40" s="4">
        <v>18432526.840000041</v>
      </c>
      <c r="I40" s="4">
        <v>17322674.350000039</v>
      </c>
      <c r="J40" s="4">
        <v>15447963.860000029</v>
      </c>
      <c r="K40" s="4">
        <v>14497410.73000003</v>
      </c>
      <c r="L40" s="4">
        <v>13938372.34000003</v>
      </c>
      <c r="M40" s="4">
        <v>11309224.69000002</v>
      </c>
      <c r="N40" s="4">
        <v>6220566.8200000003</v>
      </c>
      <c r="O40" s="4">
        <v>5439255.8399999999</v>
      </c>
      <c r="P40" s="4">
        <v>5298745.05</v>
      </c>
      <c r="Q40" s="4">
        <v>5210806.16</v>
      </c>
      <c r="R40" s="4">
        <v>5194315.08</v>
      </c>
      <c r="S40" s="4">
        <v>5129068.04</v>
      </c>
      <c r="T40" s="4">
        <v>4883702.49</v>
      </c>
      <c r="U40" s="4">
        <v>4883702.49</v>
      </c>
      <c r="V40" s="4">
        <v>4865370.6900000004</v>
      </c>
      <c r="W40" s="4">
        <v>4667775.41</v>
      </c>
      <c r="X40" s="4">
        <v>1923076.64</v>
      </c>
      <c r="Y40" s="4">
        <v>0</v>
      </c>
    </row>
    <row r="41" spans="1:25" x14ac:dyDescent="0.35">
      <c r="D41" t="s">
        <v>102</v>
      </c>
      <c r="E41" s="4">
        <v>274</v>
      </c>
      <c r="F41" s="4">
        <v>273</v>
      </c>
      <c r="G41" s="4">
        <v>259</v>
      </c>
      <c r="H41" s="4">
        <v>246</v>
      </c>
      <c r="I41" s="4">
        <v>186</v>
      </c>
      <c r="J41" s="4">
        <v>145</v>
      </c>
      <c r="K41" s="4">
        <v>108</v>
      </c>
      <c r="L41" s="4">
        <v>97</v>
      </c>
      <c r="M41" s="4">
        <v>86</v>
      </c>
      <c r="N41" s="4">
        <v>59</v>
      </c>
      <c r="O41" s="4">
        <v>57</v>
      </c>
      <c r="P41" s="4">
        <v>52</v>
      </c>
      <c r="Q41" s="4">
        <v>51</v>
      </c>
      <c r="R41" s="4">
        <v>50</v>
      </c>
      <c r="S41" s="4">
        <v>49</v>
      </c>
      <c r="T41" s="4">
        <v>48</v>
      </c>
      <c r="U41" s="4">
        <v>48</v>
      </c>
      <c r="V41" s="4">
        <v>47</v>
      </c>
      <c r="W41" s="4">
        <v>34</v>
      </c>
      <c r="X41" s="4">
        <v>3</v>
      </c>
      <c r="Y41" s="4">
        <v>0</v>
      </c>
    </row>
    <row r="42" spans="1:25" x14ac:dyDescent="0.35">
      <c r="D42" t="s">
        <v>103</v>
      </c>
      <c r="E42" s="4">
        <v>110</v>
      </c>
      <c r="F42" s="4">
        <v>110</v>
      </c>
      <c r="G42" s="4">
        <v>110</v>
      </c>
      <c r="H42" s="4">
        <v>110</v>
      </c>
      <c r="I42" s="4">
        <v>110</v>
      </c>
      <c r="J42" s="4">
        <v>110</v>
      </c>
      <c r="K42" s="4">
        <v>110</v>
      </c>
      <c r="L42" s="4">
        <v>110</v>
      </c>
      <c r="M42" s="4">
        <v>42</v>
      </c>
      <c r="N42" s="4">
        <v>18</v>
      </c>
      <c r="O42" s="4">
        <v>17</v>
      </c>
      <c r="P42" s="4">
        <v>17</v>
      </c>
      <c r="Q42" s="4">
        <v>17</v>
      </c>
      <c r="R42" s="4">
        <v>17</v>
      </c>
      <c r="S42" s="4">
        <v>13</v>
      </c>
      <c r="T42" s="4">
        <v>7</v>
      </c>
      <c r="U42" s="4">
        <v>7</v>
      </c>
      <c r="V42" s="4">
        <v>7</v>
      </c>
      <c r="W42" s="4">
        <v>7</v>
      </c>
      <c r="X42" s="4">
        <v>5</v>
      </c>
      <c r="Y42" s="4">
        <v>0</v>
      </c>
    </row>
    <row r="43" spans="1:25" x14ac:dyDescent="0.35">
      <c r="D43" t="s">
        <v>104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</row>
    <row r="44" spans="1:25" x14ac:dyDescent="0.35">
      <c r="A44">
        <v>1</v>
      </c>
      <c r="C44" t="s">
        <v>114</v>
      </c>
      <c r="D44" t="s">
        <v>101</v>
      </c>
      <c r="E44" s="4">
        <v>2154478.12</v>
      </c>
      <c r="F44" s="4">
        <v>3231717.18</v>
      </c>
      <c r="G44" s="4">
        <v>3198734.77</v>
      </c>
      <c r="H44" s="4">
        <v>3151865.88</v>
      </c>
      <c r="I44" s="4">
        <v>3151865.88</v>
      </c>
      <c r="J44" s="4">
        <v>3151865.88</v>
      </c>
      <c r="K44" s="4">
        <v>3023703.69</v>
      </c>
      <c r="L44" s="4">
        <v>2817451.32</v>
      </c>
      <c r="M44" s="4">
        <v>2520796.02</v>
      </c>
      <c r="N44" s="4">
        <v>2397644.350000001</v>
      </c>
      <c r="O44" s="4">
        <v>1808594.42</v>
      </c>
      <c r="P44" s="4">
        <v>1489778.47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</row>
    <row r="45" spans="1:25" x14ac:dyDescent="0.35">
      <c r="D45" t="s">
        <v>102</v>
      </c>
      <c r="E45" s="4">
        <v>16</v>
      </c>
      <c r="F45" s="4">
        <v>16</v>
      </c>
      <c r="G45" s="4">
        <v>13</v>
      </c>
      <c r="H45" s="4">
        <v>13</v>
      </c>
      <c r="I45" s="4">
        <v>13</v>
      </c>
      <c r="J45" s="4">
        <v>13</v>
      </c>
      <c r="K45" s="4">
        <v>12</v>
      </c>
      <c r="L45" s="4">
        <v>12</v>
      </c>
      <c r="M45" s="4">
        <v>9</v>
      </c>
      <c r="N45" s="4">
        <v>9</v>
      </c>
      <c r="O45" s="4">
        <v>6</v>
      </c>
      <c r="P45" s="4">
        <v>5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</row>
    <row r="46" spans="1:25" x14ac:dyDescent="0.35">
      <c r="D46" t="s">
        <v>103</v>
      </c>
      <c r="E46" s="4">
        <v>13</v>
      </c>
      <c r="F46" s="4">
        <v>13</v>
      </c>
      <c r="G46" s="4">
        <v>13</v>
      </c>
      <c r="H46" s="4">
        <v>13</v>
      </c>
      <c r="I46" s="4">
        <v>13</v>
      </c>
      <c r="J46" s="4">
        <v>13</v>
      </c>
      <c r="K46" s="4">
        <v>13</v>
      </c>
      <c r="L46" s="4">
        <v>12</v>
      </c>
      <c r="M46" s="4">
        <v>12</v>
      </c>
      <c r="N46" s="4">
        <v>11</v>
      </c>
      <c r="O46" s="4">
        <v>8</v>
      </c>
      <c r="P46" s="4">
        <v>7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</row>
    <row r="47" spans="1:25" x14ac:dyDescent="0.35">
      <c r="D47" t="s">
        <v>104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</row>
    <row r="48" spans="1:25" x14ac:dyDescent="0.35">
      <c r="A48">
        <v>1</v>
      </c>
      <c r="C48" t="s">
        <v>115</v>
      </c>
      <c r="D48" t="s">
        <v>101</v>
      </c>
      <c r="E48" s="4">
        <v>4297121.3200000403</v>
      </c>
      <c r="F48" s="4">
        <v>6440335.9500000607</v>
      </c>
      <c r="G48" s="4">
        <v>6416679.8400000595</v>
      </c>
      <c r="H48" s="4">
        <v>1452200.680000002</v>
      </c>
      <c r="I48" s="4">
        <v>23954.25</v>
      </c>
      <c r="J48" s="4">
        <v>23954.25</v>
      </c>
      <c r="K48" s="4">
        <v>23954.25</v>
      </c>
      <c r="L48" s="4">
        <v>23954.25</v>
      </c>
      <c r="M48" s="4">
        <v>23954.25</v>
      </c>
      <c r="N48" s="4">
        <v>23954.25</v>
      </c>
      <c r="O48" s="4">
        <v>7984.75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</row>
    <row r="49" spans="1:25" x14ac:dyDescent="0.35">
      <c r="D49" t="s">
        <v>102</v>
      </c>
      <c r="E49" s="4">
        <v>2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</row>
    <row r="50" spans="1:25" x14ac:dyDescent="0.35">
      <c r="D50" t="s">
        <v>103</v>
      </c>
      <c r="E50" s="4">
        <v>478</v>
      </c>
      <c r="F50" s="4">
        <v>478</v>
      </c>
      <c r="G50" s="4">
        <v>475</v>
      </c>
      <c r="H50" s="4">
        <v>1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</row>
    <row r="51" spans="1:25" x14ac:dyDescent="0.35">
      <c r="D51" t="s">
        <v>104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</row>
    <row r="52" spans="1:25" x14ac:dyDescent="0.35">
      <c r="A52">
        <v>1</v>
      </c>
      <c r="C52" t="s">
        <v>116</v>
      </c>
      <c r="D52" t="s">
        <v>101</v>
      </c>
      <c r="E52" s="4">
        <v>437762.92</v>
      </c>
      <c r="F52" s="4">
        <v>656644.38</v>
      </c>
      <c r="G52" s="4">
        <v>656644.38</v>
      </c>
      <c r="H52" s="4">
        <v>644828.23</v>
      </c>
      <c r="I52" s="4">
        <v>621195.92999999993</v>
      </c>
      <c r="J52" s="4">
        <v>621195.92999999993</v>
      </c>
      <c r="K52" s="4">
        <v>621195.92999999993</v>
      </c>
      <c r="L52" s="4">
        <v>621195.92999999993</v>
      </c>
      <c r="M52" s="4">
        <v>621195.92999999993</v>
      </c>
      <c r="N52" s="4">
        <v>581799.27</v>
      </c>
      <c r="O52" s="4">
        <v>505402.96</v>
      </c>
      <c r="P52" s="4">
        <v>496701.66</v>
      </c>
      <c r="Q52" s="4">
        <v>496701.66</v>
      </c>
      <c r="R52" s="4">
        <v>496701.66</v>
      </c>
      <c r="S52" s="4">
        <v>496701.66</v>
      </c>
      <c r="T52" s="4">
        <v>496701.66</v>
      </c>
      <c r="U52" s="4">
        <v>473663.8</v>
      </c>
      <c r="V52" s="4">
        <v>409329.97</v>
      </c>
      <c r="W52" s="4">
        <v>186748.2</v>
      </c>
      <c r="X52" s="4">
        <v>95951.88</v>
      </c>
      <c r="Y52" s="4">
        <v>0</v>
      </c>
    </row>
    <row r="53" spans="1:25" x14ac:dyDescent="0.35">
      <c r="D53" t="s">
        <v>102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</row>
    <row r="54" spans="1:25" x14ac:dyDescent="0.35">
      <c r="D54" t="s">
        <v>103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</row>
    <row r="55" spans="1:25" x14ac:dyDescent="0.35">
      <c r="D55" t="s">
        <v>104</v>
      </c>
      <c r="E55" s="4">
        <v>15</v>
      </c>
      <c r="F55" s="4">
        <v>15</v>
      </c>
      <c r="G55" s="4">
        <v>15</v>
      </c>
      <c r="H55" s="4">
        <v>14</v>
      </c>
      <c r="I55" s="4">
        <v>14</v>
      </c>
      <c r="J55" s="4">
        <v>14</v>
      </c>
      <c r="K55" s="4">
        <v>14</v>
      </c>
      <c r="L55" s="4">
        <v>14</v>
      </c>
      <c r="M55" s="4">
        <v>14</v>
      </c>
      <c r="N55" s="4">
        <v>12</v>
      </c>
      <c r="O55" s="4">
        <v>10</v>
      </c>
      <c r="P55" s="4">
        <v>10</v>
      </c>
      <c r="Q55" s="4">
        <v>10</v>
      </c>
      <c r="R55" s="4">
        <v>10</v>
      </c>
      <c r="S55" s="4">
        <v>10</v>
      </c>
      <c r="T55" s="4">
        <v>10</v>
      </c>
      <c r="U55" s="4">
        <v>9</v>
      </c>
      <c r="V55" s="4">
        <v>7</v>
      </c>
      <c r="W55" s="4">
        <v>4</v>
      </c>
      <c r="X55" s="4">
        <v>2</v>
      </c>
      <c r="Y55" s="4">
        <v>0</v>
      </c>
    </row>
    <row r="56" spans="1:25" x14ac:dyDescent="0.35">
      <c r="A56">
        <v>18.140679172856014</v>
      </c>
      <c r="C56" t="s">
        <v>117</v>
      </c>
      <c r="D56" t="s">
        <v>101</v>
      </c>
      <c r="E56" s="4">
        <v>31812632.780918028</v>
      </c>
      <c r="F56" s="4">
        <v>46061678.219047293</v>
      </c>
      <c r="G56" s="4">
        <v>43880182.455150165</v>
      </c>
      <c r="H56" s="4">
        <v>41008407.18192748</v>
      </c>
      <c r="I56" s="4">
        <v>36794146.547501676</v>
      </c>
      <c r="J56" s="4">
        <v>33172116.321319696</v>
      </c>
      <c r="K56" s="4">
        <v>30345160.679909032</v>
      </c>
      <c r="L56" s="4">
        <v>26034766.781528927</v>
      </c>
      <c r="M56" s="4">
        <v>22193394.338145662</v>
      </c>
      <c r="N56" s="4">
        <v>19192961.195872873</v>
      </c>
      <c r="O56" s="4">
        <v>16627043.034301499</v>
      </c>
      <c r="P56" s="4">
        <v>13286445.127925688</v>
      </c>
      <c r="Q56" s="4">
        <v>11158749.357658289</v>
      </c>
      <c r="R56" s="4">
        <v>9947063.9169020038</v>
      </c>
      <c r="S56" s="4">
        <v>7051812.0651345635</v>
      </c>
      <c r="T56" s="4">
        <v>4254977.5702360729</v>
      </c>
      <c r="U56" s="4">
        <v>2709890.7547927853</v>
      </c>
      <c r="V56" s="4">
        <v>2475205.3325539222</v>
      </c>
      <c r="W56" s="4">
        <v>2110986.5720880725</v>
      </c>
      <c r="X56" s="4">
        <v>784993.44654137059</v>
      </c>
      <c r="Y56" s="4">
        <v>0</v>
      </c>
    </row>
    <row r="57" spans="1:25" x14ac:dyDescent="0.35">
      <c r="D57" t="s">
        <v>102</v>
      </c>
      <c r="E57" s="4">
        <v>507</v>
      </c>
      <c r="F57" s="4">
        <v>479</v>
      </c>
      <c r="G57" s="4">
        <v>460</v>
      </c>
      <c r="H57" s="4">
        <v>422</v>
      </c>
      <c r="I57" s="4">
        <v>362</v>
      </c>
      <c r="J57" s="4">
        <v>336</v>
      </c>
      <c r="K57" s="4">
        <v>302</v>
      </c>
      <c r="L57" s="4">
        <v>247</v>
      </c>
      <c r="M57" s="4">
        <v>216</v>
      </c>
      <c r="N57" s="4">
        <v>187</v>
      </c>
      <c r="O57" s="4">
        <v>162</v>
      </c>
      <c r="P57" s="4">
        <v>125</v>
      </c>
      <c r="Q57" s="4">
        <v>116</v>
      </c>
      <c r="R57" s="4">
        <v>93</v>
      </c>
      <c r="S57" s="4">
        <v>64</v>
      </c>
      <c r="T57" s="4">
        <v>36</v>
      </c>
      <c r="U57" s="4">
        <v>29</v>
      </c>
      <c r="V57" s="4">
        <v>24</v>
      </c>
      <c r="W57" s="4">
        <v>22</v>
      </c>
      <c r="X57" s="4">
        <v>1</v>
      </c>
      <c r="Y57" s="4">
        <v>0</v>
      </c>
    </row>
    <row r="58" spans="1:25" x14ac:dyDescent="0.35">
      <c r="D58" t="s">
        <v>103</v>
      </c>
      <c r="E58" s="4">
        <v>30</v>
      </c>
      <c r="F58" s="4">
        <v>30</v>
      </c>
      <c r="G58" s="4">
        <v>30</v>
      </c>
      <c r="H58" s="4">
        <v>30</v>
      </c>
      <c r="I58" s="4">
        <v>30</v>
      </c>
      <c r="J58" s="4">
        <v>30</v>
      </c>
      <c r="K58" s="4">
        <v>30</v>
      </c>
      <c r="L58" s="4">
        <v>30</v>
      </c>
      <c r="M58" s="4">
        <v>30</v>
      </c>
      <c r="N58" s="4">
        <v>15</v>
      </c>
      <c r="O58" s="4">
        <v>15</v>
      </c>
      <c r="P58" s="4">
        <v>15</v>
      </c>
      <c r="Q58" s="4">
        <v>5</v>
      </c>
      <c r="R58" s="4">
        <v>5</v>
      </c>
      <c r="S58" s="4">
        <v>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</row>
    <row r="59" spans="1:25" x14ac:dyDescent="0.35">
      <c r="D59" t="s">
        <v>104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</row>
    <row r="60" spans="1:25" x14ac:dyDescent="0.35">
      <c r="A60">
        <v>0.68964721078334612</v>
      </c>
      <c r="C60" t="s">
        <v>118</v>
      </c>
      <c r="D60" t="s">
        <v>101</v>
      </c>
      <c r="E60" s="4">
        <v>1156389.4224790866</v>
      </c>
      <c r="F60" s="4">
        <v>1734584.1337186296</v>
      </c>
      <c r="G60" s="4">
        <v>1734584.1337186296</v>
      </c>
      <c r="H60" s="4">
        <v>1734584.1337186296</v>
      </c>
      <c r="I60" s="4">
        <v>1734584.1337186296</v>
      </c>
      <c r="J60" s="4">
        <v>1734584.1337186296</v>
      </c>
      <c r="K60" s="4">
        <v>1734584.1337186296</v>
      </c>
      <c r="L60" s="4">
        <v>1734584.1337186296</v>
      </c>
      <c r="M60" s="4">
        <v>1734584.1337186296</v>
      </c>
      <c r="N60" s="4">
        <v>1734584.1337186296</v>
      </c>
      <c r="O60" s="4">
        <v>1734584.1337186296</v>
      </c>
      <c r="P60" s="4">
        <v>1734584.1337186296</v>
      </c>
      <c r="Q60" s="4">
        <v>1734584.1337186296</v>
      </c>
      <c r="R60" s="4">
        <v>1734584.1337186296</v>
      </c>
      <c r="S60" s="4">
        <v>1734584.1337186296</v>
      </c>
      <c r="T60" s="4">
        <v>1167798.5804212645</v>
      </c>
      <c r="U60" s="4">
        <v>752938.59046100418</v>
      </c>
      <c r="V60" s="4">
        <v>115770.31866226844</v>
      </c>
      <c r="W60" s="4">
        <v>115770.31866226844</v>
      </c>
      <c r="X60" s="4">
        <v>77180.212441512311</v>
      </c>
      <c r="Y60" s="4">
        <v>0</v>
      </c>
    </row>
    <row r="61" spans="1:25" x14ac:dyDescent="0.35">
      <c r="D61" t="s">
        <v>102</v>
      </c>
      <c r="E61" s="4">
        <v>33</v>
      </c>
      <c r="F61" s="4">
        <v>33</v>
      </c>
      <c r="G61" s="4">
        <v>33</v>
      </c>
      <c r="H61" s="4">
        <v>33</v>
      </c>
      <c r="I61" s="4">
        <v>33</v>
      </c>
      <c r="J61" s="4">
        <v>33</v>
      </c>
      <c r="K61" s="4">
        <v>33</v>
      </c>
      <c r="L61" s="4">
        <v>33</v>
      </c>
      <c r="M61" s="4">
        <v>33</v>
      </c>
      <c r="N61" s="4">
        <v>33</v>
      </c>
      <c r="O61" s="4">
        <v>33</v>
      </c>
      <c r="P61" s="4">
        <v>33</v>
      </c>
      <c r="Q61" s="4">
        <v>33</v>
      </c>
      <c r="R61" s="4">
        <v>33</v>
      </c>
      <c r="S61" s="4">
        <v>33</v>
      </c>
      <c r="T61" s="4">
        <v>17</v>
      </c>
      <c r="U61" s="4">
        <v>16</v>
      </c>
      <c r="V61" s="4">
        <v>2</v>
      </c>
      <c r="W61" s="4">
        <v>2</v>
      </c>
      <c r="X61" s="4">
        <v>0</v>
      </c>
      <c r="Y61" s="4">
        <v>0</v>
      </c>
    </row>
    <row r="62" spans="1:25" x14ac:dyDescent="0.35">
      <c r="D62" t="s">
        <v>103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</row>
    <row r="63" spans="1:25" x14ac:dyDescent="0.35">
      <c r="D63" t="s">
        <v>104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</row>
    <row r="66" spans="3:9" x14ac:dyDescent="0.35">
      <c r="C66" t="s">
        <v>119</v>
      </c>
      <c r="D66" t="s">
        <v>101</v>
      </c>
      <c r="E66" s="4">
        <f>E60+E8+E56+E52+E48+E44+E40+E36+E32+E28+E24+E20+E16+E12+E4</f>
        <v>405233644.18440056</v>
      </c>
      <c r="F66" s="4">
        <f t="shared" ref="F66:H66" si="0">F60+F8+F56+F52+F48+F44+F40+F36+F32+F28+F24+F20+F16+F12+F4</f>
        <v>579345364.77083898</v>
      </c>
      <c r="G66" s="4">
        <f t="shared" si="0"/>
        <v>541179004.27179122</v>
      </c>
      <c r="H66" s="4">
        <f t="shared" si="0"/>
        <v>488765024.72692466</v>
      </c>
    </row>
    <row r="69" spans="3:9" x14ac:dyDescent="0.35">
      <c r="E69" t="s">
        <v>120</v>
      </c>
      <c r="F69" t="s">
        <v>121</v>
      </c>
      <c r="G69" t="s">
        <v>122</v>
      </c>
      <c r="H69" t="s">
        <v>123</v>
      </c>
      <c r="I69" t="s">
        <v>124</v>
      </c>
    </row>
    <row r="70" spans="3:9" x14ac:dyDescent="0.35">
      <c r="D70" t="s">
        <v>110</v>
      </c>
      <c r="E70" s="4">
        <f>E28</f>
        <v>189782178.72</v>
      </c>
      <c r="F70" s="4">
        <f>F28</f>
        <v>268936836.12000042</v>
      </c>
      <c r="G70" s="4">
        <f>G28</f>
        <v>249326574.06999981</v>
      </c>
      <c r="H70" s="4">
        <f>H28</f>
        <v>222594766.48999989</v>
      </c>
      <c r="I70" s="4">
        <f t="shared" ref="I70:I78" si="1">SUM(E70:H70)</f>
        <v>930640355.4000001</v>
      </c>
    </row>
    <row r="71" spans="3:9" x14ac:dyDescent="0.35">
      <c r="D71" t="s">
        <v>112</v>
      </c>
      <c r="E71" s="4">
        <f>E36</f>
        <v>65225362.229999907</v>
      </c>
      <c r="F71" s="4">
        <f>F36</f>
        <v>90890539.169999838</v>
      </c>
      <c r="G71" s="4">
        <f>G36</f>
        <v>83164446.899999827</v>
      </c>
      <c r="H71" s="4">
        <f>H36</f>
        <v>75008972.309999824</v>
      </c>
      <c r="I71" s="4">
        <f t="shared" si="1"/>
        <v>314289320.60999942</v>
      </c>
    </row>
    <row r="72" spans="3:9" x14ac:dyDescent="0.35">
      <c r="D72" t="s">
        <v>128</v>
      </c>
      <c r="E72" s="4">
        <f>E24</f>
        <v>32097606.640000019</v>
      </c>
      <c r="F72" s="4">
        <f>F24</f>
        <v>46730825.070000023</v>
      </c>
      <c r="G72" s="4">
        <f>G24</f>
        <v>43192972.430000022</v>
      </c>
      <c r="H72" s="4">
        <f>H24</f>
        <v>41066993.170000009</v>
      </c>
      <c r="I72" s="4">
        <f t="shared" si="1"/>
        <v>163088397.31000006</v>
      </c>
    </row>
    <row r="73" spans="3:9" x14ac:dyDescent="0.35">
      <c r="D73" t="s">
        <v>130</v>
      </c>
      <c r="E73" s="4">
        <f>E56</f>
        <v>31812632.780918028</v>
      </c>
      <c r="F73" s="4">
        <f>F56</f>
        <v>46061678.219047293</v>
      </c>
      <c r="G73" s="4">
        <f>G56</f>
        <v>43880182.455150165</v>
      </c>
      <c r="H73" s="4">
        <f>H56</f>
        <v>41008407.18192748</v>
      </c>
      <c r="I73" s="4">
        <f t="shared" si="1"/>
        <v>162762900.63704297</v>
      </c>
    </row>
    <row r="74" spans="3:9" x14ac:dyDescent="0.35">
      <c r="D74" t="s">
        <v>111</v>
      </c>
      <c r="E74" s="4">
        <f>E32</f>
        <v>29590873.27</v>
      </c>
      <c r="F74" s="4">
        <f>F32</f>
        <v>43669383.060000002</v>
      </c>
      <c r="G74" s="4">
        <f>G32</f>
        <v>42567107.119999997</v>
      </c>
      <c r="H74" s="4">
        <f>H32</f>
        <v>39649962.110000037</v>
      </c>
      <c r="I74" s="4">
        <f t="shared" si="1"/>
        <v>155477325.56000003</v>
      </c>
    </row>
    <row r="75" spans="3:9" x14ac:dyDescent="0.35">
      <c r="D75" t="s">
        <v>113</v>
      </c>
      <c r="E75" s="4">
        <f>E40</f>
        <v>12971536.24000003</v>
      </c>
      <c r="F75" s="4">
        <f>F40</f>
        <v>19182271.040000051</v>
      </c>
      <c r="G75" s="4">
        <f>G40</f>
        <v>18753906.78000005</v>
      </c>
      <c r="H75" s="4">
        <f>H40</f>
        <v>18432526.840000041</v>
      </c>
      <c r="I75" s="4">
        <f t="shared" si="1"/>
        <v>69340240.900000185</v>
      </c>
    </row>
    <row r="76" spans="3:9" x14ac:dyDescent="0.35">
      <c r="D76" t="s">
        <v>129</v>
      </c>
      <c r="E76" s="4">
        <f>E20</f>
        <v>12181665.819149438</v>
      </c>
      <c r="F76" s="4">
        <f>F20</f>
        <v>17549386.417641003</v>
      </c>
      <c r="G76" s="4">
        <f>G20</f>
        <v>16781048.649705492</v>
      </c>
      <c r="H76" s="4">
        <f>H20</f>
        <v>15775373.898645297</v>
      </c>
      <c r="I76" s="4">
        <f t="shared" si="1"/>
        <v>62287474.78514123</v>
      </c>
    </row>
    <row r="77" spans="3:9" x14ac:dyDescent="0.35">
      <c r="D77" t="s">
        <v>125</v>
      </c>
      <c r="E77" s="4">
        <f>E4</f>
        <v>11323059.495952094</v>
      </c>
      <c r="F77" s="4">
        <f>F4</f>
        <v>16538228.272051165</v>
      </c>
      <c r="G77" s="4">
        <f>G4</f>
        <v>14618718.37510119</v>
      </c>
      <c r="H77" s="4">
        <f>H4</f>
        <v>12863287.142525729</v>
      </c>
      <c r="I77" s="4">
        <f t="shared" si="1"/>
        <v>55343293.285630181</v>
      </c>
    </row>
    <row r="78" spans="3:9" x14ac:dyDescent="0.35">
      <c r="D78" t="s">
        <v>126</v>
      </c>
      <c r="E78" s="4">
        <f>E8+E12</f>
        <v>6530054.7859019088</v>
      </c>
      <c r="F78" s="4">
        <f t="shared" ref="F78:H78" si="2">F8+F12</f>
        <v>9534754.6883803625</v>
      </c>
      <c r="G78" s="4">
        <f t="shared" si="2"/>
        <v>8861546.398115959</v>
      </c>
      <c r="H78" s="4">
        <f t="shared" si="2"/>
        <v>7577809.4401076837</v>
      </c>
      <c r="I78" s="4">
        <f t="shared" si="1"/>
        <v>32504165.312505916</v>
      </c>
    </row>
    <row r="79" spans="3:9" x14ac:dyDescent="0.35">
      <c r="D79" t="s">
        <v>127</v>
      </c>
      <c r="E79" s="4">
        <f>E16</f>
        <v>5672922.4200000037</v>
      </c>
      <c r="F79" s="4">
        <f t="shared" ref="F79:H79" si="3">F16</f>
        <v>8188181.0700000059</v>
      </c>
      <c r="G79" s="4">
        <f t="shared" si="3"/>
        <v>8025857.9700000035</v>
      </c>
      <c r="H79" s="4">
        <f t="shared" si="3"/>
        <v>7803447.2200000035</v>
      </c>
      <c r="I79" s="4">
        <f t="shared" ref="I79:I80" si="4">SUM(E79:H79)</f>
        <v>29690408.680000015</v>
      </c>
    </row>
    <row r="80" spans="3:9" x14ac:dyDescent="0.35">
      <c r="D80" t="s">
        <v>116</v>
      </c>
      <c r="E80" s="4">
        <f>E52</f>
        <v>437762.92</v>
      </c>
      <c r="F80" s="4">
        <f t="shared" ref="F80:H80" si="5">F52</f>
        <v>656644.38</v>
      </c>
      <c r="G80" s="4">
        <f t="shared" si="5"/>
        <v>656644.38</v>
      </c>
      <c r="H80" s="4">
        <f t="shared" si="5"/>
        <v>644828.23</v>
      </c>
      <c r="I80" s="4">
        <f t="shared" si="4"/>
        <v>2395879.91</v>
      </c>
    </row>
    <row r="84" spans="4:13" x14ac:dyDescent="0.35">
      <c r="E84" t="s">
        <v>120</v>
      </c>
      <c r="F84" t="s">
        <v>121</v>
      </c>
      <c r="G84" t="s">
        <v>122</v>
      </c>
      <c r="H84" t="s">
        <v>123</v>
      </c>
      <c r="I84" t="s">
        <v>124</v>
      </c>
    </row>
    <row r="85" spans="4:13" x14ac:dyDescent="0.35">
      <c r="D85" t="s">
        <v>110</v>
      </c>
      <c r="E85">
        <v>189782178.72</v>
      </c>
      <c r="F85">
        <v>268936836.12000042</v>
      </c>
      <c r="G85">
        <v>249326574.06999981</v>
      </c>
      <c r="H85">
        <v>222594766.48999989</v>
      </c>
      <c r="I85">
        <v>930640355.4000001</v>
      </c>
      <c r="L85" t="s">
        <v>110</v>
      </c>
      <c r="M85">
        <v>1517687300.5481999</v>
      </c>
    </row>
    <row r="86" spans="4:13" x14ac:dyDescent="0.35">
      <c r="D86" t="s">
        <v>112</v>
      </c>
      <c r="E86">
        <v>65225362.229999907</v>
      </c>
      <c r="F86">
        <v>90890539.169999838</v>
      </c>
      <c r="G86">
        <v>83164446.899999827</v>
      </c>
      <c r="H86">
        <v>75008972.309999824</v>
      </c>
      <c r="I86">
        <v>314289320.60999942</v>
      </c>
      <c r="L86" t="s">
        <v>112</v>
      </c>
      <c r="M86">
        <v>588921938.5463165</v>
      </c>
    </row>
    <row r="87" spans="4:13" x14ac:dyDescent="0.35">
      <c r="D87" t="s">
        <v>128</v>
      </c>
      <c r="E87">
        <v>32097606.640000019</v>
      </c>
      <c r="F87">
        <v>46730825.070000023</v>
      </c>
      <c r="G87">
        <v>43192972.430000022</v>
      </c>
      <c r="H87">
        <v>41066993.170000009</v>
      </c>
      <c r="I87">
        <v>163088397.31000006</v>
      </c>
      <c r="L87" t="s">
        <v>128</v>
      </c>
      <c r="M87">
        <v>227338037.72726017</v>
      </c>
    </row>
    <row r="88" spans="4:13" x14ac:dyDescent="0.35">
      <c r="D88" t="s">
        <v>130</v>
      </c>
      <c r="E88">
        <v>31812632.780918028</v>
      </c>
      <c r="F88">
        <v>46061678.219047293</v>
      </c>
      <c r="G88">
        <v>43880182.455150165</v>
      </c>
      <c r="H88">
        <v>41008407.18192748</v>
      </c>
      <c r="I88">
        <v>162762900.63704297</v>
      </c>
      <c r="L88" t="s">
        <v>130</v>
      </c>
      <c r="M88">
        <v>188533580.72670579</v>
      </c>
    </row>
    <row r="89" spans="4:13" x14ac:dyDescent="0.35">
      <c r="D89" t="s">
        <v>111</v>
      </c>
      <c r="E89">
        <v>29590873.27</v>
      </c>
      <c r="F89">
        <v>43669383.060000002</v>
      </c>
      <c r="G89">
        <v>42567107.119999997</v>
      </c>
      <c r="H89">
        <v>39649962.110000037</v>
      </c>
      <c r="I89">
        <v>155477325.56000003</v>
      </c>
      <c r="L89" t="s">
        <v>111</v>
      </c>
      <c r="M89">
        <v>127531101.38953888</v>
      </c>
    </row>
    <row r="90" spans="4:13" x14ac:dyDescent="0.35">
      <c r="D90" t="s">
        <v>113</v>
      </c>
      <c r="E90">
        <v>12971536.24000003</v>
      </c>
      <c r="F90">
        <v>19182271.040000051</v>
      </c>
      <c r="G90">
        <v>18753906.78000005</v>
      </c>
      <c r="H90">
        <v>18432526.840000041</v>
      </c>
      <c r="I90">
        <v>69340240.900000185</v>
      </c>
      <c r="L90" t="s">
        <v>113</v>
      </c>
      <c r="M90">
        <v>68987994.817245364</v>
      </c>
    </row>
    <row r="91" spans="4:13" x14ac:dyDescent="0.35">
      <c r="D91" t="s">
        <v>129</v>
      </c>
      <c r="E91">
        <v>12181665.819149438</v>
      </c>
      <c r="F91">
        <v>17549386.417641003</v>
      </c>
      <c r="G91">
        <v>16781048.649705492</v>
      </c>
      <c r="H91">
        <v>15775373.898645297</v>
      </c>
      <c r="I91">
        <v>62287474.78514123</v>
      </c>
      <c r="L91" t="s">
        <v>129</v>
      </c>
      <c r="M91">
        <v>93921955.587476432</v>
      </c>
    </row>
    <row r="92" spans="4:13" x14ac:dyDescent="0.35">
      <c r="D92" t="s">
        <v>125</v>
      </c>
      <c r="E92">
        <v>11323059.495952094</v>
      </c>
      <c r="F92">
        <v>16538228.272051165</v>
      </c>
      <c r="G92">
        <v>14618718.37510119</v>
      </c>
      <c r="H92">
        <v>12863287.142525729</v>
      </c>
      <c r="I92">
        <v>55343293.285630181</v>
      </c>
      <c r="L92" t="s">
        <v>125</v>
      </c>
      <c r="M92">
        <v>84460351.362392485</v>
      </c>
    </row>
    <row r="93" spans="4:13" x14ac:dyDescent="0.35">
      <c r="D93" t="s">
        <v>126</v>
      </c>
      <c r="E93">
        <v>6530054.7859019088</v>
      </c>
      <c r="F93">
        <v>9534754.6883803625</v>
      </c>
      <c r="G93">
        <v>8861546.398115959</v>
      </c>
      <c r="H93">
        <v>7577809.4401076837</v>
      </c>
      <c r="I93">
        <v>32504165.312505916</v>
      </c>
      <c r="L93" t="s">
        <v>126</v>
      </c>
      <c r="M93">
        <v>57750145.352534525</v>
      </c>
    </row>
    <row r="94" spans="4:13" x14ac:dyDescent="0.35">
      <c r="D94" t="s">
        <v>127</v>
      </c>
      <c r="E94">
        <v>5672922.4200000037</v>
      </c>
      <c r="F94">
        <v>8188181.0700000059</v>
      </c>
      <c r="G94">
        <v>8025857.9700000035</v>
      </c>
      <c r="H94">
        <v>7803447.2200000035</v>
      </c>
      <c r="I94">
        <v>29690408.680000015</v>
      </c>
      <c r="L94" t="s">
        <v>127</v>
      </c>
      <c r="M94">
        <v>35801642.406613447</v>
      </c>
    </row>
    <row r="95" spans="4:13" x14ac:dyDescent="0.35">
      <c r="D95" t="s">
        <v>116</v>
      </c>
      <c r="E95">
        <v>437762.92</v>
      </c>
      <c r="F95">
        <v>656644.38</v>
      </c>
      <c r="G95">
        <v>656644.38</v>
      </c>
      <c r="H95">
        <v>644828.23</v>
      </c>
      <c r="I95">
        <v>2395879.91</v>
      </c>
      <c r="L95" t="s">
        <v>116</v>
      </c>
      <c r="M95">
        <v>5593249.5787396394</v>
      </c>
    </row>
    <row r="98" spans="4:23" x14ac:dyDescent="0.35">
      <c r="E98" t="s">
        <v>120</v>
      </c>
      <c r="F98" t="s">
        <v>121</v>
      </c>
      <c r="G98" t="s">
        <v>122</v>
      </c>
      <c r="H98" t="s">
        <v>123</v>
      </c>
      <c r="I98" t="s">
        <v>131</v>
      </c>
    </row>
    <row r="99" spans="4:23" x14ac:dyDescent="0.35">
      <c r="D99" t="s">
        <v>110</v>
      </c>
      <c r="E99">
        <f>INDEX($E$85:$E$95,MATCH(D99,$D$85:$D$95,0))</f>
        <v>189782178.72</v>
      </c>
      <c r="F99" s="4">
        <f>E99+F85</f>
        <v>458719014.84000039</v>
      </c>
      <c r="G99" s="4">
        <f>F99+G85</f>
        <v>708045588.91000021</v>
      </c>
      <c r="H99" s="4">
        <f t="shared" ref="H99" si="6">G99+H85</f>
        <v>930640355.4000001</v>
      </c>
      <c r="I99">
        <v>1517687300.5481999</v>
      </c>
    </row>
    <row r="100" spans="4:23" x14ac:dyDescent="0.35">
      <c r="D100" t="s">
        <v>112</v>
      </c>
      <c r="E100">
        <f t="shared" ref="E100:E109" si="7">INDEX($E$85:$E$95,MATCH(D100,$D$85:$D$95,0))</f>
        <v>65225362.229999907</v>
      </c>
      <c r="F100" s="4">
        <f>E100+F86</f>
        <v>156115901.39999974</v>
      </c>
      <c r="G100" s="4">
        <f t="shared" ref="F100:H109" si="8">F100+G86</f>
        <v>239280348.29999956</v>
      </c>
      <c r="H100" s="4">
        <f t="shared" si="8"/>
        <v>314289320.60999942</v>
      </c>
      <c r="I100">
        <v>588921938.5463165</v>
      </c>
    </row>
    <row r="101" spans="4:23" x14ac:dyDescent="0.35">
      <c r="D101" t="s">
        <v>128</v>
      </c>
      <c r="E101">
        <f t="shared" si="7"/>
        <v>32097606.640000019</v>
      </c>
      <c r="F101" s="4">
        <f t="shared" si="8"/>
        <v>78828431.710000038</v>
      </c>
      <c r="G101" s="4">
        <f t="shared" si="8"/>
        <v>122021404.14000006</v>
      </c>
      <c r="H101" s="4">
        <f t="shared" si="8"/>
        <v>163088397.31000006</v>
      </c>
      <c r="I101">
        <v>227338037.72726017</v>
      </c>
    </row>
    <row r="102" spans="4:23" x14ac:dyDescent="0.35">
      <c r="D102" t="s">
        <v>130</v>
      </c>
      <c r="E102">
        <f t="shared" si="7"/>
        <v>31812632.780918028</v>
      </c>
      <c r="F102" s="4">
        <f t="shared" si="8"/>
        <v>77874310.999965325</v>
      </c>
      <c r="G102" s="4">
        <f t="shared" si="8"/>
        <v>121754493.4551155</v>
      </c>
      <c r="H102" s="4">
        <f t="shared" si="8"/>
        <v>162762900.63704297</v>
      </c>
      <c r="I102">
        <v>188533580.72670579</v>
      </c>
    </row>
    <row r="103" spans="4:23" x14ac:dyDescent="0.35">
      <c r="D103" t="s">
        <v>111</v>
      </c>
      <c r="E103">
        <f t="shared" si="7"/>
        <v>29590873.27</v>
      </c>
      <c r="F103" s="4">
        <f t="shared" si="8"/>
        <v>73260256.329999998</v>
      </c>
      <c r="G103" s="4">
        <f t="shared" si="8"/>
        <v>115827363.44999999</v>
      </c>
      <c r="H103" s="4">
        <f t="shared" si="8"/>
        <v>155477325.56000003</v>
      </c>
      <c r="I103">
        <v>127531101.38953888</v>
      </c>
    </row>
    <row r="104" spans="4:23" x14ac:dyDescent="0.35">
      <c r="D104" t="s">
        <v>113</v>
      </c>
      <c r="E104">
        <f t="shared" si="7"/>
        <v>12971536.24000003</v>
      </c>
      <c r="F104" s="4">
        <f t="shared" si="8"/>
        <v>32153807.280000083</v>
      </c>
      <c r="G104" s="4">
        <f>F104+G90</f>
        <v>50907714.060000136</v>
      </c>
      <c r="H104" s="4">
        <f t="shared" si="8"/>
        <v>69340240.900000185</v>
      </c>
      <c r="I104">
        <v>68987994.817245364</v>
      </c>
      <c r="N104" t="s">
        <v>183</v>
      </c>
      <c r="O104">
        <f>N111+N112+N115+N121</f>
        <v>-599699471.16448379</v>
      </c>
      <c r="S104">
        <v>-1</v>
      </c>
    </row>
    <row r="105" spans="4:23" x14ac:dyDescent="0.35">
      <c r="D105" t="s">
        <v>129</v>
      </c>
      <c r="E105">
        <f t="shared" si="7"/>
        <v>12181665.819149438</v>
      </c>
      <c r="F105" s="4">
        <f t="shared" si="8"/>
        <v>29731052.236790441</v>
      </c>
      <c r="G105" s="4">
        <f t="shared" si="8"/>
        <v>46512100.886495933</v>
      </c>
      <c r="H105" s="4">
        <f t="shared" si="8"/>
        <v>62287474.78514123</v>
      </c>
      <c r="I105">
        <v>93921955.587476432</v>
      </c>
    </row>
    <row r="106" spans="4:23" x14ac:dyDescent="0.35">
      <c r="D106" t="s">
        <v>125</v>
      </c>
      <c r="E106">
        <f t="shared" si="7"/>
        <v>11323059.495952094</v>
      </c>
      <c r="F106" s="4">
        <f t="shared" si="8"/>
        <v>27861287.768003259</v>
      </c>
      <c r="G106" s="4">
        <f t="shared" si="8"/>
        <v>42480006.143104449</v>
      </c>
      <c r="H106" s="4">
        <f t="shared" si="8"/>
        <v>55343293.285630181</v>
      </c>
      <c r="I106">
        <v>84460351.362392485</v>
      </c>
    </row>
    <row r="107" spans="4:23" x14ac:dyDescent="0.35">
      <c r="D107" t="s">
        <v>126</v>
      </c>
      <c r="E107">
        <f t="shared" si="7"/>
        <v>6530054.7859019088</v>
      </c>
      <c r="F107" s="4">
        <f t="shared" si="8"/>
        <v>16064809.474282272</v>
      </c>
      <c r="G107" s="4">
        <f t="shared" si="8"/>
        <v>24926355.872398231</v>
      </c>
      <c r="H107" s="4">
        <f t="shared" si="8"/>
        <v>32504165.312505916</v>
      </c>
      <c r="I107">
        <v>57750145.352534525</v>
      </c>
    </row>
    <row r="108" spans="4:23" x14ac:dyDescent="0.35">
      <c r="D108" t="s">
        <v>127</v>
      </c>
      <c r="E108">
        <f t="shared" si="7"/>
        <v>5672922.4200000037</v>
      </c>
      <c r="F108" s="4">
        <f t="shared" si="8"/>
        <v>13861103.49000001</v>
      </c>
      <c r="G108" s="4">
        <f t="shared" si="8"/>
        <v>21886961.460000012</v>
      </c>
      <c r="H108" s="4">
        <f>G108+H94</f>
        <v>29690408.680000015</v>
      </c>
      <c r="I108">
        <v>35801642.406613447</v>
      </c>
      <c r="Q108" t="s">
        <v>183</v>
      </c>
      <c r="R108" s="5">
        <f>((N121+N119+N115+N112+N111)+-733460.753728909)*-1</f>
        <v>600432931.91821265</v>
      </c>
      <c r="V108" t="s">
        <v>111</v>
      </c>
      <c r="W108" s="9">
        <v>5.4700133586444488E-2</v>
      </c>
    </row>
    <row r="109" spans="4:23" x14ac:dyDescent="0.35">
      <c r="D109" t="s">
        <v>116</v>
      </c>
      <c r="E109">
        <f t="shared" si="7"/>
        <v>437762.92</v>
      </c>
      <c r="F109" s="4">
        <f t="shared" si="8"/>
        <v>1094407.3</v>
      </c>
      <c r="G109" s="4">
        <f t="shared" si="8"/>
        <v>1751051.6800000002</v>
      </c>
      <c r="H109" s="4">
        <f t="shared" si="8"/>
        <v>2395879.91</v>
      </c>
      <c r="I109">
        <v>5593249.5787396394</v>
      </c>
      <c r="M109" t="s">
        <v>185</v>
      </c>
      <c r="N109" s="5">
        <v>-19972740.785878725</v>
      </c>
      <c r="Q109" t="s">
        <v>109</v>
      </c>
      <c r="R109" s="5">
        <f>((N110)+-733460.753728909)*-1</f>
        <v>56849922.483087763</v>
      </c>
      <c r="V109" t="s">
        <v>112</v>
      </c>
      <c r="W109" s="9">
        <v>0.2552907262884061</v>
      </c>
    </row>
    <row r="110" spans="4:23" x14ac:dyDescent="0.35">
      <c r="M110" t="s">
        <v>186</v>
      </c>
      <c r="N110" s="5">
        <v>-56116461.729358852</v>
      </c>
      <c r="Q110" t="s">
        <v>107</v>
      </c>
      <c r="R110" s="5">
        <f>((N113)+-733460.753728909)*-1</f>
        <v>-18181861.603972796</v>
      </c>
      <c r="V110" t="s">
        <v>116</v>
      </c>
      <c r="W110" s="9">
        <v>9.8432116993601906E-4</v>
      </c>
    </row>
    <row r="111" spans="4:23" x14ac:dyDescent="0.35">
      <c r="M111" t="s">
        <v>187</v>
      </c>
      <c r="N111" s="5">
        <v>0</v>
      </c>
      <c r="Q111" t="s">
        <v>100</v>
      </c>
      <c r="R111" s="5">
        <f>((N109)+-733460.753728909)*-1</f>
        <v>20706201.539607633</v>
      </c>
      <c r="V111" t="s">
        <v>110</v>
      </c>
      <c r="W111" s="9">
        <v>0.65907333192716022</v>
      </c>
    </row>
    <row r="112" spans="4:23" x14ac:dyDescent="0.35">
      <c r="E112" t="s">
        <v>120</v>
      </c>
      <c r="F112" t="s">
        <v>121</v>
      </c>
      <c r="G112" t="s">
        <v>122</v>
      </c>
      <c r="H112" t="s">
        <v>123</v>
      </c>
      <c r="I112" t="s">
        <v>131</v>
      </c>
      <c r="M112" t="s">
        <v>188</v>
      </c>
      <c r="N112" s="5">
        <v>-737334371.58948374</v>
      </c>
      <c r="Q112" t="s">
        <v>117</v>
      </c>
      <c r="R112" s="5">
        <f>((N117)+-733460.753728909)*-1</f>
        <v>50559764.265256733</v>
      </c>
      <c r="V112" t="s">
        <v>113</v>
      </c>
      <c r="W112" s="9">
        <v>2.9951487028053152E-2</v>
      </c>
    </row>
    <row r="113" spans="4:26" x14ac:dyDescent="0.35">
      <c r="D113" t="s">
        <v>110</v>
      </c>
      <c r="E113">
        <v>189782178.72</v>
      </c>
      <c r="F113">
        <v>458719014.84000039</v>
      </c>
      <c r="G113">
        <v>708045588.91000021</v>
      </c>
      <c r="H113">
        <v>930640355.4000001</v>
      </c>
      <c r="I113" s="5">
        <f>R108*W111-40000000</f>
        <v>355729333.03813016</v>
      </c>
      <c r="M113" t="s">
        <v>189</v>
      </c>
      <c r="N113" s="5">
        <v>18915322.357701704</v>
      </c>
      <c r="Q113" t="s">
        <v>108</v>
      </c>
      <c r="R113" s="5">
        <f>((N114)+-733460.753728909)*-1</f>
        <v>23263751.487144418</v>
      </c>
    </row>
    <row r="114" spans="4:26" x14ac:dyDescent="0.35">
      <c r="D114" t="s">
        <v>112</v>
      </c>
      <c r="E114">
        <v>65225362.229999907</v>
      </c>
      <c r="F114">
        <v>156115901.39999974</v>
      </c>
      <c r="G114">
        <v>239280348.29999956</v>
      </c>
      <c r="H114">
        <v>314289320.60999942</v>
      </c>
      <c r="I114" s="5">
        <f>R108*W109</f>
        <v>153284959.27687761</v>
      </c>
      <c r="M114" t="s">
        <v>190</v>
      </c>
      <c r="N114" s="5">
        <v>-22530290.733415511</v>
      </c>
      <c r="Q114" t="s">
        <v>198</v>
      </c>
      <c r="R114" s="5">
        <f>((N118)+-733460.753728909)*-1</f>
        <v>21806085.173112057</v>
      </c>
    </row>
    <row r="115" spans="4:26" x14ac:dyDescent="0.35">
      <c r="D115" t="s">
        <v>128</v>
      </c>
      <c r="E115">
        <v>32097606.640000019</v>
      </c>
      <c r="F115">
        <v>78828431.710000038</v>
      </c>
      <c r="G115">
        <v>122021404.14000006</v>
      </c>
      <c r="H115">
        <v>163088397.31000006</v>
      </c>
      <c r="I115" s="25">
        <f>R109</f>
        <v>56849922.483087763</v>
      </c>
      <c r="M115" t="s">
        <v>191</v>
      </c>
      <c r="N115" s="5">
        <v>138251612</v>
      </c>
      <c r="R115" s="5">
        <f>-5134225.27610236/-1</f>
        <v>5134225.2761023603</v>
      </c>
    </row>
    <row r="116" spans="4:26" x14ac:dyDescent="0.35">
      <c r="D116" t="s">
        <v>130</v>
      </c>
      <c r="E116">
        <v>31812632.780918028</v>
      </c>
      <c r="F116">
        <v>77874310.999965325</v>
      </c>
      <c r="G116">
        <v>121754493.4551155</v>
      </c>
      <c r="H116">
        <v>162762900.63704297</v>
      </c>
      <c r="I116" s="25">
        <f>R112</f>
        <v>50559764.265256733</v>
      </c>
      <c r="M116" t="s">
        <v>192</v>
      </c>
      <c r="N116" s="5">
        <v>0</v>
      </c>
    </row>
    <row r="117" spans="4:26" x14ac:dyDescent="0.35">
      <c r="D117" t="s">
        <v>111</v>
      </c>
      <c r="E117">
        <v>29590873.27</v>
      </c>
      <c r="F117">
        <v>73260256.329999998</v>
      </c>
      <c r="G117">
        <v>115827363.44999999</v>
      </c>
      <c r="H117">
        <v>155477325.56000003</v>
      </c>
      <c r="I117" s="5">
        <f>R108*W108</f>
        <v>32843761.585626762</v>
      </c>
      <c r="M117" t="s">
        <v>193</v>
      </c>
      <c r="N117" s="5">
        <v>-49826303.511527821</v>
      </c>
    </row>
    <row r="118" spans="4:26" x14ac:dyDescent="0.35">
      <c r="D118" t="s">
        <v>113</v>
      </c>
      <c r="E118">
        <v>12971536.24000003</v>
      </c>
      <c r="F118">
        <v>32153807.280000083</v>
      </c>
      <c r="G118">
        <v>50907714.060000136</v>
      </c>
      <c r="H118">
        <v>69340240.900000185</v>
      </c>
      <c r="I118" s="5">
        <f>R108*W112</f>
        <v>17983859.171564266</v>
      </c>
      <c r="M118" t="s">
        <v>194</v>
      </c>
      <c r="N118" s="5">
        <v>-21072624.41938315</v>
      </c>
      <c r="R118" s="5"/>
    </row>
    <row r="119" spans="4:26" x14ac:dyDescent="0.35">
      <c r="D119" t="s">
        <v>129</v>
      </c>
      <c r="E119">
        <v>12181665.819149438</v>
      </c>
      <c r="F119">
        <v>29731052.236790441</v>
      </c>
      <c r="G119">
        <v>46512100.886495933</v>
      </c>
      <c r="H119">
        <v>62287474.78514123</v>
      </c>
      <c r="I119" s="25">
        <f>R113</f>
        <v>23263751.487144418</v>
      </c>
      <c r="M119" t="s">
        <v>195</v>
      </c>
      <c r="N119" s="5">
        <v>0</v>
      </c>
    </row>
    <row r="120" spans="4:26" x14ac:dyDescent="0.35">
      <c r="D120" t="s">
        <v>125</v>
      </c>
      <c r="E120">
        <v>11323059.495952094</v>
      </c>
      <c r="F120">
        <v>27861287.768003259</v>
      </c>
      <c r="G120">
        <v>42480006.143104449</v>
      </c>
      <c r="H120">
        <v>55343293.285630181</v>
      </c>
      <c r="I120" s="25">
        <f>R111</f>
        <v>20706201.539607633</v>
      </c>
      <c r="M120" t="s">
        <v>196</v>
      </c>
      <c r="N120" s="5">
        <v>-5134225.2761023603</v>
      </c>
    </row>
    <row r="121" spans="4:26" x14ac:dyDescent="0.35">
      <c r="D121" t="s">
        <v>126</v>
      </c>
      <c r="E121">
        <v>6530054.7859019088</v>
      </c>
      <c r="F121">
        <v>16064809.474282272</v>
      </c>
      <c r="G121">
        <v>24926355.872398231</v>
      </c>
      <c r="H121">
        <v>32504165.312505916</v>
      </c>
      <c r="I121" s="25">
        <f>R114</f>
        <v>21806085.173112057</v>
      </c>
      <c r="M121" t="s">
        <v>197</v>
      </c>
      <c r="N121" s="5">
        <v>-616711.57500000007</v>
      </c>
    </row>
    <row r="122" spans="4:26" x14ac:dyDescent="0.35">
      <c r="D122" t="s">
        <v>127</v>
      </c>
      <c r="E122">
        <v>5672922.4200000037</v>
      </c>
      <c r="F122">
        <v>13861103.49000001</v>
      </c>
      <c r="G122">
        <v>21886961.460000012</v>
      </c>
      <c r="H122">
        <v>29690408.680000015</v>
      </c>
      <c r="I122" s="25">
        <f>R110+40000000</f>
        <v>21818138.396027204</v>
      </c>
      <c r="P122" s="5"/>
    </row>
    <row r="123" spans="4:26" x14ac:dyDescent="0.35">
      <c r="D123" t="s">
        <v>116</v>
      </c>
      <c r="E123">
        <v>437762.92</v>
      </c>
      <c r="F123">
        <v>1094407.3</v>
      </c>
      <c r="G123">
        <v>1751051.6800000002</v>
      </c>
      <c r="H123">
        <v>2395879.91</v>
      </c>
      <c r="I123" s="5">
        <f>W110*R108</f>
        <v>591018.84601384914</v>
      </c>
    </row>
    <row r="124" spans="4:26" x14ac:dyDescent="0.35">
      <c r="N124" s="5">
        <f>SUM(I113:I123)+SUM(N109:N121)</f>
        <v>0</v>
      </c>
    </row>
    <row r="127" spans="4:26" x14ac:dyDescent="0.35">
      <c r="E127" t="s">
        <v>110</v>
      </c>
      <c r="F127" t="s">
        <v>112</v>
      </c>
      <c r="G127" t="s">
        <v>128</v>
      </c>
      <c r="H127" t="s">
        <v>130</v>
      </c>
      <c r="I127" t="s">
        <v>111</v>
      </c>
      <c r="J127" t="s">
        <v>113</v>
      </c>
      <c r="K127" t="s">
        <v>129</v>
      </c>
      <c r="L127" t="s">
        <v>125</v>
      </c>
      <c r="M127" t="s">
        <v>126</v>
      </c>
      <c r="N127" t="s">
        <v>127</v>
      </c>
      <c r="O127" t="s">
        <v>116</v>
      </c>
      <c r="P127" t="s">
        <v>147</v>
      </c>
      <c r="Q127" t="s">
        <v>145</v>
      </c>
      <c r="R127" t="s">
        <v>132</v>
      </c>
      <c r="W127" t="s">
        <v>145</v>
      </c>
      <c r="X127" t="s">
        <v>146</v>
      </c>
      <c r="Z127" t="s">
        <v>132</v>
      </c>
    </row>
    <row r="128" spans="4:26" x14ac:dyDescent="0.35">
      <c r="D128" t="s">
        <v>120</v>
      </c>
      <c r="E128" s="5">
        <v>189782178.72</v>
      </c>
      <c r="F128" s="5">
        <v>65225362.229999907</v>
      </c>
      <c r="G128" s="5">
        <v>32097606.640000019</v>
      </c>
      <c r="H128" s="5">
        <v>31812632.780918028</v>
      </c>
      <c r="I128" s="5">
        <v>29590873.27</v>
      </c>
      <c r="J128" s="5">
        <v>12971536.24000003</v>
      </c>
      <c r="K128" s="5">
        <v>12181665.819149438</v>
      </c>
      <c r="L128" s="5">
        <v>11323059.495952094</v>
      </c>
      <c r="M128" s="5">
        <v>6530054.7859019088</v>
      </c>
      <c r="N128" s="5">
        <v>5672922.4200000037</v>
      </c>
      <c r="O128" s="5">
        <v>437762.92</v>
      </c>
      <c r="P128" s="5">
        <f>R128+X128</f>
        <v>410297471.47364765</v>
      </c>
      <c r="Q128" s="5">
        <f>$Q$135*V128+R128</f>
        <v>652302539.23509681</v>
      </c>
      <c r="R128" s="5">
        <f>SUM(E128:O128)</f>
        <v>397625655.32192135</v>
      </c>
      <c r="V128">
        <v>1</v>
      </c>
      <c r="W128" s="4">
        <f>(V128*$Q$135)/1000-Y128</f>
        <v>242005.06776144914</v>
      </c>
      <c r="X128" s="4">
        <f>G182</f>
        <v>12671816.151726333</v>
      </c>
      <c r="Y128" s="4">
        <f>X128/1000</f>
        <v>12671.816151726334</v>
      </c>
      <c r="Z128" s="4">
        <f>R128/1000</f>
        <v>397625.65532192134</v>
      </c>
    </row>
    <row r="129" spans="4:26" x14ac:dyDescent="0.35">
      <c r="D129" t="s">
        <v>121</v>
      </c>
      <c r="E129" s="5">
        <v>458719014.84000039</v>
      </c>
      <c r="F129" s="5">
        <v>156115901.39999974</v>
      </c>
      <c r="G129" s="5">
        <v>78828431.710000038</v>
      </c>
      <c r="H129" s="5">
        <v>77874310.999965325</v>
      </c>
      <c r="I129" s="5">
        <v>73260256.329999998</v>
      </c>
      <c r="J129" s="5">
        <v>32153807.280000083</v>
      </c>
      <c r="K129" s="5">
        <v>29731052.236790441</v>
      </c>
      <c r="L129" s="5">
        <v>27861287.768003259</v>
      </c>
      <c r="M129" s="5">
        <v>16064809.474282272</v>
      </c>
      <c r="N129" s="5">
        <v>13861103.49000001</v>
      </c>
      <c r="O129" s="5">
        <v>1094407.3</v>
      </c>
      <c r="P129" s="5">
        <f t="shared" ref="P129:P131" si="9">R129+X129</f>
        <v>1026178987.4948125</v>
      </c>
      <c r="Q129" s="5">
        <f t="shared" ref="Q129:Q131" si="10">$Q$135*V129+R129</f>
        <v>1474918150.6553924</v>
      </c>
      <c r="R129" s="5">
        <f t="shared" ref="R129:R132" si="11">SUM(E129:O129)</f>
        <v>965564382.82904148</v>
      </c>
      <c r="V129">
        <v>2</v>
      </c>
      <c r="W129" s="4">
        <f t="shared" ref="W129:W131" si="12">(V129*$Q$135)/1000-Y129</f>
        <v>448739.16316057992</v>
      </c>
      <c r="X129" s="4">
        <f>J182+X128</f>
        <v>60614604.66577103</v>
      </c>
      <c r="Y129" s="4">
        <f t="shared" ref="Y129:Y131" si="13">X129/1000</f>
        <v>60614.604665771032</v>
      </c>
      <c r="Z129" s="4">
        <f t="shared" ref="Z129:Z131" si="14">R129/1000</f>
        <v>965564.38282904145</v>
      </c>
    </row>
    <row r="130" spans="4:26" x14ac:dyDescent="0.35">
      <c r="D130" t="s">
        <v>122</v>
      </c>
      <c r="E130" s="5">
        <v>708045588.91000021</v>
      </c>
      <c r="F130" s="5">
        <v>239280348.29999956</v>
      </c>
      <c r="G130" s="5">
        <v>122021404.14000006</v>
      </c>
      <c r="H130" s="5">
        <v>121754493.4551155</v>
      </c>
      <c r="I130" s="5">
        <v>115827363.44999999</v>
      </c>
      <c r="J130" s="5">
        <v>50907714.060000136</v>
      </c>
      <c r="K130" s="5">
        <v>46512100.886495933</v>
      </c>
      <c r="L130" s="5">
        <v>42480006.143104449</v>
      </c>
      <c r="M130" s="5">
        <v>24926355.872398231</v>
      </c>
      <c r="N130" s="5">
        <v>21886961.460000012</v>
      </c>
      <c r="O130" s="5">
        <v>1751051.6800000002</v>
      </c>
      <c r="P130" s="5">
        <f t="shared" si="9"/>
        <v>1644417024.7620215</v>
      </c>
      <c r="Q130" s="5">
        <f t="shared" si="10"/>
        <v>2259424040.0966406</v>
      </c>
      <c r="R130" s="5">
        <f t="shared" si="11"/>
        <v>1495393388.3571143</v>
      </c>
      <c r="V130">
        <v>3</v>
      </c>
      <c r="W130" s="4">
        <f t="shared" si="12"/>
        <v>615007.01533461909</v>
      </c>
      <c r="X130" s="4">
        <f>M182+X129</f>
        <v>149023636.40490732</v>
      </c>
      <c r="Y130" s="4">
        <f t="shared" si="13"/>
        <v>149023.6364049073</v>
      </c>
      <c r="Z130" s="4">
        <f t="shared" si="14"/>
        <v>1495393.3883571143</v>
      </c>
    </row>
    <row r="131" spans="4:26" x14ac:dyDescent="0.35">
      <c r="D131" t="s">
        <v>123</v>
      </c>
      <c r="E131" s="5">
        <v>930640355.4000001</v>
      </c>
      <c r="F131" s="5">
        <v>314289320.60999942</v>
      </c>
      <c r="G131" s="5">
        <v>163088397.31000006</v>
      </c>
      <c r="H131" s="5">
        <v>162762900.63704297</v>
      </c>
      <c r="I131" s="5">
        <v>155477325.56000003</v>
      </c>
      <c r="J131" s="5">
        <v>69340240.900000185</v>
      </c>
      <c r="K131" s="5">
        <v>62287474.78514123</v>
      </c>
      <c r="L131" s="5">
        <v>55343293.285630181</v>
      </c>
      <c r="M131" s="5">
        <v>32504165.312505916</v>
      </c>
      <c r="N131" s="5">
        <v>29690408.680000015</v>
      </c>
      <c r="O131" s="5">
        <v>2395879.91</v>
      </c>
      <c r="P131" s="5">
        <f t="shared" si="9"/>
        <v>2264336787.1010818</v>
      </c>
      <c r="Q131" s="5">
        <f t="shared" si="10"/>
        <v>2996527298.0430222</v>
      </c>
      <c r="R131" s="5">
        <f t="shared" si="11"/>
        <v>1977819762.3903203</v>
      </c>
      <c r="V131">
        <v>4</v>
      </c>
      <c r="W131" s="4">
        <f t="shared" si="12"/>
        <v>732190.51094194036</v>
      </c>
      <c r="X131" s="4">
        <f>P182+X130</f>
        <v>286517024.71076149</v>
      </c>
      <c r="Y131" s="4">
        <f t="shared" si="13"/>
        <v>286517.0247107615</v>
      </c>
      <c r="Z131" s="4">
        <f t="shared" si="14"/>
        <v>1977819.7623903202</v>
      </c>
    </row>
    <row r="132" spans="4:26" x14ac:dyDescent="0.35">
      <c r="D132" t="s">
        <v>131</v>
      </c>
      <c r="E132" s="5">
        <v>1517687300.5481999</v>
      </c>
      <c r="F132" s="5">
        <v>588921938.5463165</v>
      </c>
      <c r="G132" s="5">
        <v>227338037.72726017</v>
      </c>
      <c r="H132" s="5">
        <v>188533580.72670579</v>
      </c>
      <c r="I132" s="5">
        <v>127531101.38953888</v>
      </c>
      <c r="J132" s="5">
        <v>68987994.817245364</v>
      </c>
      <c r="K132" s="5">
        <v>93921955.587476432</v>
      </c>
      <c r="L132" s="5">
        <v>84460351.362392485</v>
      </c>
      <c r="M132" s="5">
        <v>57750145.352534525</v>
      </c>
      <c r="N132" s="5">
        <v>35801642.406613447</v>
      </c>
      <c r="O132" s="5">
        <v>5593249.5787396394</v>
      </c>
      <c r="P132" s="5"/>
      <c r="Q132" s="5"/>
      <c r="R132" s="5">
        <f t="shared" si="11"/>
        <v>2996527298.0430222</v>
      </c>
    </row>
    <row r="134" spans="4:26" x14ac:dyDescent="0.35">
      <c r="Q134" s="5">
        <f>R132-R131</f>
        <v>1018707535.6527019</v>
      </c>
    </row>
    <row r="135" spans="4:26" x14ac:dyDescent="0.35">
      <c r="Q135" s="5">
        <f>Q134/4</f>
        <v>254676883.91317546</v>
      </c>
      <c r="R135" s="5"/>
    </row>
    <row r="136" spans="4:26" x14ac:dyDescent="0.35">
      <c r="E136" t="s">
        <v>120</v>
      </c>
      <c r="F136" t="s">
        <v>131</v>
      </c>
      <c r="Q136" s="5"/>
      <c r="R136" s="5"/>
    </row>
    <row r="137" spans="4:26" x14ac:dyDescent="0.35">
      <c r="D137" t="s">
        <v>110</v>
      </c>
      <c r="E137">
        <v>189782178.72</v>
      </c>
      <c r="F137">
        <v>355729333.03813016</v>
      </c>
      <c r="Q137" s="5"/>
      <c r="R137" s="5"/>
    </row>
    <row r="138" spans="4:26" x14ac:dyDescent="0.35">
      <c r="D138" t="s">
        <v>112</v>
      </c>
      <c r="E138">
        <v>65225362.229999907</v>
      </c>
      <c r="F138">
        <v>153284959.27687761</v>
      </c>
      <c r="Q138" s="5"/>
      <c r="R138" s="5"/>
    </row>
    <row r="139" spans="4:26" x14ac:dyDescent="0.35">
      <c r="D139" t="s">
        <v>128</v>
      </c>
      <c r="E139">
        <v>32097606.640000019</v>
      </c>
      <c r="F139">
        <v>56849922.483087763</v>
      </c>
      <c r="Q139" s="5"/>
      <c r="R139" s="5"/>
    </row>
    <row r="140" spans="4:26" x14ac:dyDescent="0.35">
      <c r="D140" t="s">
        <v>130</v>
      </c>
      <c r="E140">
        <v>31812632.780918028</v>
      </c>
      <c r="F140">
        <v>50559764.265256733</v>
      </c>
      <c r="Q140" s="5"/>
      <c r="R140" s="5"/>
    </row>
    <row r="141" spans="4:26" x14ac:dyDescent="0.35">
      <c r="D141" t="s">
        <v>111</v>
      </c>
      <c r="E141">
        <v>29590873.27</v>
      </c>
      <c r="F141">
        <v>32843761.585626762</v>
      </c>
      <c r="Q141" s="5"/>
      <c r="R141" s="5"/>
    </row>
    <row r="142" spans="4:26" x14ac:dyDescent="0.35">
      <c r="D142" t="s">
        <v>113</v>
      </c>
      <c r="E142">
        <v>12971536.24000003</v>
      </c>
      <c r="F142">
        <v>17983859.171564266</v>
      </c>
      <c r="Q142" s="5"/>
      <c r="R142" s="5"/>
    </row>
    <row r="143" spans="4:26" x14ac:dyDescent="0.35">
      <c r="D143" t="s">
        <v>129</v>
      </c>
      <c r="E143">
        <v>12181665.819149438</v>
      </c>
      <c r="F143">
        <v>23263751.487144418</v>
      </c>
      <c r="Q143" s="5"/>
      <c r="R143" s="5"/>
    </row>
    <row r="144" spans="4:26" x14ac:dyDescent="0.35">
      <c r="D144" t="s">
        <v>125</v>
      </c>
      <c r="E144">
        <v>11323059.495952094</v>
      </c>
      <c r="F144">
        <v>20706201.539607633</v>
      </c>
      <c r="Q144" s="5"/>
      <c r="R144" s="5"/>
    </row>
    <row r="145" spans="4:18" x14ac:dyDescent="0.35">
      <c r="D145" t="s">
        <v>126</v>
      </c>
      <c r="E145">
        <v>6530054.7859019088</v>
      </c>
      <c r="F145">
        <v>21806085.173112057</v>
      </c>
      <c r="Q145" s="5"/>
      <c r="R145" s="5"/>
    </row>
    <row r="146" spans="4:18" x14ac:dyDescent="0.35">
      <c r="D146" t="s">
        <v>127</v>
      </c>
      <c r="E146">
        <v>5672922.4200000037</v>
      </c>
      <c r="F146">
        <v>21818138.396027204</v>
      </c>
      <c r="Q146" s="5"/>
      <c r="R146" s="5"/>
    </row>
    <row r="147" spans="4:18" x14ac:dyDescent="0.35">
      <c r="D147" t="s">
        <v>116</v>
      </c>
      <c r="E147">
        <v>437762.92</v>
      </c>
      <c r="F147">
        <v>591018.84601384914</v>
      </c>
      <c r="Q147" s="5"/>
      <c r="R147" s="5"/>
    </row>
    <row r="148" spans="4:18" x14ac:dyDescent="0.35">
      <c r="Q148" s="5"/>
      <c r="R148" s="5"/>
    </row>
    <row r="149" spans="4:18" x14ac:dyDescent="0.35">
      <c r="E149" t="s">
        <v>110</v>
      </c>
      <c r="F149" t="s">
        <v>112</v>
      </c>
      <c r="G149" t="s">
        <v>128</v>
      </c>
      <c r="H149" t="s">
        <v>130</v>
      </c>
      <c r="I149" t="s">
        <v>111</v>
      </c>
      <c r="J149" t="s">
        <v>113</v>
      </c>
      <c r="K149" t="s">
        <v>129</v>
      </c>
      <c r="L149" t="s">
        <v>125</v>
      </c>
      <c r="M149" t="s">
        <v>126</v>
      </c>
      <c r="N149" t="s">
        <v>127</v>
      </c>
      <c r="O149" t="s">
        <v>116</v>
      </c>
      <c r="P149" t="s">
        <v>147</v>
      </c>
      <c r="Q149" s="5" t="s">
        <v>145</v>
      </c>
      <c r="R149" s="5" t="s">
        <v>132</v>
      </c>
    </row>
    <row r="150" spans="4:18" x14ac:dyDescent="0.35">
      <c r="D150" t="s">
        <v>120</v>
      </c>
      <c r="E150" s="5">
        <v>189782178.72</v>
      </c>
      <c r="F150" s="5">
        <v>65225362.229999907</v>
      </c>
      <c r="G150" s="5">
        <v>32097606.640000019</v>
      </c>
      <c r="H150" s="5">
        <v>31812632.780918028</v>
      </c>
      <c r="I150" s="5">
        <v>29590873.27</v>
      </c>
      <c r="J150" s="5">
        <v>12971536.24000003</v>
      </c>
      <c r="K150" s="5">
        <v>12181665.819149438</v>
      </c>
      <c r="L150" s="5">
        <v>11323059.495952094</v>
      </c>
      <c r="M150" s="5">
        <v>6530054.7859019088</v>
      </c>
      <c r="N150" s="5">
        <v>5672922.4200000037</v>
      </c>
      <c r="O150" s="5">
        <v>437762.92</v>
      </c>
      <c r="P150" s="5">
        <f>Q154+Y128</f>
        <v>89465456.801283523</v>
      </c>
      <c r="Q150" s="5">
        <f>R150+Q154</f>
        <v>487078440.30705315</v>
      </c>
      <c r="R150" s="5">
        <f>SUM(E150:O150)</f>
        <v>397625655.32192135</v>
      </c>
    </row>
    <row r="151" spans="4:18" x14ac:dyDescent="0.35">
      <c r="D151" t="s">
        <v>131</v>
      </c>
      <c r="E151" s="5">
        <v>355729333.03813016</v>
      </c>
      <c r="F151" s="5">
        <v>153284959.27687761</v>
      </c>
      <c r="G151" s="5">
        <v>56849922.483087763</v>
      </c>
      <c r="H151" s="5">
        <v>50559764.265256733</v>
      </c>
      <c r="I151" s="5">
        <v>32843761.585626762</v>
      </c>
      <c r="J151" s="5">
        <v>17983859.171564266</v>
      </c>
      <c r="K151" s="5">
        <v>23263751.487144418</v>
      </c>
      <c r="L151" s="5">
        <v>20706201.539607633</v>
      </c>
      <c r="M151" s="5">
        <v>21806085.173112057</v>
      </c>
      <c r="N151" s="5">
        <v>21818138.396027204</v>
      </c>
      <c r="O151" s="5">
        <v>591018.84601384914</v>
      </c>
      <c r="Q151" s="5"/>
      <c r="R151" s="5">
        <f>SUM(E151:O151)</f>
        <v>755436795.26244855</v>
      </c>
    </row>
    <row r="152" spans="4:18" x14ac:dyDescent="0.35">
      <c r="R152" s="5"/>
    </row>
    <row r="153" spans="4:18" x14ac:dyDescent="0.35">
      <c r="Q153" s="5">
        <f>R151-R150</f>
        <v>357811139.9405272</v>
      </c>
      <c r="R153" s="5"/>
    </row>
    <row r="154" spans="4:18" x14ac:dyDescent="0.35">
      <c r="Q154" s="5">
        <f>Q153/4</f>
        <v>89452784.9851318</v>
      </c>
      <c r="R154" s="5"/>
    </row>
    <row r="155" spans="4:18" x14ac:dyDescent="0.35">
      <c r="Q155" s="5"/>
      <c r="R155" s="5"/>
    </row>
    <row r="156" spans="4:18" x14ac:dyDescent="0.35">
      <c r="R156" s="5"/>
    </row>
    <row r="157" spans="4:18" x14ac:dyDescent="0.35">
      <c r="R157" s="5"/>
    </row>
    <row r="158" spans="4:18" x14ac:dyDescent="0.35">
      <c r="E158" s="6" t="s">
        <v>133</v>
      </c>
      <c r="F158" s="6" t="s">
        <v>134</v>
      </c>
      <c r="G158" s="6" t="s">
        <v>135</v>
      </c>
      <c r="H158" t="s">
        <v>136</v>
      </c>
      <c r="I158" t="s">
        <v>137</v>
      </c>
      <c r="J158" t="s">
        <v>138</v>
      </c>
      <c r="K158" s="6" t="s">
        <v>139</v>
      </c>
      <c r="L158" s="6" t="s">
        <v>140</v>
      </c>
      <c r="M158" s="6" t="s">
        <v>141</v>
      </c>
      <c r="N158" t="s">
        <v>142</v>
      </c>
      <c r="O158" t="s">
        <v>143</v>
      </c>
      <c r="P158" t="s">
        <v>144</v>
      </c>
    </row>
    <row r="159" spans="4:18" x14ac:dyDescent="0.35">
      <c r="D159" t="s">
        <v>110</v>
      </c>
      <c r="E159" s="5">
        <f>Inland!C5</f>
        <v>96030610.380000025</v>
      </c>
      <c r="F159" s="5">
        <f>Inland!D5</f>
        <v>93751568.339999989</v>
      </c>
      <c r="G159" s="5">
        <f>Inland!E5</f>
        <v>91535497.400000095</v>
      </c>
      <c r="H159" s="5">
        <f>Inland!F5</f>
        <v>89801239.960000098</v>
      </c>
      <c r="I159" s="5">
        <f>Inland!G5</f>
        <v>87600098.760000169</v>
      </c>
      <c r="J159" s="5">
        <f>Inland!H5</f>
        <v>85499849.419999883</v>
      </c>
      <c r="K159" s="5">
        <f>Inland!I5</f>
        <v>83332881.659999862</v>
      </c>
      <c r="L159" s="5">
        <f>Inland!J5</f>
        <v>80493842.990000024</v>
      </c>
      <c r="M159" s="5">
        <f>Inland!K5</f>
        <v>77276183.949999943</v>
      </c>
      <c r="N159" s="5">
        <f>Inland!L5</f>
        <v>74149554.8699999</v>
      </c>
      <c r="O159" s="5">
        <f>Inland!M5</f>
        <v>71169027.670000017</v>
      </c>
      <c r="P159" s="5">
        <f>Inland!N5</f>
        <v>68546568.710000157</v>
      </c>
    </row>
    <row r="160" spans="4:18" x14ac:dyDescent="0.35">
      <c r="D160" t="s">
        <v>112</v>
      </c>
      <c r="E160" s="5">
        <f>Coastal!C5</f>
        <v>33082838.639999948</v>
      </c>
      <c r="F160" s="5">
        <f>Coastal!D5</f>
        <v>32142523.589999959</v>
      </c>
      <c r="G160" s="5">
        <f>Coastal!E5</f>
        <v>31181889.189999931</v>
      </c>
      <c r="H160" s="5">
        <f>Coastal!F5</f>
        <v>30345711.099999938</v>
      </c>
      <c r="I160" s="5">
        <f>Coastal!G5</f>
        <v>29362938.879999962</v>
      </c>
      <c r="J160" s="5">
        <f>Coastal!H5</f>
        <v>28611785.609999951</v>
      </c>
      <c r="K160" s="5">
        <f>Coastal!I5</f>
        <v>27625885.169999931</v>
      </c>
      <c r="L160" s="5">
        <f>Coastal!J5</f>
        <v>26926776.119999941</v>
      </c>
      <c r="M160" s="5">
        <f>Coastal!K5</f>
        <v>25859169.199999951</v>
      </c>
      <c r="N160" s="5">
        <f>Coastal!L5</f>
        <v>25063299.94999994</v>
      </c>
      <c r="O160" s="5">
        <f>Coastal!M5</f>
        <v>24086503.159999941</v>
      </c>
      <c r="P160" s="5">
        <f>Coastal!N5</f>
        <v>23053629.30999995</v>
      </c>
    </row>
    <row r="161" spans="4:17" x14ac:dyDescent="0.35">
      <c r="D161" t="s">
        <v>128</v>
      </c>
      <c r="E161" s="5">
        <f>NAM!C5</f>
        <v>16138262.420000009</v>
      </c>
      <c r="F161" s="5">
        <f>NAM!D5</f>
        <v>15959344.22000001</v>
      </c>
      <c r="G161" s="5">
        <f>NAM!E5</f>
        <v>15891804.910000009</v>
      </c>
      <c r="H161" s="5">
        <f>NAM!F5</f>
        <v>15534344.580000009</v>
      </c>
      <c r="I161" s="5">
        <f>NAM!G5</f>
        <v>15304675.580000009</v>
      </c>
      <c r="J161" s="5">
        <f>NAM!H5</f>
        <v>14625994.72000001</v>
      </c>
      <c r="K161" s="5">
        <f>NAM!I5</f>
        <v>14451584.020000011</v>
      </c>
      <c r="L161" s="5">
        <f>NAM!J5</f>
        <v>14115393.689999999</v>
      </c>
      <c r="M161" s="5">
        <f>NAM!K5</f>
        <v>13894804.689999999</v>
      </c>
      <c r="N161" s="5">
        <f>NAM!L5</f>
        <v>13697938.4</v>
      </c>
      <c r="O161" s="5">
        <f>NAM!M5</f>
        <v>13474250.080000009</v>
      </c>
      <c r="P161" s="5">
        <f>NAM!N5</f>
        <v>13305325.99000001</v>
      </c>
    </row>
    <row r="162" spans="4:17" x14ac:dyDescent="0.35">
      <c r="D162" t="s">
        <v>130</v>
      </c>
      <c r="E162" s="5">
        <f>$A$56*ZAM!C5+$A$60*ZMK!C5</f>
        <v>16573850.318489039</v>
      </c>
      <c r="F162" s="5">
        <f>$A$56*ZAM!D5+$A$60*ZMK!D5</f>
        <v>16395171.884908073</v>
      </c>
      <c r="G162" s="5">
        <f>$A$56*ZAM!E5+$A$60*ZMK!E5</f>
        <v>16176964.004375495</v>
      </c>
      <c r="H162" s="5">
        <f>$A$56*ZAM!F5+$A$60*ZMK!F5</f>
        <v>15996017.985897925</v>
      </c>
      <c r="I162" s="5">
        <f>$A$56*ZAM!G5+$A$60*ZMK!G5</f>
        <v>15623280.362492504</v>
      </c>
      <c r="J162" s="5">
        <f>$A$56*ZAM!H5+$A$60*ZMK!H5</f>
        <v>15367005.717970027</v>
      </c>
      <c r="K162" s="5">
        <f>$A$56*ZAM!I5+$A$60*ZMK!I5</f>
        <v>15184890.169906184</v>
      </c>
      <c r="L162" s="5">
        <f>$A$56*ZAM!J5+$A$60*ZMK!J5</f>
        <v>15062870.700992592</v>
      </c>
      <c r="M162" s="5">
        <f>$A$56*ZAM!K5+$A$60*ZMK!K5</f>
        <v>14576019.316657111</v>
      </c>
      <c r="N162" s="5">
        <f>$A$56*ZAM!L5+$A$60*ZMK!L5</f>
        <v>14290275.320225118</v>
      </c>
      <c r="O162" s="5">
        <f>$A$56*ZAM!M5+$A$60*ZMK!M5</f>
        <v>13876696.678763885</v>
      </c>
      <c r="P162" s="5">
        <f>$A$56*ZAM!N5+$A$60*ZMK!N5</f>
        <v>13388629.50611024</v>
      </c>
    </row>
    <row r="163" spans="4:17" x14ac:dyDescent="0.35">
      <c r="D163" t="s">
        <v>111</v>
      </c>
      <c r="E163" s="5">
        <f>'Central &amp; Commercial'!C5</f>
        <v>14825089.800000001</v>
      </c>
      <c r="F163" s="5">
        <f>'Central &amp; Commercial'!D5</f>
        <v>14765783.470000001</v>
      </c>
      <c r="G163" s="5">
        <f>'Central &amp; Commercial'!E5</f>
        <v>14648978.140000001</v>
      </c>
      <c r="H163" s="5">
        <f>'Central &amp; Commercial'!F5</f>
        <v>14588662.529999999</v>
      </c>
      <c r="I163" s="5">
        <f>'Central &amp; Commercial'!G5</f>
        <v>14431742.390000001</v>
      </c>
      <c r="J163" s="5">
        <f>'Central &amp; Commercial'!H5</f>
        <v>14305136.060000001</v>
      </c>
      <c r="K163" s="5">
        <f>'Central &amp; Commercial'!I5</f>
        <v>14163221.939999999</v>
      </c>
      <c r="L163" s="5">
        <f>'Central &amp; Commercial'!J5</f>
        <v>14098749.119999999</v>
      </c>
      <c r="M163" s="5">
        <f>'Central &amp; Commercial'!K5</f>
        <v>13711850.199999999</v>
      </c>
      <c r="N163" s="5">
        <f>'Central &amp; Commercial'!L5</f>
        <v>13099416.580000009</v>
      </c>
      <c r="O163" s="5">
        <f>'Central &amp; Commercial'!M5</f>
        <v>12838695.33000003</v>
      </c>
      <c r="P163" s="5">
        <f>'Central &amp; Commercial'!N5</f>
        <v>12801561.26000003</v>
      </c>
    </row>
    <row r="164" spans="4:17" x14ac:dyDescent="0.35">
      <c r="D164" t="s">
        <v>129</v>
      </c>
      <c r="E164" s="5">
        <f>$A$20*MOZ!C5</f>
        <v>6147007.6860961271</v>
      </c>
      <c r="F164" s="5">
        <f>$A$20*MOZ!D5</f>
        <v>6034658.1330533149</v>
      </c>
      <c r="G164" s="5">
        <f>$A$20*MOZ!E5</f>
        <v>5936317.8461148608</v>
      </c>
      <c r="H164" s="5">
        <f>$A$20*MOZ!F5</f>
        <v>5863322.7240595147</v>
      </c>
      <c r="I164" s="5">
        <f>$A$20*MOZ!G5</f>
        <v>5749745.8474666253</v>
      </c>
      <c r="J164" s="5">
        <f>$A$20*MOZ!H5</f>
        <v>5680137.8285423536</v>
      </c>
      <c r="K164" s="5">
        <f>$A$20*MOZ!I5</f>
        <v>5582350.3848603768</v>
      </c>
      <c r="L164" s="5">
        <f>$A$20*MOZ!J5</f>
        <v>5518560.4363027606</v>
      </c>
      <c r="M164" s="5">
        <f>$A$20*MOZ!K5</f>
        <v>5473084.5744594894</v>
      </c>
      <c r="N164" s="5">
        <f>$A$20*MOZ!L5</f>
        <v>5308796.5882743523</v>
      </c>
      <c r="O164" s="5">
        <f>$A$20*MOZ!M5</f>
        <v>4993492.7359114513</v>
      </c>
      <c r="P164" s="5">
        <f>$A$20*MOZ!N5</f>
        <v>4927044.0677766874</v>
      </c>
    </row>
    <row r="165" spans="4:17" x14ac:dyDescent="0.35">
      <c r="D165" t="s">
        <v>125</v>
      </c>
      <c r="E165" s="5">
        <f>$A$4*BOT!C5</f>
        <v>5690851.2598013123</v>
      </c>
      <c r="F165" s="5">
        <f>$A$4*BOT!D5</f>
        <v>5632208.2361507835</v>
      </c>
      <c r="G165" s="5">
        <f>$A$4*BOT!E5</f>
        <v>5614169.8232808141</v>
      </c>
      <c r="H165" s="5">
        <f>$A$4*BOT!F5</f>
        <v>5563224.9628318632</v>
      </c>
      <c r="I165" s="5">
        <f>$A$4*BOT!G5</f>
        <v>5360833.4859384941</v>
      </c>
      <c r="J165" s="5">
        <f>$A$4*BOT!H5</f>
        <v>5190672.0914676115</v>
      </c>
      <c r="K165" s="5">
        <f>$A$4*BOT!I5</f>
        <v>4830840.9512205431</v>
      </c>
      <c r="L165" s="5">
        <f>$A$4*BOT!J5</f>
        <v>4597205.3324130401</v>
      </c>
      <c r="M165" s="5">
        <f>$A$4*BOT!K5</f>
        <v>4472693.374974235</v>
      </c>
      <c r="N165" s="5">
        <f>$A$4*BOT!L5</f>
        <v>4343234.7991839573</v>
      </c>
      <c r="O165" s="5">
        <f>$A$4*BOT!M5</f>
        <v>4047358.9683675366</v>
      </c>
      <c r="P165" s="5">
        <f>$A$4*BOT!N5</f>
        <v>3903093.6743380828</v>
      </c>
    </row>
    <row r="166" spans="4:17" x14ac:dyDescent="0.35">
      <c r="D166" t="s">
        <v>126</v>
      </c>
      <c r="E166" s="5">
        <f>$A$8*GHA!C5+'Summary ZAR'!$A$12*GHC!C5</f>
        <v>3288516.0529341418</v>
      </c>
      <c r="F166" s="5">
        <f>$A$8*GHA!D5+'Summary ZAR'!$A$12*GHC!D5</f>
        <v>3241538.7329677674</v>
      </c>
      <c r="G166" s="5">
        <f>$A$8*GHA!E5+'Summary ZAR'!$A$12*GHC!E5</f>
        <v>3234986.4720637635</v>
      </c>
      <c r="H166" s="5">
        <f>$A$8*GHA!F5+'Summary ZAR'!$A$12*GHC!F5</f>
        <v>3199947.0073887059</v>
      </c>
      <c r="I166" s="5">
        <f>$A$8*GHA!G5+'Summary ZAR'!$A$12*GHC!G5</f>
        <v>3099821.2089278917</v>
      </c>
      <c r="J166" s="5">
        <f>$A$8*GHA!H5+'Summary ZAR'!$A$12*GHC!H5</f>
        <v>3083598.5849335776</v>
      </c>
      <c r="K166" s="5">
        <f>$A$8*GHA!I5+'Summary ZAR'!$A$12*GHC!I5</f>
        <v>2923086.3063806426</v>
      </c>
      <c r="L166" s="5">
        <f>$A$8*GHA!J5+'Summary ZAR'!$A$12*GHC!J5</f>
        <v>2854861.5068017398</v>
      </c>
      <c r="M166" s="5">
        <f>$A$8*GHA!K5+'Summary ZAR'!$A$12*GHC!K5</f>
        <v>2844048.1778571368</v>
      </c>
      <c r="N166" s="5">
        <f>$A$8*GHA!L5+'Summary ZAR'!$A$12*GHC!L5</f>
        <v>2382082.3173447293</v>
      </c>
      <c r="O166" s="5">
        <f>$A$8*GHA!M5+'Summary ZAR'!$A$12*GHC!M5</f>
        <v>2351678.944905818</v>
      </c>
      <c r="P166" s="5">
        <f>$A$8*GHA!N5+'Summary ZAR'!$A$12*GHC!N5</f>
        <v>2351678.944905818</v>
      </c>
    </row>
    <row r="167" spans="4:17" x14ac:dyDescent="0.35">
      <c r="D167" t="s">
        <v>113</v>
      </c>
      <c r="E167" s="5">
        <f>'Public Sector
'!B5</f>
        <v>7049966.0100000128</v>
      </c>
      <c r="F167" s="5">
        <f>'Public Sector
'!C5</f>
        <v>6551310.2400000161</v>
      </c>
      <c r="G167" s="5">
        <f>'Public Sector
'!D5</f>
        <v>6420226.0000000168</v>
      </c>
      <c r="H167" s="5">
        <f>'Public Sector
'!E5</f>
        <v>6420226.0000000168</v>
      </c>
      <c r="I167" s="5">
        <f>'Public Sector
'!F5</f>
        <v>6420226.0000000168</v>
      </c>
      <c r="J167" s="5">
        <f>'Public Sector
'!G5</f>
        <v>6341819.0400000168</v>
      </c>
      <c r="K167" s="5">
        <f>'Public Sector
'!H5</f>
        <v>6282865.5400000159</v>
      </c>
      <c r="L167" s="5">
        <f>'Public Sector
'!I5</f>
        <v>6257564.8600000162</v>
      </c>
      <c r="M167" s="5">
        <f>'Public Sector
'!J5</f>
        <v>6213476.3800000148</v>
      </c>
      <c r="N167" s="5">
        <f>'Public Sector
'!K5</f>
        <v>6213476.3800000148</v>
      </c>
      <c r="O167" s="5">
        <f>'Public Sector
'!L5</f>
        <v>6156716.4500000151</v>
      </c>
      <c r="P167" s="5">
        <f>'Public Sector
'!M5</f>
        <v>6062334.0100000137</v>
      </c>
    </row>
    <row r="168" spans="4:17" x14ac:dyDescent="0.35">
      <c r="D168" t="s">
        <v>127</v>
      </c>
      <c r="E168" s="5">
        <f>LES!C5</f>
        <v>2851671.5100000012</v>
      </c>
      <c r="F168" s="5">
        <f>LES!D5</f>
        <v>2821250.910000002</v>
      </c>
      <c r="G168" s="5">
        <f>LES!E5</f>
        <v>2749320.4600000018</v>
      </c>
      <c r="H168" s="5">
        <f>LES!F5</f>
        <v>2728690.5600000019</v>
      </c>
      <c r="I168" s="5">
        <f>LES!G5</f>
        <v>2710170.0500000021</v>
      </c>
      <c r="J168" s="5">
        <f>LES!H5</f>
        <v>2682284.6700000009</v>
      </c>
      <c r="K168" s="5">
        <f>LES!I5</f>
        <v>2671786.6500000008</v>
      </c>
      <c r="L168" s="5">
        <f>LES!J5</f>
        <v>2671786.6500000008</v>
      </c>
      <c r="M168" s="5">
        <f>LES!K5</f>
        <v>2658626.4300000011</v>
      </c>
      <c r="N168" s="5">
        <f>LES!L5</f>
        <v>2624016.2100000009</v>
      </c>
      <c r="O168" s="5">
        <f>LES!M5</f>
        <v>2520804.58</v>
      </c>
      <c r="P168" s="5">
        <f>LES!N5</f>
        <v>2515422.44</v>
      </c>
    </row>
    <row r="170" spans="4:17" x14ac:dyDescent="0.35">
      <c r="E170" s="6" t="s">
        <v>133</v>
      </c>
      <c r="F170" s="6" t="s">
        <v>134</v>
      </c>
      <c r="G170" s="6" t="s">
        <v>135</v>
      </c>
      <c r="H170" t="s">
        <v>136</v>
      </c>
      <c r="I170" t="s">
        <v>137</v>
      </c>
      <c r="J170" t="s">
        <v>138</v>
      </c>
      <c r="K170" s="6" t="s">
        <v>139</v>
      </c>
      <c r="L170" s="6" t="s">
        <v>140</v>
      </c>
      <c r="M170" s="6" t="s">
        <v>141</v>
      </c>
      <c r="N170" t="s">
        <v>142</v>
      </c>
      <c r="O170" t="s">
        <v>143</v>
      </c>
      <c r="P170" t="s">
        <v>144</v>
      </c>
    </row>
    <row r="171" spans="4:17" x14ac:dyDescent="0.35">
      <c r="D171" t="s">
        <v>110</v>
      </c>
      <c r="F171" s="5">
        <f>$E159-F159</f>
        <v>2279042.0400000364</v>
      </c>
      <c r="G171" s="5">
        <f t="shared" ref="G171:P171" si="15">$E159-G159</f>
        <v>4495112.9799999297</v>
      </c>
      <c r="H171" s="5">
        <f t="shared" si="15"/>
        <v>6229370.4199999273</v>
      </c>
      <c r="I171" s="5">
        <f t="shared" si="15"/>
        <v>8430511.6199998558</v>
      </c>
      <c r="J171" s="5">
        <f t="shared" si="15"/>
        <v>10530760.960000142</v>
      </c>
      <c r="K171" s="5">
        <f t="shared" si="15"/>
        <v>12697728.720000163</v>
      </c>
      <c r="L171" s="5">
        <f t="shared" si="15"/>
        <v>15536767.390000001</v>
      </c>
      <c r="M171" s="5">
        <f t="shared" si="15"/>
        <v>18754426.430000082</v>
      </c>
      <c r="N171" s="5">
        <f t="shared" si="15"/>
        <v>21881055.510000125</v>
      </c>
      <c r="O171" s="5">
        <f t="shared" si="15"/>
        <v>24861582.710000008</v>
      </c>
      <c r="P171" s="5">
        <f t="shared" si="15"/>
        <v>27484041.669999868</v>
      </c>
      <c r="Q171" s="5">
        <f>SUM(E171:G171)</f>
        <v>6774155.019999966</v>
      </c>
    </row>
    <row r="172" spans="4:17" x14ac:dyDescent="0.35">
      <c r="D172" t="s">
        <v>112</v>
      </c>
      <c r="F172" s="5">
        <f t="shared" ref="F172:P172" si="16">$E160-F160</f>
        <v>940315.04999998957</v>
      </c>
      <c r="G172" s="5">
        <f t="shared" si="16"/>
        <v>1900949.4500000179</v>
      </c>
      <c r="H172" s="5">
        <f t="shared" si="16"/>
        <v>2737127.5400000103</v>
      </c>
      <c r="I172" s="5">
        <f t="shared" si="16"/>
        <v>3719899.7599999867</v>
      </c>
      <c r="J172" s="5">
        <f t="shared" si="16"/>
        <v>4471053.0299999975</v>
      </c>
      <c r="K172" s="5">
        <f t="shared" si="16"/>
        <v>5456953.4700000174</v>
      </c>
      <c r="L172" s="5">
        <f t="shared" si="16"/>
        <v>6156062.520000007</v>
      </c>
      <c r="M172" s="5">
        <f t="shared" si="16"/>
        <v>7223669.4399999976</v>
      </c>
      <c r="N172" s="5">
        <f t="shared" si="16"/>
        <v>8019538.6900000088</v>
      </c>
      <c r="O172" s="5">
        <f t="shared" si="16"/>
        <v>8996335.4800000079</v>
      </c>
      <c r="P172" s="5">
        <f t="shared" si="16"/>
        <v>10029209.329999998</v>
      </c>
      <c r="Q172" s="5">
        <f t="shared" ref="Q172:Q180" si="17">SUM(E172:G172)</f>
        <v>2841264.5000000075</v>
      </c>
    </row>
    <row r="173" spans="4:17" x14ac:dyDescent="0.35">
      <c r="D173" t="s">
        <v>128</v>
      </c>
      <c r="F173" s="5">
        <f t="shared" ref="F173:P173" si="18">$E161-F161</f>
        <v>178918.19999999925</v>
      </c>
      <c r="G173" s="5">
        <f t="shared" si="18"/>
        <v>246457.50999999978</v>
      </c>
      <c r="H173" s="5">
        <f t="shared" si="18"/>
        <v>603917.83999999985</v>
      </c>
      <c r="I173" s="5">
        <f t="shared" si="18"/>
        <v>833586.83999999985</v>
      </c>
      <c r="J173" s="5">
        <f t="shared" si="18"/>
        <v>1512267.6999999993</v>
      </c>
      <c r="K173" s="5">
        <f t="shared" si="18"/>
        <v>1686678.3999999985</v>
      </c>
      <c r="L173" s="5">
        <f t="shared" si="18"/>
        <v>2022868.7300000098</v>
      </c>
      <c r="M173" s="5">
        <f t="shared" si="18"/>
        <v>2243457.7300000098</v>
      </c>
      <c r="N173" s="5">
        <f t="shared" si="18"/>
        <v>2440324.0200000089</v>
      </c>
      <c r="O173" s="5">
        <f t="shared" si="18"/>
        <v>2664012.34</v>
      </c>
      <c r="P173" s="5">
        <f t="shared" si="18"/>
        <v>2832936.4299999997</v>
      </c>
      <c r="Q173" s="5">
        <f t="shared" si="17"/>
        <v>425375.70999999903</v>
      </c>
    </row>
    <row r="174" spans="4:17" x14ac:dyDescent="0.35">
      <c r="D174" t="s">
        <v>130</v>
      </c>
      <c r="F174" s="5">
        <f t="shared" ref="F174:P174" si="19">$E162-F162</f>
        <v>178678.43358096667</v>
      </c>
      <c r="G174" s="5">
        <f t="shared" si="19"/>
        <v>396886.3141135443</v>
      </c>
      <c r="H174" s="5">
        <f t="shared" si="19"/>
        <v>577832.33259111457</v>
      </c>
      <c r="I174" s="5">
        <f t="shared" si="19"/>
        <v>950569.95599653572</v>
      </c>
      <c r="J174" s="5">
        <f t="shared" si="19"/>
        <v>1206844.6005190127</v>
      </c>
      <c r="K174" s="5">
        <f t="shared" si="19"/>
        <v>1388960.1485828552</v>
      </c>
      <c r="L174" s="5">
        <f t="shared" si="19"/>
        <v>1510979.6174964476</v>
      </c>
      <c r="M174" s="5">
        <f t="shared" si="19"/>
        <v>1997831.0018319283</v>
      </c>
      <c r="N174" s="5">
        <f t="shared" si="19"/>
        <v>2283574.9982639216</v>
      </c>
      <c r="O174" s="5">
        <f t="shared" si="19"/>
        <v>2697153.6397251543</v>
      </c>
      <c r="P174" s="5">
        <f t="shared" si="19"/>
        <v>3185220.8123787995</v>
      </c>
      <c r="Q174" s="5">
        <f t="shared" si="17"/>
        <v>575564.74769451097</v>
      </c>
    </row>
    <row r="175" spans="4:17" x14ac:dyDescent="0.35">
      <c r="D175" t="s">
        <v>111</v>
      </c>
      <c r="F175" s="5">
        <f t="shared" ref="F175:P175" si="20">$E163-F163</f>
        <v>59306.330000000075</v>
      </c>
      <c r="G175" s="5">
        <f t="shared" si="20"/>
        <v>176111.66000000015</v>
      </c>
      <c r="H175" s="5">
        <f t="shared" si="20"/>
        <v>236427.27000000142</v>
      </c>
      <c r="I175" s="5">
        <f t="shared" si="20"/>
        <v>393347.41000000015</v>
      </c>
      <c r="J175" s="5">
        <f t="shared" si="20"/>
        <v>519953.74000000022</v>
      </c>
      <c r="K175" s="5">
        <f t="shared" si="20"/>
        <v>661867.86000000127</v>
      </c>
      <c r="L175" s="5">
        <f t="shared" si="20"/>
        <v>726340.68000000156</v>
      </c>
      <c r="M175" s="5">
        <f t="shared" si="20"/>
        <v>1113239.6000000015</v>
      </c>
      <c r="N175" s="5">
        <f t="shared" si="20"/>
        <v>1725673.2199999914</v>
      </c>
      <c r="O175" s="5">
        <f t="shared" si="20"/>
        <v>1986394.4699999709</v>
      </c>
      <c r="P175" s="5">
        <f t="shared" si="20"/>
        <v>2023528.5399999712</v>
      </c>
      <c r="Q175" s="5">
        <f t="shared" si="17"/>
        <v>235417.99000000022</v>
      </c>
    </row>
    <row r="176" spans="4:17" x14ac:dyDescent="0.35">
      <c r="D176" t="s">
        <v>129</v>
      </c>
      <c r="F176" s="5">
        <f t="shared" ref="F176:P176" si="21">$E164-F164</f>
        <v>112349.55304281227</v>
      </c>
      <c r="G176" s="5">
        <f t="shared" si="21"/>
        <v>210689.8399812663</v>
      </c>
      <c r="H176" s="5">
        <f t="shared" si="21"/>
        <v>283684.96203661244</v>
      </c>
      <c r="I176" s="5">
        <f t="shared" si="21"/>
        <v>397261.83862950187</v>
      </c>
      <c r="J176" s="5">
        <f t="shared" si="21"/>
        <v>466869.85755377356</v>
      </c>
      <c r="K176" s="5">
        <f t="shared" si="21"/>
        <v>564657.30123575032</v>
      </c>
      <c r="L176" s="5">
        <f t="shared" si="21"/>
        <v>628447.24979336653</v>
      </c>
      <c r="M176" s="5">
        <f t="shared" si="21"/>
        <v>673923.11163663771</v>
      </c>
      <c r="N176" s="5">
        <f t="shared" si="21"/>
        <v>838211.09782177489</v>
      </c>
      <c r="O176" s="5">
        <f t="shared" si="21"/>
        <v>1153514.9501846759</v>
      </c>
      <c r="P176" s="5">
        <f t="shared" si="21"/>
        <v>1219963.6183194397</v>
      </c>
      <c r="Q176" s="5">
        <f t="shared" si="17"/>
        <v>323039.39302407857</v>
      </c>
    </row>
    <row r="177" spans="4:17" x14ac:dyDescent="0.35">
      <c r="D177" t="s">
        <v>125</v>
      </c>
      <c r="F177" s="5">
        <f t="shared" ref="F177:P177" si="22">$E165-F165</f>
        <v>58643.023650528863</v>
      </c>
      <c r="G177" s="5">
        <f t="shared" si="22"/>
        <v>76681.436520498246</v>
      </c>
      <c r="H177" s="5">
        <f t="shared" si="22"/>
        <v>127626.29696944915</v>
      </c>
      <c r="I177" s="5">
        <f t="shared" si="22"/>
        <v>330017.77386281826</v>
      </c>
      <c r="J177" s="5">
        <f t="shared" si="22"/>
        <v>500179.16833370086</v>
      </c>
      <c r="K177" s="5">
        <f t="shared" si="22"/>
        <v>860010.30858076923</v>
      </c>
      <c r="L177" s="5">
        <f t="shared" si="22"/>
        <v>1093645.9273882722</v>
      </c>
      <c r="M177" s="5">
        <f t="shared" si="22"/>
        <v>1218157.8848270774</v>
      </c>
      <c r="N177" s="5">
        <f t="shared" si="22"/>
        <v>1347616.4606173551</v>
      </c>
      <c r="O177" s="5">
        <f t="shared" si="22"/>
        <v>1643492.2914337758</v>
      </c>
      <c r="P177" s="5">
        <f t="shared" si="22"/>
        <v>1787757.5854632296</v>
      </c>
      <c r="Q177" s="5">
        <f t="shared" si="17"/>
        <v>135324.46017102711</v>
      </c>
    </row>
    <row r="178" spans="4:17" x14ac:dyDescent="0.35">
      <c r="D178" t="s">
        <v>126</v>
      </c>
      <c r="F178" s="5">
        <f t="shared" ref="F178:P178" si="23">$E166-F166</f>
        <v>46977.319966374431</v>
      </c>
      <c r="G178" s="5">
        <f t="shared" si="23"/>
        <v>53529.580870378297</v>
      </c>
      <c r="H178" s="5">
        <f t="shared" si="23"/>
        <v>88569.045545435976</v>
      </c>
      <c r="I178" s="5">
        <f t="shared" si="23"/>
        <v>188694.84400625015</v>
      </c>
      <c r="J178" s="5">
        <f t="shared" si="23"/>
        <v>204917.46800056426</v>
      </c>
      <c r="K178" s="5">
        <f t="shared" si="23"/>
        <v>365429.74655349925</v>
      </c>
      <c r="L178" s="5">
        <f t="shared" si="23"/>
        <v>433654.54613240203</v>
      </c>
      <c r="M178" s="5">
        <f t="shared" si="23"/>
        <v>444467.87507700501</v>
      </c>
      <c r="N178" s="5">
        <f t="shared" si="23"/>
        <v>906433.73558941251</v>
      </c>
      <c r="O178" s="5">
        <f t="shared" si="23"/>
        <v>936837.10802832386</v>
      </c>
      <c r="P178" s="5">
        <f t="shared" si="23"/>
        <v>936837.10802832386</v>
      </c>
      <c r="Q178" s="5">
        <f t="shared" si="17"/>
        <v>100506.90083675273</v>
      </c>
    </row>
    <row r="179" spans="4:17" x14ac:dyDescent="0.35">
      <c r="D179" t="s">
        <v>113</v>
      </c>
      <c r="F179" s="5">
        <f t="shared" ref="F179:P180" si="24">$E167-F167</f>
        <v>498655.76999999676</v>
      </c>
      <c r="G179" s="5">
        <f t="shared" si="24"/>
        <v>629740.00999999605</v>
      </c>
      <c r="H179" s="5">
        <f t="shared" si="24"/>
        <v>629740.00999999605</v>
      </c>
      <c r="I179" s="5">
        <f t="shared" si="24"/>
        <v>629740.00999999605</v>
      </c>
      <c r="J179" s="5">
        <f t="shared" si="24"/>
        <v>708146.96999999601</v>
      </c>
      <c r="K179" s="5">
        <f t="shared" si="24"/>
        <v>767100.46999999695</v>
      </c>
      <c r="L179" s="5">
        <f t="shared" si="24"/>
        <v>792401.14999999665</v>
      </c>
      <c r="M179" s="5">
        <f t="shared" si="24"/>
        <v>836489.62999999803</v>
      </c>
      <c r="N179" s="5">
        <f t="shared" si="24"/>
        <v>836489.62999999803</v>
      </c>
      <c r="O179" s="5">
        <f t="shared" si="24"/>
        <v>893249.55999999773</v>
      </c>
      <c r="P179" s="5">
        <f t="shared" si="24"/>
        <v>987631.99999999907</v>
      </c>
      <c r="Q179" s="5">
        <f t="shared" si="17"/>
        <v>1128395.7799999928</v>
      </c>
    </row>
    <row r="180" spans="4:17" x14ac:dyDescent="0.35">
      <c r="D180" t="s">
        <v>127</v>
      </c>
      <c r="F180" s="5">
        <f>$E168-F168</f>
        <v>30420.599999999162</v>
      </c>
      <c r="G180" s="5">
        <f t="shared" si="24"/>
        <v>102351.04999999935</v>
      </c>
      <c r="H180" s="5">
        <f t="shared" si="24"/>
        <v>122980.94999999925</v>
      </c>
      <c r="I180" s="5">
        <f t="shared" si="24"/>
        <v>141501.45999999903</v>
      </c>
      <c r="J180" s="5">
        <f t="shared" si="24"/>
        <v>169386.84000000032</v>
      </c>
      <c r="K180" s="5">
        <f t="shared" si="24"/>
        <v>179884.86000000034</v>
      </c>
      <c r="L180" s="5">
        <f t="shared" si="24"/>
        <v>179884.86000000034</v>
      </c>
      <c r="M180" s="5">
        <f t="shared" si="24"/>
        <v>193045.08000000007</v>
      </c>
      <c r="N180" s="5">
        <f t="shared" si="24"/>
        <v>227655.30000000028</v>
      </c>
      <c r="O180" s="5">
        <f t="shared" si="24"/>
        <v>330866.9300000011</v>
      </c>
      <c r="P180" s="5">
        <f t="shared" si="24"/>
        <v>336249.07000000123</v>
      </c>
      <c r="Q180" s="5">
        <f t="shared" si="17"/>
        <v>132771.64999999851</v>
      </c>
    </row>
    <row r="181" spans="4:17" x14ac:dyDescent="0.35">
      <c r="Q181" s="5">
        <f>SUM(Q171:Q180)</f>
        <v>12671816.151726335</v>
      </c>
    </row>
    <row r="182" spans="4:17" x14ac:dyDescent="0.35">
      <c r="G182" s="5">
        <f>SUM(F171:G180)</f>
        <v>12671816.151726333</v>
      </c>
      <c r="J182" s="5">
        <f>SUM(H171:J180)</f>
        <v>47942788.514044695</v>
      </c>
      <c r="M182" s="5">
        <f>SUM(K171:M180)</f>
        <v>88409031.739136279</v>
      </c>
      <c r="P182" s="5">
        <f>SUM(N171:P180)</f>
        <v>137493388.30585417</v>
      </c>
    </row>
    <row r="186" spans="4:17" x14ac:dyDescent="0.35">
      <c r="E186" t="s">
        <v>132</v>
      </c>
      <c r="F186" t="s">
        <v>148</v>
      </c>
      <c r="G186" t="s">
        <v>149</v>
      </c>
      <c r="H186" t="s">
        <v>131</v>
      </c>
    </row>
    <row r="187" spans="4:17" x14ac:dyDescent="0.35">
      <c r="D187" t="s">
        <v>110</v>
      </c>
      <c r="E187" s="5">
        <f>H113</f>
        <v>930640355.4000001</v>
      </c>
      <c r="F187" s="5">
        <f>Q171</f>
        <v>6774155.019999966</v>
      </c>
      <c r="G187" s="5">
        <f>H187-E187-F187</f>
        <v>-581685177.38186991</v>
      </c>
      <c r="H187" s="5">
        <f>I113</f>
        <v>355729333.03813016</v>
      </c>
    </row>
    <row r="188" spans="4:17" x14ac:dyDescent="0.35">
      <c r="D188" t="s">
        <v>112</v>
      </c>
      <c r="E188" s="5">
        <f>H114</f>
        <v>314289320.60999942</v>
      </c>
      <c r="F188" s="5">
        <f t="shared" ref="F188:F196" si="25">Q172</f>
        <v>2841264.5000000075</v>
      </c>
      <c r="G188" s="5">
        <f t="shared" ref="G188:G196" si="26">H188-E188-F188</f>
        <v>-163845625.83312181</v>
      </c>
      <c r="H188" s="5">
        <f t="shared" ref="H188:H196" si="27">I114</f>
        <v>153284959.27687761</v>
      </c>
    </row>
    <row r="189" spans="4:17" x14ac:dyDescent="0.35">
      <c r="D189" t="s">
        <v>128</v>
      </c>
      <c r="E189" s="5">
        <f>H115</f>
        <v>163088397.31000006</v>
      </c>
      <c r="F189" s="5">
        <f t="shared" si="25"/>
        <v>425375.70999999903</v>
      </c>
      <c r="G189" s="5">
        <f t="shared" si="26"/>
        <v>-106663850.53691229</v>
      </c>
      <c r="H189" s="5">
        <f t="shared" si="27"/>
        <v>56849922.483087763</v>
      </c>
    </row>
    <row r="190" spans="4:17" x14ac:dyDescent="0.35">
      <c r="D190" t="s">
        <v>130</v>
      </c>
      <c r="E190" s="5">
        <f>H116</f>
        <v>162762900.63704297</v>
      </c>
      <c r="F190" s="5">
        <f t="shared" si="25"/>
        <v>575564.74769451097</v>
      </c>
      <c r="G190" s="5">
        <f t="shared" si="26"/>
        <v>-112778701.11948074</v>
      </c>
      <c r="H190" s="5">
        <f t="shared" si="27"/>
        <v>50559764.265256733</v>
      </c>
      <c r="Q190" s="9">
        <v>0.85</v>
      </c>
    </row>
    <row r="191" spans="4:17" x14ac:dyDescent="0.35">
      <c r="D191" t="s">
        <v>111</v>
      </c>
      <c r="E191" s="5">
        <f>0.9*H191</f>
        <v>29559385.427064087</v>
      </c>
      <c r="F191" s="5">
        <f>0.02*H191</f>
        <v>656875.23171253526</v>
      </c>
      <c r="G191" s="5">
        <f t="shared" si="26"/>
        <v>2627500.9268501401</v>
      </c>
      <c r="H191" s="5">
        <f t="shared" si="27"/>
        <v>32843761.585626762</v>
      </c>
      <c r="Q191" s="9">
        <v>0.12</v>
      </c>
    </row>
    <row r="192" spans="4:17" x14ac:dyDescent="0.35">
      <c r="D192" t="s">
        <v>129</v>
      </c>
      <c r="E192" s="5">
        <f>0.9*H192</f>
        <v>16185473.25440784</v>
      </c>
      <c r="F192" s="5">
        <f>0.082*H192</f>
        <v>1474676.45206827</v>
      </c>
      <c r="G192" s="5">
        <f>H192-E192-F192</f>
        <v>323709.46508815628</v>
      </c>
      <c r="H192" s="5">
        <f t="shared" si="27"/>
        <v>17983859.171564266</v>
      </c>
      <c r="Q192" s="9">
        <v>0.03</v>
      </c>
    </row>
    <row r="193" spans="4:16" x14ac:dyDescent="0.35">
      <c r="D193" t="s">
        <v>125</v>
      </c>
      <c r="E193" s="5">
        <f>H119</f>
        <v>62287474.78514123</v>
      </c>
      <c r="F193" s="5">
        <f t="shared" si="25"/>
        <v>135324.46017102711</v>
      </c>
      <c r="G193" s="5">
        <f t="shared" si="26"/>
        <v>-39159047.758167841</v>
      </c>
      <c r="H193" s="5">
        <f t="shared" si="27"/>
        <v>23263751.487144418</v>
      </c>
    </row>
    <row r="194" spans="4:16" x14ac:dyDescent="0.35">
      <c r="D194" t="s">
        <v>126</v>
      </c>
      <c r="E194" s="5">
        <f>H120</f>
        <v>55343293.285630181</v>
      </c>
      <c r="F194" s="5">
        <f t="shared" si="25"/>
        <v>100506.90083675273</v>
      </c>
      <c r="G194" s="5">
        <f t="shared" si="26"/>
        <v>-34737598.646859303</v>
      </c>
      <c r="H194" s="5">
        <f t="shared" si="27"/>
        <v>20706201.539607633</v>
      </c>
    </row>
    <row r="195" spans="4:16" x14ac:dyDescent="0.35">
      <c r="D195" t="s">
        <v>113</v>
      </c>
      <c r="E195" s="5">
        <f>H121</f>
        <v>32504165.312505916</v>
      </c>
      <c r="F195" s="5">
        <f t="shared" si="25"/>
        <v>1128395.7799999928</v>
      </c>
      <c r="G195" s="5">
        <f t="shared" si="26"/>
        <v>-11826475.919393852</v>
      </c>
      <c r="H195" s="5">
        <f t="shared" si="27"/>
        <v>21806085.173112057</v>
      </c>
    </row>
    <row r="196" spans="4:16" x14ac:dyDescent="0.35">
      <c r="D196" t="s">
        <v>127</v>
      </c>
      <c r="E196" s="5">
        <f>H122</f>
        <v>29690408.680000015</v>
      </c>
      <c r="F196" s="5">
        <f t="shared" si="25"/>
        <v>132771.64999999851</v>
      </c>
      <c r="G196" s="5">
        <f t="shared" si="26"/>
        <v>-8005041.9339728095</v>
      </c>
      <c r="H196" s="5">
        <f t="shared" si="27"/>
        <v>21818138.396027204</v>
      </c>
    </row>
    <row r="199" spans="4:16" x14ac:dyDescent="0.35">
      <c r="N199">
        <v>165099516.30000001</v>
      </c>
      <c r="O199">
        <v>155477325.56000003</v>
      </c>
      <c r="P199">
        <v>9622190.7799999397</v>
      </c>
    </row>
    <row r="200" spans="4:16" x14ac:dyDescent="0.35">
      <c r="G200" s="7">
        <v>6111234</v>
      </c>
      <c r="L200" s="8">
        <v>0.8</v>
      </c>
    </row>
    <row r="201" spans="4:16" x14ac:dyDescent="0.35">
      <c r="I201">
        <v>69340240.900000185</v>
      </c>
      <c r="J201">
        <v>6549573.3802356115</v>
      </c>
      <c r="L201" s="8">
        <v>0.18</v>
      </c>
      <c r="N201">
        <f>Q190*N199</f>
        <v>140334588.85500002</v>
      </c>
      <c r="O201">
        <f>Q191*N199</f>
        <v>19811941.956</v>
      </c>
      <c r="P201">
        <f>Q192*N199</f>
        <v>4952985.4890000001</v>
      </c>
    </row>
    <row r="202" spans="4:16" x14ac:dyDescent="0.35">
      <c r="D202">
        <v>75889814.280000001</v>
      </c>
      <c r="E202">
        <v>6549573.3802356115</v>
      </c>
      <c r="F202">
        <v>-6901819.462990432</v>
      </c>
      <c r="L202" s="8">
        <v>0.02</v>
      </c>
    </row>
    <row r="204" spans="4:16" x14ac:dyDescent="0.35">
      <c r="D204" s="5">
        <f>D202*L200</f>
        <v>60711851.424000002</v>
      </c>
      <c r="E204" s="5">
        <f>D202*L201</f>
        <v>13660166.5704</v>
      </c>
      <c r="F204" s="5">
        <f>L202*D202</f>
        <v>1517796.2856000001</v>
      </c>
      <c r="H204" s="5">
        <f>SUM(D204:F204)-D202</f>
        <v>0</v>
      </c>
    </row>
    <row r="207" spans="4:16" x14ac:dyDescent="0.35">
      <c r="E207" t="s">
        <v>132</v>
      </c>
      <c r="F207" t="s">
        <v>148</v>
      </c>
      <c r="G207" t="s">
        <v>149</v>
      </c>
    </row>
    <row r="208" spans="4:16" x14ac:dyDescent="0.35">
      <c r="D208" t="s">
        <v>110</v>
      </c>
      <c r="E208">
        <v>930640355.4000001</v>
      </c>
      <c r="F208">
        <v>153180400.45000014</v>
      </c>
      <c r="G208">
        <v>433866544.69819963</v>
      </c>
    </row>
    <row r="209" spans="4:17" x14ac:dyDescent="0.35">
      <c r="D209" t="s">
        <v>112</v>
      </c>
      <c r="E209">
        <v>314289320.60999942</v>
      </c>
      <c r="F209">
        <v>59651113.760000035</v>
      </c>
      <c r="G209">
        <v>214981504.17631704</v>
      </c>
    </row>
    <row r="210" spans="4:17" x14ac:dyDescent="0.35">
      <c r="D210" t="s">
        <v>128</v>
      </c>
      <c r="E210">
        <v>163088397.31000006</v>
      </c>
      <c r="F210">
        <v>17265425.740000024</v>
      </c>
      <c r="G210">
        <v>46984214.677260086</v>
      </c>
    </row>
    <row r="211" spans="4:17" x14ac:dyDescent="0.35">
      <c r="D211" t="s">
        <v>130</v>
      </c>
      <c r="E211">
        <v>162762900.63704297</v>
      </c>
      <c r="F211">
        <v>16374531.85508028</v>
      </c>
      <c r="G211">
        <v>9396148.2345825396</v>
      </c>
    </row>
    <row r="212" spans="4:17" x14ac:dyDescent="0.35">
      <c r="D212" t="s">
        <v>111</v>
      </c>
      <c r="E212">
        <v>114777991.250585</v>
      </c>
      <c r="F212">
        <v>2550622.0277907779</v>
      </c>
      <c r="G212">
        <v>10202488.111163102</v>
      </c>
    </row>
    <row r="213" spans="4:17" x14ac:dyDescent="0.35">
      <c r="D213" t="s">
        <v>129</v>
      </c>
      <c r="E213">
        <v>62089195.335520826</v>
      </c>
      <c r="F213">
        <v>5657015.57501412</v>
      </c>
      <c r="G213">
        <v>1241783.9067104179</v>
      </c>
    </row>
    <row r="214" spans="4:17" x14ac:dyDescent="0.35">
      <c r="D214" t="s">
        <v>125</v>
      </c>
      <c r="E214">
        <v>62287474.78514123</v>
      </c>
      <c r="F214">
        <v>9043828.1576474756</v>
      </c>
      <c r="G214">
        <v>22590652.644687727</v>
      </c>
    </row>
    <row r="215" spans="4:17" x14ac:dyDescent="0.35">
      <c r="D215" t="s">
        <v>126</v>
      </c>
      <c r="E215">
        <v>55343293.285630181</v>
      </c>
      <c r="F215">
        <v>4606348.3777979696</v>
      </c>
      <c r="G215">
        <v>24510709.698964335</v>
      </c>
    </row>
    <row r="216" spans="4:17" x14ac:dyDescent="0.35">
      <c r="D216" t="s">
        <v>113</v>
      </c>
      <c r="E216">
        <v>32504165.312505916</v>
      </c>
      <c r="F216">
        <v>8209385.2099999674</v>
      </c>
      <c r="G216">
        <v>17036594.830028642</v>
      </c>
    </row>
    <row r="217" spans="4:17" x14ac:dyDescent="0.35">
      <c r="D217" t="s">
        <v>127</v>
      </c>
      <c r="E217">
        <v>29690408.680000015</v>
      </c>
      <c r="F217">
        <v>2014227.0000000005</v>
      </c>
      <c r="G217">
        <v>4097006.7266134317</v>
      </c>
    </row>
    <row r="221" spans="4:17" x14ac:dyDescent="0.35">
      <c r="H221" t="s">
        <v>110</v>
      </c>
      <c r="I221" t="s">
        <v>112</v>
      </c>
      <c r="J221" t="s">
        <v>128</v>
      </c>
      <c r="K221" t="s">
        <v>130</v>
      </c>
      <c r="L221" t="s">
        <v>111</v>
      </c>
      <c r="M221" t="s">
        <v>129</v>
      </c>
      <c r="N221" t="s">
        <v>125</v>
      </c>
      <c r="O221" t="s">
        <v>126</v>
      </c>
      <c r="P221" t="s">
        <v>113</v>
      </c>
      <c r="Q221" t="s">
        <v>127</v>
      </c>
    </row>
    <row r="222" spans="4:17" x14ac:dyDescent="0.35">
      <c r="D222" t="s">
        <v>110</v>
      </c>
      <c r="E222" s="10">
        <v>1517687300.5481999</v>
      </c>
      <c r="H222" s="10">
        <v>1517687300.5481999</v>
      </c>
      <c r="I222" s="10">
        <v>588921938.5463165</v>
      </c>
      <c r="J222" s="10">
        <v>227338037.72726017</v>
      </c>
      <c r="K222" s="10">
        <v>188533580.72670579</v>
      </c>
      <c r="L222" s="10">
        <v>127531101.38953888</v>
      </c>
      <c r="M222" s="10">
        <v>68987994.817245364</v>
      </c>
      <c r="N222" s="10">
        <v>93921955.587476432</v>
      </c>
      <c r="O222" s="10">
        <v>84460351.362392485</v>
      </c>
      <c r="P222" s="10">
        <v>57750145.352534525</v>
      </c>
      <c r="Q222" s="10">
        <v>35801642.406613447</v>
      </c>
    </row>
    <row r="223" spans="4:17" x14ac:dyDescent="0.35">
      <c r="D223" t="s">
        <v>112</v>
      </c>
      <c r="E223" s="10">
        <v>588921938.5463165</v>
      </c>
    </row>
    <row r="224" spans="4:17" x14ac:dyDescent="0.35">
      <c r="D224" t="s">
        <v>128</v>
      </c>
      <c r="E224" s="10">
        <v>227338037.72726017</v>
      </c>
    </row>
    <row r="225" spans="4:14" x14ac:dyDescent="0.35">
      <c r="D225" t="s">
        <v>130</v>
      </c>
      <c r="E225" s="10">
        <v>188533580.72670579</v>
      </c>
    </row>
    <row r="226" spans="4:14" x14ac:dyDescent="0.35">
      <c r="D226" t="s">
        <v>111</v>
      </c>
      <c r="E226" s="10">
        <v>127531101.38953888</v>
      </c>
    </row>
    <row r="227" spans="4:14" x14ac:dyDescent="0.35">
      <c r="D227" t="s">
        <v>129</v>
      </c>
      <c r="E227" s="10">
        <v>68987994.817245364</v>
      </c>
    </row>
    <row r="228" spans="4:14" x14ac:dyDescent="0.35">
      <c r="D228" t="s">
        <v>125</v>
      </c>
      <c r="E228" s="10">
        <v>93921955.587476432</v>
      </c>
    </row>
    <row r="229" spans="4:14" x14ac:dyDescent="0.35">
      <c r="D229" t="s">
        <v>126</v>
      </c>
      <c r="E229" s="10">
        <v>84460351.362392485</v>
      </c>
    </row>
    <row r="230" spans="4:14" x14ac:dyDescent="0.35">
      <c r="D230" t="s">
        <v>113</v>
      </c>
      <c r="E230" s="10">
        <v>57750145.352534525</v>
      </c>
    </row>
    <row r="231" spans="4:14" x14ac:dyDescent="0.35">
      <c r="D231" t="s">
        <v>127</v>
      </c>
      <c r="E231" s="10">
        <v>35801642.406613447</v>
      </c>
    </row>
    <row r="234" spans="4:14" x14ac:dyDescent="0.35">
      <c r="E234" t="s">
        <v>110</v>
      </c>
      <c r="F234" t="s">
        <v>112</v>
      </c>
      <c r="G234" t="s">
        <v>128</v>
      </c>
      <c r="H234" t="s">
        <v>130</v>
      </c>
      <c r="I234" t="s">
        <v>111</v>
      </c>
      <c r="J234" t="s">
        <v>129</v>
      </c>
      <c r="K234" t="s">
        <v>125</v>
      </c>
      <c r="L234" t="s">
        <v>126</v>
      </c>
      <c r="M234" t="s">
        <v>113</v>
      </c>
      <c r="N234" t="s">
        <v>127</v>
      </c>
    </row>
    <row r="235" spans="4:14" x14ac:dyDescent="0.35">
      <c r="D235" t="s">
        <v>132</v>
      </c>
      <c r="E235">
        <v>930640355.4000001</v>
      </c>
      <c r="F235">
        <v>314289320.60999942</v>
      </c>
      <c r="G235">
        <v>163088397.31000006</v>
      </c>
      <c r="H235">
        <v>162762900.63704297</v>
      </c>
      <c r="I235">
        <v>114777991.250585</v>
      </c>
      <c r="J235">
        <v>62089195.335520826</v>
      </c>
      <c r="K235">
        <v>62287474.78514123</v>
      </c>
      <c r="L235">
        <v>55343293.285630181</v>
      </c>
      <c r="M235">
        <v>32504165.312505916</v>
      </c>
      <c r="N235">
        <v>29690408.680000015</v>
      </c>
    </row>
    <row r="236" spans="4:14" x14ac:dyDescent="0.35">
      <c r="D236" t="s">
        <v>148</v>
      </c>
      <c r="E236">
        <v>153180400.45000014</v>
      </c>
      <c r="F236">
        <v>59651113.760000035</v>
      </c>
      <c r="G236">
        <v>17265425.740000024</v>
      </c>
      <c r="H236">
        <v>16374531.85508028</v>
      </c>
      <c r="I236">
        <v>2550622.0277907779</v>
      </c>
      <c r="J236">
        <v>5657015.57501412</v>
      </c>
      <c r="K236">
        <v>9043828.1576474756</v>
      </c>
      <c r="L236">
        <v>4606348.3777979696</v>
      </c>
      <c r="M236">
        <v>8209385.2099999674</v>
      </c>
      <c r="N236">
        <v>2014227.0000000005</v>
      </c>
    </row>
    <row r="237" spans="4:14" x14ac:dyDescent="0.35">
      <c r="D237" t="s">
        <v>149</v>
      </c>
      <c r="E237">
        <v>433866544.69819963</v>
      </c>
      <c r="F237">
        <v>214981504.17631704</v>
      </c>
      <c r="G237">
        <v>46984214.677260086</v>
      </c>
      <c r="H237">
        <v>9396148.2345825396</v>
      </c>
      <c r="I237">
        <v>10202488.111163102</v>
      </c>
      <c r="J237">
        <v>1241783.9067104179</v>
      </c>
      <c r="K237">
        <v>22590652.644687727</v>
      </c>
      <c r="L237">
        <v>24510709.698964335</v>
      </c>
      <c r="M237">
        <v>17036594.830028642</v>
      </c>
      <c r="N237">
        <v>4097006.7266134317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BOT</vt:lpstr>
      <vt:lpstr>GHA</vt:lpstr>
      <vt:lpstr>GHC</vt:lpstr>
      <vt:lpstr>LES</vt:lpstr>
      <vt:lpstr>MOZ</vt:lpstr>
      <vt:lpstr>NAM</vt:lpstr>
      <vt:lpstr>Inland</vt:lpstr>
      <vt:lpstr>Central &amp; Commercial</vt:lpstr>
      <vt:lpstr>Calculations</vt:lpstr>
      <vt:lpstr>Sheet1</vt:lpstr>
      <vt:lpstr>Coastal</vt:lpstr>
      <vt:lpstr>Public Sector
</vt:lpstr>
      <vt:lpstr>Legal</vt:lpstr>
      <vt:lpstr>Company Cars</vt:lpstr>
      <vt:lpstr>iLease</vt:lpstr>
      <vt:lpstr>ZAM</vt:lpstr>
      <vt:lpstr>ZMK</vt:lpstr>
      <vt:lpstr>Summary</vt:lpstr>
      <vt:lpstr>Summary 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Predityle Davhana</cp:lastModifiedBy>
  <dcterms:created xsi:type="dcterms:W3CDTF">2025-11-17T17:35:12Z</dcterms:created>
  <dcterms:modified xsi:type="dcterms:W3CDTF">2025-11-18T11:46:23Z</dcterms:modified>
</cp:coreProperties>
</file>