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bgza.sharepoint.com/sites/RevenueForecast/Shared Documents/General/May 25/"/>
    </mc:Choice>
  </mc:AlternateContent>
  <xr:revisionPtr revIDLastSave="0" documentId="8_{4E15B516-E81C-4798-9C1F-EA9B8F2F2A7A}" xr6:coauthVersionLast="47" xr6:coauthVersionMax="47" xr10:uidLastSave="{00000000-0000-0000-0000-000000000000}"/>
  <bookViews>
    <workbookView xWindow="-28910" yWindow="970" windowWidth="29020" windowHeight="15700" firstSheet="11" activeTab="16" xr2:uid="{3BF86684-D2D9-4E08-B156-F4E3DC1A5A31}"/>
  </bookViews>
  <sheets>
    <sheet name="BOT" sheetId="1" r:id="rId1"/>
    <sheet name="GHA" sheetId="3" r:id="rId2"/>
    <sheet name="GHC" sheetId="4" r:id="rId3"/>
    <sheet name="MOZ" sheetId="5" r:id="rId4"/>
    <sheet name="NAM" sheetId="6" r:id="rId5"/>
    <sheet name="LES" sheetId="7" r:id="rId6"/>
    <sheet name="Central &amp; Commercial" sheetId="8" r:id="rId7"/>
    <sheet name="Inland" sheetId="9" r:id="rId8"/>
    <sheet name="Coastal" sheetId="10" r:id="rId9"/>
    <sheet name="Public Sector" sheetId="11" r:id="rId10"/>
    <sheet name="Legal" sheetId="12" r:id="rId11"/>
    <sheet name="iLease" sheetId="13" r:id="rId12"/>
    <sheet name="Company Cars" sheetId="14" r:id="rId13"/>
    <sheet name="ZAM" sheetId="15" r:id="rId14"/>
    <sheet name="ZMK" sheetId="32" r:id="rId15"/>
    <sheet name="Summary" sheetId="16" r:id="rId16"/>
    <sheet name="Calculations" sheetId="33" r:id="rId17"/>
    <sheet name="RSA Split" sheetId="19" state="hidden" r:id="rId18"/>
    <sheet name="Forecast" sheetId="18" state="hidden" r:id="rId19"/>
    <sheet name="Risk Map" sheetId="21" r:id="rId20"/>
    <sheet name="Botswana" sheetId="34" r:id="rId21"/>
    <sheet name="Ghana" sheetId="35" r:id="rId22"/>
    <sheet name="Mozambique" sheetId="36" r:id="rId23"/>
    <sheet name="Namibia" sheetId="37" r:id="rId24"/>
    <sheet name="Lesotho" sheetId="38" r:id="rId25"/>
    <sheet name="Central" sheetId="39" r:id="rId26"/>
    <sheet name="Coastal graph" sheetId="41" r:id="rId27"/>
    <sheet name="Inland graph" sheetId="40" r:id="rId28"/>
    <sheet name="Public" sheetId="44" r:id="rId29"/>
    <sheet name="Zambia" sheetId="42" r:id="rId30"/>
    <sheet name="Consul" sheetId="43" r:id="rId31"/>
    <sheet name="Sheet1" sheetId="45" r:id="rId32"/>
  </sheets>
  <externalReferences>
    <externalReference r:id="rId3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3" l="1"/>
  <c r="C15" i="33" l="1"/>
  <c r="BA17" i="33"/>
  <c r="BA16" i="33"/>
  <c r="BA15" i="33"/>
  <c r="BA14" i="33"/>
  <c r="BA12" i="33"/>
  <c r="BA11" i="33"/>
  <c r="BA10" i="33"/>
  <c r="BO1" i="33"/>
  <c r="Y29" i="45" l="1"/>
  <c r="X29" i="45"/>
  <c r="R29" i="45"/>
  <c r="M29" i="45"/>
  <c r="I29" i="45"/>
  <c r="F29" i="45"/>
  <c r="D29" i="45"/>
  <c r="AE28" i="45"/>
  <c r="D24" i="45"/>
  <c r="C24" i="45"/>
  <c r="W21" i="45"/>
  <c r="W20" i="45"/>
  <c r="W17" i="45"/>
  <c r="W16" i="45"/>
  <c r="W15" i="45"/>
  <c r="W14" i="45"/>
  <c r="W12" i="45"/>
  <c r="W11" i="45"/>
  <c r="W10" i="45"/>
  <c r="W8" i="45"/>
  <c r="W7" i="45"/>
  <c r="W4" i="45"/>
  <c r="Q21" i="45"/>
  <c r="Q20" i="45"/>
  <c r="Q17" i="45"/>
  <c r="Q16" i="45"/>
  <c r="Q15" i="45"/>
  <c r="Q14" i="45"/>
  <c r="Q12" i="45"/>
  <c r="Q11" i="45"/>
  <c r="Q10" i="45"/>
  <c r="Q8" i="45"/>
  <c r="Q7" i="45"/>
  <c r="Q4" i="45"/>
  <c r="L21" i="45"/>
  <c r="L20" i="45"/>
  <c r="L17" i="45"/>
  <c r="L16" i="45"/>
  <c r="L15" i="45"/>
  <c r="L14" i="45"/>
  <c r="L12" i="45"/>
  <c r="L11" i="45"/>
  <c r="L10" i="45"/>
  <c r="L8" i="45"/>
  <c r="L7" i="45"/>
  <c r="L4" i="45"/>
  <c r="H21" i="45"/>
  <c r="H20" i="45"/>
  <c r="H17" i="45"/>
  <c r="H16" i="45"/>
  <c r="H15" i="45"/>
  <c r="H14" i="45"/>
  <c r="H12" i="45"/>
  <c r="H11" i="45"/>
  <c r="H10" i="45"/>
  <c r="H8" i="45"/>
  <c r="H7" i="45"/>
  <c r="H4" i="45"/>
  <c r="E21" i="45"/>
  <c r="E20" i="45"/>
  <c r="E17" i="45"/>
  <c r="E16" i="45"/>
  <c r="E15" i="45"/>
  <c r="E14" i="45"/>
  <c r="E12" i="45"/>
  <c r="E11" i="45"/>
  <c r="E10" i="45"/>
  <c r="E8" i="45"/>
  <c r="E7" i="45"/>
  <c r="E4" i="45"/>
  <c r="CY19" i="33"/>
  <c r="CY17" i="33"/>
  <c r="CY16" i="33"/>
  <c r="CY15" i="33"/>
  <c r="CY14" i="33"/>
  <c r="CY12" i="33"/>
  <c r="CY11" i="33"/>
  <c r="CY10" i="33"/>
  <c r="CY6" i="33"/>
  <c r="CY4" i="33"/>
  <c r="CY24" i="33" l="1"/>
  <c r="Q24" i="45"/>
  <c r="L24" i="45"/>
  <c r="H24" i="45"/>
  <c r="E24" i="45"/>
  <c r="W24" i="45"/>
  <c r="AE24" i="45" l="1"/>
  <c r="G24" i="43"/>
  <c r="G31" i="43"/>
  <c r="G30" i="43"/>
  <c r="G29" i="43"/>
  <c r="G28" i="43"/>
  <c r="G27" i="43"/>
  <c r="G26" i="43"/>
  <c r="G25" i="43"/>
  <c r="K28" i="33"/>
  <c r="C4" i="42"/>
  <c r="F4" i="42" s="1"/>
  <c r="C4" i="38"/>
  <c r="F4" i="38" s="1"/>
  <c r="C4" i="35"/>
  <c r="F4" i="35" s="1"/>
  <c r="C16" i="44"/>
  <c r="F16" i="44" s="1"/>
  <c r="I16" i="44" s="1"/>
  <c r="C8" i="44"/>
  <c r="I8" i="44" s="1"/>
  <c r="C4" i="44"/>
  <c r="F4" i="44" s="1"/>
  <c r="H16" i="44"/>
  <c r="H13" i="44"/>
  <c r="H8" i="44"/>
  <c r="H4" i="44"/>
  <c r="C16" i="43"/>
  <c r="F16" i="43" s="1"/>
  <c r="I16" i="43" s="1"/>
  <c r="C8" i="43"/>
  <c r="I8" i="43" s="1"/>
  <c r="H16" i="43"/>
  <c r="H13" i="43"/>
  <c r="H8" i="43"/>
  <c r="H4" i="43"/>
  <c r="C16" i="42"/>
  <c r="F16" i="42" s="1"/>
  <c r="I16" i="42" s="1"/>
  <c r="C8" i="42"/>
  <c r="I8" i="42" s="1"/>
  <c r="H16" i="42"/>
  <c r="H13" i="42"/>
  <c r="H8" i="42"/>
  <c r="H4" i="42"/>
  <c r="C16" i="41"/>
  <c r="C8" i="41"/>
  <c r="I8" i="41" s="1"/>
  <c r="C4" i="41"/>
  <c r="F4" i="41" s="1"/>
  <c r="H16" i="41"/>
  <c r="F16" i="41"/>
  <c r="I16" i="41" s="1"/>
  <c r="H13" i="41"/>
  <c r="H8" i="41"/>
  <c r="H4" i="41"/>
  <c r="C16" i="40"/>
  <c r="F16" i="40" s="1"/>
  <c r="I16" i="40" s="1"/>
  <c r="C8" i="40"/>
  <c r="F8" i="40" s="1"/>
  <c r="F7" i="40" s="1"/>
  <c r="H16" i="40"/>
  <c r="H13" i="40"/>
  <c r="H8" i="40"/>
  <c r="H4" i="40"/>
  <c r="C16" i="39"/>
  <c r="F16" i="39" s="1"/>
  <c r="I16" i="39" s="1"/>
  <c r="C8" i="39"/>
  <c r="I8" i="39" s="1"/>
  <c r="H16" i="39"/>
  <c r="H13" i="39"/>
  <c r="H8" i="39"/>
  <c r="H4" i="39"/>
  <c r="C16" i="38"/>
  <c r="C8" i="38"/>
  <c r="I8" i="38" s="1"/>
  <c r="H16" i="38"/>
  <c r="F16" i="38"/>
  <c r="I16" i="38" s="1"/>
  <c r="H13" i="38"/>
  <c r="H8" i="38"/>
  <c r="H4" i="38"/>
  <c r="C16" i="37"/>
  <c r="F16" i="37" s="1"/>
  <c r="I16" i="37" s="1"/>
  <c r="C8" i="37"/>
  <c r="I8" i="37" s="1"/>
  <c r="C4" i="37"/>
  <c r="F4" i="37" s="1"/>
  <c r="H16" i="37"/>
  <c r="H13" i="37"/>
  <c r="H8" i="37"/>
  <c r="H4" i="37"/>
  <c r="C16" i="36"/>
  <c r="F16" i="36" s="1"/>
  <c r="I16" i="36" s="1"/>
  <c r="C8" i="36"/>
  <c r="I8" i="36" s="1"/>
  <c r="H16" i="36"/>
  <c r="H13" i="36"/>
  <c r="H8" i="36"/>
  <c r="H4" i="36"/>
  <c r="C16" i="35"/>
  <c r="F16" i="35" s="1"/>
  <c r="I16" i="35" s="1"/>
  <c r="C8" i="35"/>
  <c r="I8" i="35" s="1"/>
  <c r="H16" i="35"/>
  <c r="H13" i="35"/>
  <c r="H8" i="35"/>
  <c r="H4" i="35"/>
  <c r="H16" i="34"/>
  <c r="H13" i="34"/>
  <c r="H8" i="34"/>
  <c r="H4" i="34"/>
  <c r="C16" i="34"/>
  <c r="F16" i="34" s="1"/>
  <c r="I16" i="34" s="1"/>
  <c r="C8" i="34"/>
  <c r="I8" i="34" s="1"/>
  <c r="C4" i="34"/>
  <c r="F4" i="34" s="1"/>
  <c r="E5" i="34" s="1"/>
  <c r="H5" i="34" s="1"/>
  <c r="E21" i="33"/>
  <c r="E20" i="33"/>
  <c r="D21" i="33"/>
  <c r="D20" i="33"/>
  <c r="E15" i="33"/>
  <c r="E16" i="33"/>
  <c r="E17" i="33"/>
  <c r="E14" i="33"/>
  <c r="E11" i="33"/>
  <c r="E10" i="33"/>
  <c r="E12" i="33"/>
  <c r="F8" i="41" l="1"/>
  <c r="F7" i="41" s="1"/>
  <c r="K26" i="33"/>
  <c r="C4" i="36"/>
  <c r="F4" i="36" s="1"/>
  <c r="E5" i="36" s="1"/>
  <c r="H5" i="36" s="1"/>
  <c r="C4" i="40"/>
  <c r="F4" i="40" s="1"/>
  <c r="I4" i="40" s="1"/>
  <c r="C4" i="39"/>
  <c r="F4" i="39" s="1"/>
  <c r="I4" i="39" s="1"/>
  <c r="C4" i="43"/>
  <c r="F4" i="43" s="1"/>
  <c r="I4" i="43" s="1"/>
  <c r="I4" i="34"/>
  <c r="E5" i="44"/>
  <c r="H5" i="44" s="1"/>
  <c r="I4" i="44"/>
  <c r="F8" i="44"/>
  <c r="F7" i="44" s="1"/>
  <c r="F8" i="43"/>
  <c r="F7" i="43" s="1"/>
  <c r="E5" i="42"/>
  <c r="H5" i="42" s="1"/>
  <c r="I4" i="42"/>
  <c r="F8" i="42"/>
  <c r="F7" i="42" s="1"/>
  <c r="E5" i="41"/>
  <c r="H5" i="41" s="1"/>
  <c r="I4" i="41"/>
  <c r="I8" i="40"/>
  <c r="F8" i="39"/>
  <c r="F7" i="39" s="1"/>
  <c r="E5" i="38"/>
  <c r="H5" i="38" s="1"/>
  <c r="I4" i="38"/>
  <c r="F8" i="38"/>
  <c r="F7" i="38" s="1"/>
  <c r="E5" i="37"/>
  <c r="H5" i="37" s="1"/>
  <c r="I4" i="37"/>
  <c r="F8" i="37"/>
  <c r="F7" i="37" s="1"/>
  <c r="F8" i="36"/>
  <c r="F7" i="36" s="1"/>
  <c r="E5" i="35"/>
  <c r="H5" i="35" s="1"/>
  <c r="I4" i="35"/>
  <c r="F8" i="35"/>
  <c r="F7" i="35" s="1"/>
  <c r="F8" i="34"/>
  <c r="F7" i="34" s="1"/>
  <c r="AC17" i="33"/>
  <c r="AK17" i="33" s="1"/>
  <c r="AS17" i="33" s="1"/>
  <c r="AC16" i="33"/>
  <c r="AK16" i="33" s="1"/>
  <c r="AS16" i="33" s="1"/>
  <c r="AC15" i="33"/>
  <c r="AK15" i="33" s="1"/>
  <c r="AS15" i="33" s="1"/>
  <c r="BI21" i="33"/>
  <c r="BQ21" i="33" s="1"/>
  <c r="BY21" i="33" s="1"/>
  <c r="CG21" i="33" s="1"/>
  <c r="CO21" i="33" s="1"/>
  <c r="AK21" i="33"/>
  <c r="AK20" i="33"/>
  <c r="BI20" i="33" s="1"/>
  <c r="BQ20" i="33" s="1"/>
  <c r="BY20" i="33" s="1"/>
  <c r="CG20" i="33" s="1"/>
  <c r="CO20" i="33" s="1"/>
  <c r="AC14" i="33"/>
  <c r="AK14" i="33" s="1"/>
  <c r="AS14" i="33" s="1"/>
  <c r="BI14" i="33" s="1"/>
  <c r="BQ14" i="33" s="1"/>
  <c r="BY14" i="33" s="1"/>
  <c r="CG14" i="33" s="1"/>
  <c r="CO14" i="33" s="1"/>
  <c r="AC12" i="33"/>
  <c r="AK12" i="33" s="1"/>
  <c r="AS12" i="33" s="1"/>
  <c r="BI12" i="33" s="1"/>
  <c r="BQ12" i="33" s="1"/>
  <c r="BY12" i="33" s="1"/>
  <c r="CG12" i="33" s="1"/>
  <c r="CO12" i="33" s="1"/>
  <c r="AC11" i="33"/>
  <c r="AK11" i="33" s="1"/>
  <c r="AS11" i="33" s="1"/>
  <c r="BI11" i="33" s="1"/>
  <c r="BQ11" i="33" s="1"/>
  <c r="BY11" i="33" s="1"/>
  <c r="CG11" i="33" s="1"/>
  <c r="CO11" i="33" s="1"/>
  <c r="AK10" i="33"/>
  <c r="BI10" i="33" s="1"/>
  <c r="BQ10" i="33" s="1"/>
  <c r="BY10" i="33" s="1"/>
  <c r="CG10" i="33" s="1"/>
  <c r="CO10" i="33" s="1"/>
  <c r="AK8" i="33"/>
  <c r="BI8" i="33" s="1"/>
  <c r="BQ8" i="33" s="1"/>
  <c r="BY8" i="33" s="1"/>
  <c r="CG8" i="33" s="1"/>
  <c r="CO8" i="33" s="1"/>
  <c r="AK7" i="33"/>
  <c r="BW1" i="33"/>
  <c r="CE1" i="33" s="1"/>
  <c r="CM1" i="33" s="1"/>
  <c r="AK4" i="33"/>
  <c r="BI4" i="33" s="1"/>
  <c r="BQ4" i="33" s="1"/>
  <c r="BY4" i="33" s="1"/>
  <c r="CG4" i="33" s="1"/>
  <c r="CO4" i="33" s="1"/>
  <c r="F23" i="33"/>
  <c r="Q17" i="33" s="1"/>
  <c r="G4" i="21" s="1"/>
  <c r="BS7" i="33" a="1"/>
  <c r="BK7" i="33" a="1"/>
  <c r="BS14" i="33" a="1"/>
  <c r="CM11" i="33" a="1"/>
  <c r="CQ14" i="33" a="1"/>
  <c r="BG10" i="33" a="1"/>
  <c r="CQ20" i="33" a="1"/>
  <c r="BK8" i="33" a="1"/>
  <c r="CE8" i="33" a="1"/>
  <c r="CF11" i="33" a="1"/>
  <c r="BW4" i="33" a="1"/>
  <c r="BO7" i="33" a="1"/>
  <c r="BO21" i="33" a="1"/>
  <c r="CA11" i="33" a="1"/>
  <c r="CM12" i="33" a="1"/>
  <c r="CM16" i="33" a="1"/>
  <c r="CE15" i="33" a="1"/>
  <c r="BH11" i="33" a="1"/>
  <c r="BW7" i="33" a="1"/>
  <c r="CE16" i="33" a="1"/>
  <c r="BW16" i="33" a="1"/>
  <c r="BO14" i="33" a="1"/>
  <c r="BG14" i="33" a="1"/>
  <c r="CN11" i="33" a="1"/>
  <c r="BS8" i="33" a="1"/>
  <c r="BP20" i="33" a="1"/>
  <c r="CI8" i="33" a="1"/>
  <c r="BS17" i="33" a="1"/>
  <c r="CI17" i="33" a="1"/>
  <c r="CA16" i="33" a="1"/>
  <c r="BG20" i="33" a="1"/>
  <c r="CI21" i="33" a="1"/>
  <c r="CI4" i="33" a="1"/>
  <c r="BH20" i="33" a="1"/>
  <c r="BK4" i="33" a="1"/>
  <c r="CM10" i="33" a="1"/>
  <c r="CE17" i="33" a="1"/>
  <c r="CF8" i="33" a="1"/>
  <c r="CE11" i="33" a="1"/>
  <c r="CM4" i="33" a="1"/>
  <c r="CE14" i="33" a="1"/>
  <c r="BO4" i="33" a="1"/>
  <c r="BH14" i="33" a="1"/>
  <c r="BK20" i="33" a="1"/>
  <c r="CE10" i="33" a="1"/>
  <c r="BX21" i="33" a="1"/>
  <c r="BS4" i="33" a="1"/>
  <c r="CQ8" i="33" a="1"/>
  <c r="BH8" i="33" a="1"/>
  <c r="BK11" i="33" a="1"/>
  <c r="BH4" i="33" a="1"/>
  <c r="BW12" i="33" a="1"/>
  <c r="CN10" i="33" a="1"/>
  <c r="CM20" i="33" a="1"/>
  <c r="CF12" i="33" a="1"/>
  <c r="CN8" i="33" a="1"/>
  <c r="CA4" i="33" a="1"/>
  <c r="CQ12" i="33" a="1"/>
  <c r="BG7" i="33" a="1"/>
  <c r="BS21" i="33" a="1"/>
  <c r="BO20" i="33" a="1"/>
  <c r="CN14" i="33" a="1"/>
  <c r="BW8" i="33" a="1"/>
  <c r="CQ11" i="33" a="1"/>
  <c r="CA8" i="33" a="1"/>
  <c r="BK16" i="33" a="1"/>
  <c r="CF21" i="33" a="1"/>
  <c r="BG15" i="33" a="1"/>
  <c r="CA21" i="33" a="1"/>
  <c r="BP21" i="33" a="1"/>
  <c r="BP10" i="33" a="1"/>
  <c r="BW11" i="33" a="1"/>
  <c r="BO8" i="33" a="1"/>
  <c r="BW17" i="33" a="1"/>
  <c r="CQ21" i="33" a="1"/>
  <c r="BP11" i="33" a="1"/>
  <c r="BH10" i="33" a="1"/>
  <c r="BP4" i="33" a="1"/>
  <c r="CE7" i="33" a="1"/>
  <c r="CA12" i="33" a="1"/>
  <c r="CF20" i="33" a="1"/>
  <c r="CQ15" i="33" a="1"/>
  <c r="BO15" i="33" a="1"/>
  <c r="CE4" i="33" a="1"/>
  <c r="CM7" i="33" a="1"/>
  <c r="BS11" i="33" a="1"/>
  <c r="BP8" i="33" a="1"/>
  <c r="CM21" i="33" a="1"/>
  <c r="CF4" i="33" a="1"/>
  <c r="BX10" i="33" a="1"/>
  <c r="BS20" i="33" a="1"/>
  <c r="CI11" i="33" a="1"/>
  <c r="BS10" i="33" a="1"/>
  <c r="BS12" i="33" a="1"/>
  <c r="BO16" i="33" a="1"/>
  <c r="BS16" i="33" a="1"/>
  <c r="CE21" i="33" a="1"/>
  <c r="CE20" i="33" a="1"/>
  <c r="BG4" i="33" a="1"/>
  <c r="CI14" i="33" a="1"/>
  <c r="CI16" i="33" a="1"/>
  <c r="BG17" i="33" a="1"/>
  <c r="BH21" i="33" a="1"/>
  <c r="CI10" i="33" a="1"/>
  <c r="CA20" i="33" a="1"/>
  <c r="CI20" i="33" a="1"/>
  <c r="CQ4" i="33" a="1"/>
  <c r="BX20" i="33" a="1"/>
  <c r="BS15" i="33" a="1"/>
  <c r="CM15" i="33" a="1"/>
  <c r="CM17" i="33" a="1"/>
  <c r="CM8" i="33" a="1"/>
  <c r="BW14" i="33" a="1"/>
  <c r="BK15" i="33" a="1"/>
  <c r="CQ16" i="33" a="1"/>
  <c r="CQ17" i="33" a="1"/>
  <c r="BX8" i="33" a="1"/>
  <c r="BX12" i="33" a="1"/>
  <c r="CN20" i="33" a="1"/>
  <c r="CN12" i="33" a="1"/>
  <c r="CA14" i="33" a="1"/>
  <c r="CA7" i="33" a="1"/>
  <c r="BX14" i="33" a="1"/>
  <c r="CN4" i="33" a="1"/>
  <c r="CE12" i="33" a="1"/>
  <c r="CQ7" i="33" a="1"/>
  <c r="BW21" i="33" a="1"/>
  <c r="BO12" i="33" a="1"/>
  <c r="BO11" i="33" a="1"/>
  <c r="CI15" i="33" a="1"/>
  <c r="BK10" i="33" a="1"/>
  <c r="CA10" i="33" a="1"/>
  <c r="CA15" i="33" a="1"/>
  <c r="BX11" i="33" a="1"/>
  <c r="BP14" i="33" a="1"/>
  <c r="BK12" i="33" a="1"/>
  <c r="BK21" i="33" a="1"/>
  <c r="BW10" i="33" a="1"/>
  <c r="CI7" i="33" a="1"/>
  <c r="CM14" i="33" a="1"/>
  <c r="BG12" i="33" a="1"/>
  <c r="BG16" i="33" a="1"/>
  <c r="CQ10" i="33" a="1"/>
  <c r="BO10" i="33" a="1"/>
  <c r="BW20" i="33" a="1"/>
  <c r="BP12" i="33" a="1"/>
  <c r="BO17" i="33" a="1"/>
  <c r="BX4" i="33" a="1"/>
  <c r="CA17" i="33" a="1"/>
  <c r="BH12" i="33" a="1"/>
  <c r="CF14" i="33" a="1"/>
  <c r="BG8" i="33" a="1"/>
  <c r="CI12" i="33" a="1"/>
  <c r="BW15" i="33" a="1"/>
  <c r="BG11" i="33" a="1"/>
  <c r="CF10" i="33" a="1"/>
  <c r="BG21" i="33" a="1"/>
  <c r="BK14" i="33" a="1"/>
  <c r="BK17" i="33" a="1"/>
  <c r="CN21" i="33" a="1"/>
  <c r="I4" i="36" l="1"/>
  <c r="E5" i="40"/>
  <c r="H5" i="40" s="1"/>
  <c r="Q6" i="33"/>
  <c r="L4" i="21" s="1"/>
  <c r="Q10" i="33"/>
  <c r="K4" i="21" s="1"/>
  <c r="Q11" i="33"/>
  <c r="I4" i="21" s="1"/>
  <c r="Q12" i="33"/>
  <c r="M4" i="21" s="1"/>
  <c r="Q14" i="33"/>
  <c r="E4" i="21" s="1"/>
  <c r="Q15" i="33"/>
  <c r="D4" i="21" s="1"/>
  <c r="Q16" i="33"/>
  <c r="F4" i="21" s="1"/>
  <c r="Q4" i="33"/>
  <c r="Q19" i="33"/>
  <c r="J4" i="21" s="1"/>
  <c r="E5" i="39"/>
  <c r="H5" i="39" s="1"/>
  <c r="E5" i="43"/>
  <c r="H5" i="43" s="1"/>
  <c r="BO17" i="33"/>
  <c r="CI17" i="33"/>
  <c r="CJ17" i="33" s="1"/>
  <c r="BG17" i="33"/>
  <c r="CA17" i="33"/>
  <c r="CB17" i="33" s="1"/>
  <c r="CM17" i="33"/>
  <c r="H17" i="33" s="1"/>
  <c r="C13" i="44" s="1"/>
  <c r="BS17" i="33"/>
  <c r="BT17" i="33" s="1"/>
  <c r="CE17" i="33"/>
  <c r="BK17" i="33"/>
  <c r="BL17" i="33" s="1"/>
  <c r="BW17" i="33"/>
  <c r="CQ17" i="33"/>
  <c r="CR17" i="33" s="1"/>
  <c r="BI17" i="33"/>
  <c r="BO16" i="33"/>
  <c r="CI16" i="33"/>
  <c r="CJ16" i="33" s="1"/>
  <c r="BG16" i="33"/>
  <c r="CA16" i="33"/>
  <c r="CB16" i="33" s="1"/>
  <c r="CM16" i="33"/>
  <c r="H16" i="33" s="1"/>
  <c r="BS16" i="33"/>
  <c r="BT16" i="33" s="1"/>
  <c r="CE16" i="33"/>
  <c r="BK16" i="33"/>
  <c r="BL16" i="33" s="1"/>
  <c r="BW16" i="33"/>
  <c r="CQ16" i="33"/>
  <c r="CR16" i="33" s="1"/>
  <c r="BI16" i="33"/>
  <c r="BO15" i="33"/>
  <c r="CI15" i="33"/>
  <c r="CJ15" i="33" s="1"/>
  <c r="BG15" i="33"/>
  <c r="CA15" i="33"/>
  <c r="CB15" i="33" s="1"/>
  <c r="CM15" i="33"/>
  <c r="H15" i="33" s="1"/>
  <c r="BS15" i="33"/>
  <c r="BT15" i="33" s="1"/>
  <c r="CE15" i="33"/>
  <c r="BK15" i="33"/>
  <c r="BL15" i="33" s="1"/>
  <c r="BW15" i="33"/>
  <c r="CQ15" i="33"/>
  <c r="CR15" i="33" s="1"/>
  <c r="BI15" i="33"/>
  <c r="CF14" i="33"/>
  <c r="BP14" i="33"/>
  <c r="CI14" i="33"/>
  <c r="CJ14" i="33" s="1"/>
  <c r="BS14" i="33"/>
  <c r="BT14" i="33" s="1"/>
  <c r="CM14" i="33"/>
  <c r="H14" i="33" s="1"/>
  <c r="BW14" i="33"/>
  <c r="CN14" i="33"/>
  <c r="BG14" i="33"/>
  <c r="BX14" i="33"/>
  <c r="CQ14" i="33"/>
  <c r="CR14" i="33" s="1"/>
  <c r="BH14" i="33"/>
  <c r="CA14" i="33"/>
  <c r="CB14" i="33" s="1"/>
  <c r="BK14" i="33"/>
  <c r="BL14" i="33" s="1"/>
  <c r="CE14" i="33"/>
  <c r="BO14" i="33"/>
  <c r="CN20" i="33"/>
  <c r="BK21" i="33"/>
  <c r="BL21" i="33" s="1"/>
  <c r="CE21" i="33"/>
  <c r="BH20" i="33"/>
  <c r="BW20" i="33"/>
  <c r="CF21" i="33"/>
  <c r="CQ20" i="33"/>
  <c r="CR20" i="33" s="1"/>
  <c r="BO21" i="33"/>
  <c r="BK20" i="33"/>
  <c r="BL20" i="33" s="1"/>
  <c r="CE20" i="33"/>
  <c r="CN21" i="33"/>
  <c r="CF20" i="33"/>
  <c r="BW21" i="33"/>
  <c r="BS20" i="33"/>
  <c r="BT20" i="33" s="1"/>
  <c r="CQ21" i="33"/>
  <c r="CR21" i="33" s="1"/>
  <c r="CM20" i="33"/>
  <c r="H20" i="33" s="1"/>
  <c r="BX21" i="33"/>
  <c r="CI21" i="33"/>
  <c r="CJ21" i="33" s="1"/>
  <c r="BX20" i="33"/>
  <c r="BO20" i="33"/>
  <c r="CI20" i="33"/>
  <c r="CJ20" i="33" s="1"/>
  <c r="BP21" i="33"/>
  <c r="BG21" i="33"/>
  <c r="CA21" i="33"/>
  <c r="CB21" i="33" s="1"/>
  <c r="BP20" i="33"/>
  <c r="BG20" i="33"/>
  <c r="CA20" i="33"/>
  <c r="CB20" i="33" s="1"/>
  <c r="BH21" i="33"/>
  <c r="CM21" i="33"/>
  <c r="H21" i="33" s="1"/>
  <c r="BS21" i="33"/>
  <c r="BT21" i="33" s="1"/>
  <c r="BK10" i="33"/>
  <c r="BL10" i="33" s="1"/>
  <c r="BP12" i="33"/>
  <c r="BP11" i="33"/>
  <c r="BX11" i="33"/>
  <c r="CI10" i="33"/>
  <c r="CJ10" i="33" s="1"/>
  <c r="BG10" i="33"/>
  <c r="BS12" i="33"/>
  <c r="BT12" i="33" s="1"/>
  <c r="CA11" i="33"/>
  <c r="CB11" i="33" s="1"/>
  <c r="BH11" i="33"/>
  <c r="BW10" i="33"/>
  <c r="CE12" i="33"/>
  <c r="CM11" i="33"/>
  <c r="H11" i="33" s="1"/>
  <c r="BG12" i="33"/>
  <c r="BX10" i="33"/>
  <c r="BO11" i="33"/>
  <c r="CI12" i="33"/>
  <c r="CJ12" i="33" s="1"/>
  <c r="CQ11" i="33"/>
  <c r="CR11" i="33" s="1"/>
  <c r="BH12" i="33"/>
  <c r="BX12" i="33"/>
  <c r="CA10" i="33"/>
  <c r="CB10" i="33" s="1"/>
  <c r="CQ10" i="33"/>
  <c r="CR10" i="33" s="1"/>
  <c r="CM12" i="33"/>
  <c r="H12" i="33" s="1"/>
  <c r="BO10" i="33"/>
  <c r="BS11" i="33"/>
  <c r="BT11" i="33" s="1"/>
  <c r="CI11" i="33"/>
  <c r="CJ11" i="33" s="1"/>
  <c r="BG11" i="33"/>
  <c r="BW11" i="33"/>
  <c r="CA12" i="33"/>
  <c r="CB12" i="33" s="1"/>
  <c r="CN12" i="33"/>
  <c r="BP10" i="33"/>
  <c r="CF10" i="33"/>
  <c r="BO12" i="33"/>
  <c r="BH10" i="33"/>
  <c r="CM10" i="33"/>
  <c r="H10" i="33" s="1"/>
  <c r="CN11" i="33"/>
  <c r="BK12" i="33"/>
  <c r="BL12" i="33" s="1"/>
  <c r="BS10" i="33"/>
  <c r="BT10" i="33" s="1"/>
  <c r="CE11" i="33"/>
  <c r="CF12" i="33"/>
  <c r="CN10" i="33"/>
  <c r="BK11" i="33"/>
  <c r="BL11" i="33" s="1"/>
  <c r="BW12" i="33"/>
  <c r="CQ12" i="33"/>
  <c r="CR12" i="33" s="1"/>
  <c r="CE10" i="33"/>
  <c r="CF11" i="33"/>
  <c r="BW8" i="33"/>
  <c r="CQ8" i="33"/>
  <c r="CR8" i="33" s="1"/>
  <c r="BX8" i="33"/>
  <c r="BO8" i="33"/>
  <c r="CI8" i="33"/>
  <c r="CJ8" i="33" s="1"/>
  <c r="BP8" i="33"/>
  <c r="BG8" i="33"/>
  <c r="CA8" i="33"/>
  <c r="CB8" i="33" s="1"/>
  <c r="BH8" i="33"/>
  <c r="CM8" i="33"/>
  <c r="H8" i="33" s="1"/>
  <c r="BS8" i="33"/>
  <c r="BT8" i="33" s="1"/>
  <c r="CN8" i="33"/>
  <c r="CE8" i="33"/>
  <c r="BK8" i="33"/>
  <c r="BL8" i="33" s="1"/>
  <c r="CF8" i="33"/>
  <c r="BO7" i="33"/>
  <c r="CI7" i="33"/>
  <c r="CJ7" i="33" s="1"/>
  <c r="BG7" i="33"/>
  <c r="CA7" i="33"/>
  <c r="CB7" i="33" s="1"/>
  <c r="CM7" i="33"/>
  <c r="H7" i="33" s="1"/>
  <c r="CE7" i="33"/>
  <c r="BK7" i="33"/>
  <c r="BL7" i="33" s="1"/>
  <c r="BW7" i="33"/>
  <c r="CQ7" i="33"/>
  <c r="CR7" i="33" s="1"/>
  <c r="BS7" i="33"/>
  <c r="BT7" i="33" s="1"/>
  <c r="CN4" i="33"/>
  <c r="CQ4" i="33"/>
  <c r="CR4" i="33" s="1"/>
  <c r="CM4" i="33"/>
  <c r="H4" i="33" s="1"/>
  <c r="CI4" i="33"/>
  <c r="CJ4" i="33" s="1"/>
  <c r="CF4" i="33"/>
  <c r="CE4" i="33"/>
  <c r="BW4" i="33"/>
  <c r="BX4" i="33"/>
  <c r="CA4" i="33"/>
  <c r="CB4" i="33" s="1"/>
  <c r="BS4" i="33"/>
  <c r="BT4" i="33" s="1"/>
  <c r="BO4" i="33"/>
  <c r="BP4" i="33"/>
  <c r="BH4" i="33"/>
  <c r="BG4" i="33"/>
  <c r="BK4" i="33"/>
  <c r="BL4" i="33" s="1"/>
  <c r="C16" i="33"/>
  <c r="C14" i="33"/>
  <c r="BH15" i="33" a="1"/>
  <c r="BH17" i="33" a="1"/>
  <c r="BH16" i="33" a="1"/>
  <c r="L12" i="33" l="1"/>
  <c r="CW21" i="33"/>
  <c r="CX21" i="33" s="1"/>
  <c r="L21" i="33"/>
  <c r="CW20" i="33"/>
  <c r="CX20" i="33" s="1"/>
  <c r="L20" i="33"/>
  <c r="CW17" i="33"/>
  <c r="CX17" i="33" s="1"/>
  <c r="CW15" i="33"/>
  <c r="CX15" i="33" s="1"/>
  <c r="CW16" i="33"/>
  <c r="CX16" i="33" s="1"/>
  <c r="CW14" i="33"/>
  <c r="CX14" i="33" s="1"/>
  <c r="L14" i="33"/>
  <c r="CW11" i="33"/>
  <c r="CX11" i="33" s="1"/>
  <c r="L11" i="33"/>
  <c r="CW12" i="33"/>
  <c r="CX12" i="33" s="1"/>
  <c r="CW10" i="33"/>
  <c r="CX10" i="33" s="1"/>
  <c r="L10" i="33"/>
  <c r="CW8" i="33"/>
  <c r="CX8" i="33" s="1"/>
  <c r="L8" i="33"/>
  <c r="CW4" i="33"/>
  <c r="CX4" i="33" s="1"/>
  <c r="L4" i="33"/>
  <c r="I11" i="33"/>
  <c r="I21" i="33"/>
  <c r="J21" i="33" s="1"/>
  <c r="I20" i="33"/>
  <c r="I14" i="33"/>
  <c r="I10" i="33"/>
  <c r="I12" i="33"/>
  <c r="I8" i="33"/>
  <c r="J8" i="33" s="1"/>
  <c r="I4" i="33"/>
  <c r="I7" i="33"/>
  <c r="Q23" i="33"/>
  <c r="H4" i="21"/>
  <c r="F13" i="44"/>
  <c r="C13" i="41"/>
  <c r="C13" i="40"/>
  <c r="C13" i="39"/>
  <c r="C13" i="38"/>
  <c r="C13" i="37"/>
  <c r="C13" i="36"/>
  <c r="I16" i="33"/>
  <c r="I15" i="33"/>
  <c r="I17" i="33"/>
  <c r="H19" i="33"/>
  <c r="H6" i="33"/>
  <c r="BR11" i="33"/>
  <c r="CP14" i="33"/>
  <c r="BH17" i="33"/>
  <c r="BJ17" i="33" s="1"/>
  <c r="BQ17" i="33"/>
  <c r="BH16" i="33"/>
  <c r="BJ16" i="33" s="1"/>
  <c r="CH14" i="33"/>
  <c r="BQ16" i="33"/>
  <c r="BH15" i="33"/>
  <c r="BJ15" i="33" s="1"/>
  <c r="BQ15" i="33"/>
  <c r="BR20" i="33"/>
  <c r="CP21" i="33"/>
  <c r="BZ21" i="33"/>
  <c r="CP20" i="33"/>
  <c r="BJ21" i="33"/>
  <c r="BR21" i="33"/>
  <c r="CH21" i="33"/>
  <c r="CH20" i="33"/>
  <c r="BJ20" i="33"/>
  <c r="BZ20" i="33"/>
  <c r="CP11" i="33"/>
  <c r="BJ14" i="33"/>
  <c r="BZ14" i="33"/>
  <c r="CC14" i="33" s="1"/>
  <c r="CD14" i="33" s="1"/>
  <c r="BR14" i="33"/>
  <c r="CH10" i="33"/>
  <c r="BJ10" i="33"/>
  <c r="CP10" i="33"/>
  <c r="BJ11" i="33"/>
  <c r="BZ11" i="33"/>
  <c r="CH12" i="33"/>
  <c r="BR10" i="33"/>
  <c r="CH11" i="33"/>
  <c r="CP12" i="33"/>
  <c r="BR12" i="33"/>
  <c r="BZ10" i="33"/>
  <c r="BZ8" i="33"/>
  <c r="BZ12" i="33"/>
  <c r="BJ8" i="33"/>
  <c r="BJ12" i="33"/>
  <c r="BR8" i="33"/>
  <c r="CP8" i="33"/>
  <c r="CH8" i="33"/>
  <c r="BZ4" i="33"/>
  <c r="BR4" i="33"/>
  <c r="CP4" i="33"/>
  <c r="CH4" i="33"/>
  <c r="BJ4" i="33"/>
  <c r="K23" i="33"/>
  <c r="K24" i="33" s="1"/>
  <c r="I165" i="18"/>
  <c r="I166" i="18" s="1"/>
  <c r="L166" i="18" s="1"/>
  <c r="BP17" i="33" a="1"/>
  <c r="BP15" i="33" a="1"/>
  <c r="BP16" i="33" a="1"/>
  <c r="CS4" i="33" l="1"/>
  <c r="CT4" i="33" s="1"/>
  <c r="CK4" i="33"/>
  <c r="CL4" i="33" s="1"/>
  <c r="CC4" i="33"/>
  <c r="CD4" i="33" s="1"/>
  <c r="BU4" i="33"/>
  <c r="BV4" i="33" s="1"/>
  <c r="BM4" i="33"/>
  <c r="BN4" i="33" s="1"/>
  <c r="I13" i="44"/>
  <c r="E14" i="44"/>
  <c r="C13" i="42"/>
  <c r="F13" i="42" s="1"/>
  <c r="F13" i="41"/>
  <c r="C5" i="39"/>
  <c r="F13" i="40"/>
  <c r="J14" i="33"/>
  <c r="C14" i="39"/>
  <c r="F14" i="39" s="1"/>
  <c r="I14" i="39" s="1"/>
  <c r="C5" i="38"/>
  <c r="F13" i="39"/>
  <c r="J12" i="33"/>
  <c r="C14" i="38"/>
  <c r="F14" i="38" s="1"/>
  <c r="I14" i="38" s="1"/>
  <c r="C5" i="37"/>
  <c r="F13" i="38"/>
  <c r="J11" i="33"/>
  <c r="C14" i="37"/>
  <c r="C15" i="37" s="1"/>
  <c r="F15" i="37" s="1"/>
  <c r="I15" i="37" s="1"/>
  <c r="C5" i="36"/>
  <c r="F13" i="37"/>
  <c r="J10" i="33"/>
  <c r="C14" i="36"/>
  <c r="C13" i="35"/>
  <c r="C14" i="34"/>
  <c r="F14" i="34" s="1"/>
  <c r="I14" i="34" s="1"/>
  <c r="CS8" i="33"/>
  <c r="CT8" i="33" s="1"/>
  <c r="CS20" i="33"/>
  <c r="CT20" i="33" s="1"/>
  <c r="CS11" i="33"/>
  <c r="CT11" i="33" s="1"/>
  <c r="CS14" i="33"/>
  <c r="CT14" i="33" s="1"/>
  <c r="CS12" i="33"/>
  <c r="CT12" i="33" s="1"/>
  <c r="CS10" i="33"/>
  <c r="CT10" i="33" s="1"/>
  <c r="CS21" i="33"/>
  <c r="CT21" i="33" s="1"/>
  <c r="CK8" i="33"/>
  <c r="CL8" i="33" s="1"/>
  <c r="CK12" i="33"/>
  <c r="CL12" i="33" s="1"/>
  <c r="CK14" i="33"/>
  <c r="CL14" i="33" s="1"/>
  <c r="CK20" i="33"/>
  <c r="CL20" i="33" s="1"/>
  <c r="CK10" i="33"/>
  <c r="CL10" i="33" s="1"/>
  <c r="CK21" i="33"/>
  <c r="CL21" i="33" s="1"/>
  <c r="CK11" i="33"/>
  <c r="CL11" i="33" s="1"/>
  <c r="CC12" i="33"/>
  <c r="CD12" i="33" s="1"/>
  <c r="CC8" i="33"/>
  <c r="CD8" i="33" s="1"/>
  <c r="CC10" i="33"/>
  <c r="CD10" i="33" s="1"/>
  <c r="CC11" i="33"/>
  <c r="CD11" i="33" s="1"/>
  <c r="CC20" i="33"/>
  <c r="CD20" i="33" s="1"/>
  <c r="CC21" i="33"/>
  <c r="CD21" i="33" s="1"/>
  <c r="BU14" i="33"/>
  <c r="BV14" i="33" s="1"/>
  <c r="BU10" i="33"/>
  <c r="BV10" i="33" s="1"/>
  <c r="BU21" i="33"/>
  <c r="BV21" i="33" s="1"/>
  <c r="BU8" i="33"/>
  <c r="BV8" i="33" s="1"/>
  <c r="BU12" i="33"/>
  <c r="BV12" i="33" s="1"/>
  <c r="BU11" i="33"/>
  <c r="BV11" i="33" s="1"/>
  <c r="BU20" i="33"/>
  <c r="BV20" i="33" s="1"/>
  <c r="BM17" i="33"/>
  <c r="BN17" i="33" s="1"/>
  <c r="BM14" i="33"/>
  <c r="BN14" i="33" s="1"/>
  <c r="BM11" i="33"/>
  <c r="BN11" i="33" s="1"/>
  <c r="BM20" i="33"/>
  <c r="BN20" i="33" s="1"/>
  <c r="BM10" i="33"/>
  <c r="BN10" i="33" s="1"/>
  <c r="BM12" i="33"/>
  <c r="BN12" i="33" s="1"/>
  <c r="BM21" i="33"/>
  <c r="BN21" i="33" s="1"/>
  <c r="BM15" i="33"/>
  <c r="BN15" i="33" s="1"/>
  <c r="BM8" i="33"/>
  <c r="BN8" i="33" s="1"/>
  <c r="BM16" i="33"/>
  <c r="BN16" i="33" s="1"/>
  <c r="L19" i="33"/>
  <c r="J20" i="33"/>
  <c r="J19" i="33" s="1"/>
  <c r="I19" i="33"/>
  <c r="J7" i="33"/>
  <c r="J6" i="33" s="1"/>
  <c r="I6" i="33"/>
  <c r="BP17" i="33"/>
  <c r="BY17" i="33"/>
  <c r="BP16" i="33"/>
  <c r="BR16" i="33" s="1"/>
  <c r="BY16" i="33"/>
  <c r="BP15" i="33"/>
  <c r="BY15" i="33"/>
  <c r="C13" i="43"/>
  <c r="C13" i="19"/>
  <c r="BX17" i="33" a="1"/>
  <c r="BX15" i="33" a="1"/>
  <c r="BX16" i="33" a="1"/>
  <c r="M21" i="33" l="1"/>
  <c r="M20" i="33"/>
  <c r="M14" i="33"/>
  <c r="M11" i="33"/>
  <c r="M12" i="33"/>
  <c r="M10" i="33"/>
  <c r="M8" i="33"/>
  <c r="H14" i="44"/>
  <c r="C5" i="42"/>
  <c r="F13" i="43"/>
  <c r="C14" i="42"/>
  <c r="I13" i="42"/>
  <c r="E14" i="42"/>
  <c r="E14" i="41"/>
  <c r="I13" i="41"/>
  <c r="C15" i="39"/>
  <c r="F15" i="39" s="1"/>
  <c r="I15" i="39" s="1"/>
  <c r="I13" i="40"/>
  <c r="E14" i="40"/>
  <c r="C15" i="38"/>
  <c r="F15" i="38" s="1"/>
  <c r="I15" i="38" s="1"/>
  <c r="I5" i="39"/>
  <c r="F5" i="39"/>
  <c r="E6" i="39" s="1"/>
  <c r="H6" i="39" s="1"/>
  <c r="I13" i="39"/>
  <c r="E14" i="39"/>
  <c r="I13" i="38"/>
  <c r="E14" i="38"/>
  <c r="I5" i="38"/>
  <c r="F5" i="38"/>
  <c r="E6" i="38" s="1"/>
  <c r="H6" i="38" s="1"/>
  <c r="F14" i="37"/>
  <c r="I14" i="37" s="1"/>
  <c r="I13" i="37"/>
  <c r="E14" i="37"/>
  <c r="I5" i="37"/>
  <c r="F5" i="37"/>
  <c r="E6" i="37" s="1"/>
  <c r="H6" i="37" s="1"/>
  <c r="C14" i="35"/>
  <c r="F14" i="35" s="1"/>
  <c r="I14" i="35" s="1"/>
  <c r="F14" i="36"/>
  <c r="I14" i="36" s="1"/>
  <c r="F13" i="36"/>
  <c r="C13" i="34"/>
  <c r="C15" i="34" s="1"/>
  <c r="F15" i="34" s="1"/>
  <c r="I15" i="34" s="1"/>
  <c r="J4" i="33"/>
  <c r="BU16" i="33"/>
  <c r="BV16" i="33" s="1"/>
  <c r="BR15" i="33"/>
  <c r="BR17" i="33"/>
  <c r="BX17" i="33"/>
  <c r="BZ17" i="33" s="1"/>
  <c r="CG17" i="33"/>
  <c r="BX16" i="33"/>
  <c r="BZ16" i="33" s="1"/>
  <c r="CG16" i="33"/>
  <c r="BX15" i="33"/>
  <c r="CG15" i="33"/>
  <c r="D2" i="18"/>
  <c r="K147" i="18"/>
  <c r="K134" i="18"/>
  <c r="K69" i="18"/>
  <c r="K56" i="18"/>
  <c r="K43" i="18"/>
  <c r="K4" i="18"/>
  <c r="K30" i="18"/>
  <c r="CF15" i="33" a="1"/>
  <c r="CF17" i="33" a="1"/>
  <c r="CF16" i="33" a="1"/>
  <c r="BZ15" i="33" l="1"/>
  <c r="CC15" i="33" s="1"/>
  <c r="CD15" i="33" s="1"/>
  <c r="I13" i="43"/>
  <c r="E14" i="43"/>
  <c r="H14" i="42"/>
  <c r="H14" i="41"/>
  <c r="H14" i="40"/>
  <c r="N14" i="33"/>
  <c r="P14" i="33" s="1"/>
  <c r="E3" i="21" s="1"/>
  <c r="C6" i="39"/>
  <c r="F6" i="39" s="1"/>
  <c r="E7" i="39" s="1"/>
  <c r="H7" i="39" s="1"/>
  <c r="I7" i="39" s="1"/>
  <c r="E15" i="39"/>
  <c r="H15" i="39" s="1"/>
  <c r="H14" i="39"/>
  <c r="N12" i="33"/>
  <c r="O12" i="33" s="1"/>
  <c r="C6" i="38"/>
  <c r="F6" i="38" s="1"/>
  <c r="E7" i="38" s="1"/>
  <c r="H7" i="38" s="1"/>
  <c r="I7" i="38" s="1"/>
  <c r="H14" i="38"/>
  <c r="E15" i="38"/>
  <c r="H15" i="38" s="1"/>
  <c r="N11" i="33"/>
  <c r="P11" i="33" s="1"/>
  <c r="I3" i="21" s="1"/>
  <c r="C6" i="37"/>
  <c r="C7" i="37" s="1"/>
  <c r="E15" i="37"/>
  <c r="H15" i="37" s="1"/>
  <c r="H14" i="37"/>
  <c r="N10" i="33"/>
  <c r="O10" i="33" s="1"/>
  <c r="C6" i="36"/>
  <c r="C7" i="36" s="1"/>
  <c r="C15" i="36"/>
  <c r="F15" i="36" s="1"/>
  <c r="I15" i="36" s="1"/>
  <c r="I13" i="36"/>
  <c r="E14" i="36"/>
  <c r="I5" i="36"/>
  <c r="F5" i="36"/>
  <c r="E6" i="36" s="1"/>
  <c r="H6" i="36" s="1"/>
  <c r="F13" i="34"/>
  <c r="E14" i="34" s="1"/>
  <c r="F13" i="35"/>
  <c r="C15" i="35"/>
  <c r="F15" i="35" s="1"/>
  <c r="I15" i="35" s="1"/>
  <c r="M19" i="33"/>
  <c r="CC16" i="33"/>
  <c r="CD16" i="33" s="1"/>
  <c r="CC17" i="33"/>
  <c r="CD17" i="33" s="1"/>
  <c r="BU17" i="33"/>
  <c r="BV17" i="33" s="1"/>
  <c r="BU15" i="33"/>
  <c r="BV15" i="33" s="1"/>
  <c r="CF17" i="33"/>
  <c r="CO17" i="33"/>
  <c r="CF16" i="33"/>
  <c r="CO16" i="33"/>
  <c r="CF15" i="33"/>
  <c r="CH15" i="33" s="1"/>
  <c r="CO15" i="33"/>
  <c r="H2" i="18"/>
  <c r="F2" i="18"/>
  <c r="G2" i="18"/>
  <c r="CN17" i="33" a="1"/>
  <c r="CN15" i="33" a="1"/>
  <c r="CN16" i="33" a="1"/>
  <c r="J17" i="33" l="1"/>
  <c r="C14" i="44"/>
  <c r="C14" i="43"/>
  <c r="H14" i="43"/>
  <c r="N19" i="33"/>
  <c r="O19" i="33" s="1"/>
  <c r="C6" i="42"/>
  <c r="F14" i="42"/>
  <c r="C15" i="42"/>
  <c r="F15" i="42" s="1"/>
  <c r="I15" i="42" s="1"/>
  <c r="J16" i="33"/>
  <c r="C14" i="41"/>
  <c r="F14" i="41" s="1"/>
  <c r="C7" i="39"/>
  <c r="J15" i="33"/>
  <c r="C14" i="40"/>
  <c r="I6" i="39"/>
  <c r="O14" i="33"/>
  <c r="P12" i="33"/>
  <c r="M3" i="21" s="1"/>
  <c r="C7" i="38"/>
  <c r="I6" i="38"/>
  <c r="F6" i="37"/>
  <c r="E7" i="37" s="1"/>
  <c r="H7" i="37" s="1"/>
  <c r="I7" i="37" s="1"/>
  <c r="O11" i="33"/>
  <c r="I6" i="37"/>
  <c r="P10" i="33"/>
  <c r="K3" i="21" s="1"/>
  <c r="E15" i="36"/>
  <c r="H15" i="36" s="1"/>
  <c r="H14" i="36"/>
  <c r="F6" i="36"/>
  <c r="E7" i="36" s="1"/>
  <c r="H7" i="36" s="1"/>
  <c r="I7" i="36" s="1"/>
  <c r="I6" i="36"/>
  <c r="I13" i="34"/>
  <c r="E14" i="35"/>
  <c r="I13" i="35"/>
  <c r="E15" i="34"/>
  <c r="H15" i="34" s="1"/>
  <c r="H14" i="34"/>
  <c r="CK15" i="33"/>
  <c r="CL15" i="33" s="1"/>
  <c r="CH16" i="33"/>
  <c r="CH17" i="33"/>
  <c r="CN17" i="33"/>
  <c r="CP17" i="33" s="1"/>
  <c r="CN16" i="33"/>
  <c r="CP16" i="33" s="1"/>
  <c r="CN15" i="33"/>
  <c r="L15" i="33" s="1"/>
  <c r="L17" i="33" l="1"/>
  <c r="L16" i="33"/>
  <c r="F14" i="44"/>
  <c r="E15" i="44" s="1"/>
  <c r="H15" i="44" s="1"/>
  <c r="C15" i="44"/>
  <c r="F15" i="44" s="1"/>
  <c r="I15" i="44" s="1"/>
  <c r="F14" i="43"/>
  <c r="C15" i="43"/>
  <c r="F15" i="43" s="1"/>
  <c r="I15" i="43" s="1"/>
  <c r="C15" i="41"/>
  <c r="F15" i="41" s="1"/>
  <c r="I15" i="41" s="1"/>
  <c r="P19" i="33"/>
  <c r="J3" i="21" s="1"/>
  <c r="I14" i="42"/>
  <c r="E15" i="42"/>
  <c r="H15" i="42" s="1"/>
  <c r="I14" i="41"/>
  <c r="E15" i="41"/>
  <c r="H15" i="41" s="1"/>
  <c r="C15" i="40"/>
  <c r="F15" i="40" s="1"/>
  <c r="I15" i="40" s="1"/>
  <c r="F14" i="40"/>
  <c r="E15" i="35"/>
  <c r="H15" i="35" s="1"/>
  <c r="H14" i="35"/>
  <c r="CS16" i="33"/>
  <c r="CT16" i="33" s="1"/>
  <c r="CS17" i="33"/>
  <c r="CT17" i="33" s="1"/>
  <c r="CK16" i="33"/>
  <c r="CL16" i="33" s="1"/>
  <c r="CK17" i="33"/>
  <c r="CL17" i="33" s="1"/>
  <c r="CP15" i="33"/>
  <c r="M17" i="33" l="1"/>
  <c r="C6" i="44" s="1"/>
  <c r="M16" i="33"/>
  <c r="E24" i="43"/>
  <c r="F24" i="43" s="1"/>
  <c r="H24" i="43" s="1"/>
  <c r="E28" i="43"/>
  <c r="E29" i="43"/>
  <c r="E30" i="43"/>
  <c r="E31" i="43"/>
  <c r="E25" i="43"/>
  <c r="E26" i="43"/>
  <c r="E27" i="43"/>
  <c r="I14" i="44"/>
  <c r="I14" i="43"/>
  <c r="E15" i="43"/>
  <c r="H15" i="43" s="1"/>
  <c r="I14" i="40"/>
  <c r="E15" i="40"/>
  <c r="H15" i="40" s="1"/>
  <c r="CS15" i="33"/>
  <c r="C5" i="44"/>
  <c r="CT15" i="33" l="1"/>
  <c r="M15" i="33" s="1"/>
  <c r="F25" i="43"/>
  <c r="I5" i="44"/>
  <c r="F5" i="44"/>
  <c r="E6" i="44" s="1"/>
  <c r="H6" i="44" s="1"/>
  <c r="C7" i="44"/>
  <c r="I6" i="44"/>
  <c r="C5" i="41"/>
  <c r="C6" i="41"/>
  <c r="C5" i="40"/>
  <c r="I5" i="40" s="1"/>
  <c r="N17" i="33"/>
  <c r="O17" i="33" s="1"/>
  <c r="N16" i="33"/>
  <c r="P16" i="33" s="1"/>
  <c r="F3" i="21" s="1"/>
  <c r="F26" i="43" l="1"/>
  <c r="H25" i="43"/>
  <c r="F6" i="44"/>
  <c r="E7" i="44" s="1"/>
  <c r="H7" i="44" s="1"/>
  <c r="I7" i="44" s="1"/>
  <c r="F5" i="42"/>
  <c r="E6" i="42" s="1"/>
  <c r="H6" i="42" s="1"/>
  <c r="C7" i="42"/>
  <c r="I5" i="42"/>
  <c r="I6" i="42"/>
  <c r="F5" i="40"/>
  <c r="E6" i="40" s="1"/>
  <c r="H6" i="40" s="1"/>
  <c r="I6" i="41"/>
  <c r="F5" i="41"/>
  <c r="E6" i="41" s="1"/>
  <c r="H6" i="41" s="1"/>
  <c r="I5" i="41"/>
  <c r="C7" i="41"/>
  <c r="N15" i="33"/>
  <c r="O15" i="33" s="1"/>
  <c r="C6" i="40"/>
  <c r="O16" i="33"/>
  <c r="P17" i="33"/>
  <c r="G3" i="21" s="1"/>
  <c r="F27" i="43" l="1"/>
  <c r="H26" i="43"/>
  <c r="F6" i="42"/>
  <c r="E7" i="42" s="1"/>
  <c r="H7" i="42" s="1"/>
  <c r="I7" i="42" s="1"/>
  <c r="F6" i="40"/>
  <c r="E7" i="40" s="1"/>
  <c r="H7" i="40" s="1"/>
  <c r="I7" i="40" s="1"/>
  <c r="F6" i="41"/>
  <c r="E7" i="41" s="1"/>
  <c r="H7" i="41" s="1"/>
  <c r="I7" i="41" s="1"/>
  <c r="P15" i="33"/>
  <c r="D3" i="21" s="1"/>
  <c r="I6" i="40"/>
  <c r="C7" i="40"/>
  <c r="M4" i="33"/>
  <c r="F28" i="43" l="1"/>
  <c r="H27" i="43"/>
  <c r="E6" i="19"/>
  <c r="E5" i="19"/>
  <c r="E4" i="19"/>
  <c r="E3" i="19"/>
  <c r="C6" i="19"/>
  <c r="C5" i="19"/>
  <c r="C4" i="19"/>
  <c r="C3" i="19"/>
  <c r="F29" i="43" l="1"/>
  <c r="H28" i="43"/>
  <c r="C5" i="34"/>
  <c r="I5" i="34" s="1"/>
  <c r="C6" i="34"/>
  <c r="I6" i="34" s="1"/>
  <c r="N4" i="33"/>
  <c r="E7" i="19"/>
  <c r="C7" i="19"/>
  <c r="D3" i="19" s="1"/>
  <c r="H165" i="18"/>
  <c r="H166" i="18" s="1"/>
  <c r="G165" i="18"/>
  <c r="G166" i="18" s="1"/>
  <c r="F165" i="18"/>
  <c r="H160" i="18"/>
  <c r="G160" i="18"/>
  <c r="F160" i="18"/>
  <c r="H152" i="18"/>
  <c r="H153" i="18"/>
  <c r="G153" i="18"/>
  <c r="G152" i="18"/>
  <c r="F153" i="18"/>
  <c r="F152" i="18"/>
  <c r="H147" i="18"/>
  <c r="G147" i="18"/>
  <c r="F147" i="18"/>
  <c r="G140" i="18"/>
  <c r="G139" i="18"/>
  <c r="F140" i="18"/>
  <c r="F139" i="18"/>
  <c r="H134" i="18"/>
  <c r="G134" i="18"/>
  <c r="F134" i="18"/>
  <c r="H140" i="18"/>
  <c r="H139" i="18"/>
  <c r="H126" i="18"/>
  <c r="H127" i="18"/>
  <c r="G127" i="18"/>
  <c r="G126" i="18"/>
  <c r="F127" i="18"/>
  <c r="F126" i="18"/>
  <c r="H121" i="18"/>
  <c r="G121" i="18"/>
  <c r="F121" i="18"/>
  <c r="H113" i="18"/>
  <c r="H114" i="18"/>
  <c r="G114" i="18"/>
  <c r="G113" i="18"/>
  <c r="F114" i="18"/>
  <c r="F113" i="18"/>
  <c r="H108" i="18"/>
  <c r="G108" i="18"/>
  <c r="F108" i="18"/>
  <c r="H100" i="18"/>
  <c r="H101" i="18"/>
  <c r="G101" i="18"/>
  <c r="G100" i="18"/>
  <c r="F101" i="18"/>
  <c r="F100" i="18"/>
  <c r="H95" i="18"/>
  <c r="G95" i="18"/>
  <c r="F95" i="18"/>
  <c r="H87" i="18"/>
  <c r="H88" i="18"/>
  <c r="G88" i="18"/>
  <c r="G87" i="18"/>
  <c r="F88" i="18"/>
  <c r="F87" i="18"/>
  <c r="H82" i="18"/>
  <c r="G82" i="18"/>
  <c r="F82" i="18"/>
  <c r="H74" i="18"/>
  <c r="H75" i="18"/>
  <c r="G75" i="18"/>
  <c r="G74" i="18"/>
  <c r="F75" i="18"/>
  <c r="F74" i="18"/>
  <c r="H69" i="18"/>
  <c r="G69" i="18"/>
  <c r="F69" i="18"/>
  <c r="H61" i="18"/>
  <c r="H62" i="18"/>
  <c r="G62" i="18"/>
  <c r="G61" i="18"/>
  <c r="F62" i="18"/>
  <c r="F61" i="18"/>
  <c r="H56" i="18"/>
  <c r="G56" i="18"/>
  <c r="F56" i="18"/>
  <c r="H48" i="18"/>
  <c r="H49" i="18"/>
  <c r="G49" i="18"/>
  <c r="G48" i="18"/>
  <c r="F49" i="18"/>
  <c r="F48" i="18"/>
  <c r="H43" i="18"/>
  <c r="G43" i="18"/>
  <c r="F43" i="18"/>
  <c r="H35" i="18"/>
  <c r="H36" i="18"/>
  <c r="G36" i="18"/>
  <c r="G35" i="18"/>
  <c r="F36" i="18"/>
  <c r="F35" i="18"/>
  <c r="H30" i="18"/>
  <c r="G30" i="18"/>
  <c r="F30" i="18"/>
  <c r="H22" i="18"/>
  <c r="H23" i="18"/>
  <c r="G23" i="18"/>
  <c r="G22" i="18"/>
  <c r="F23" i="18"/>
  <c r="F22" i="18"/>
  <c r="H17" i="18"/>
  <c r="I17" i="18"/>
  <c r="G17" i="18"/>
  <c r="F17" i="18"/>
  <c r="F30" i="43" l="1"/>
  <c r="H29" i="43"/>
  <c r="C7" i="34"/>
  <c r="F5" i="34"/>
  <c r="E6" i="34" s="1"/>
  <c r="H6" i="34" s="1"/>
  <c r="P4" i="33"/>
  <c r="H3" i="21" s="1"/>
  <c r="O4" i="33"/>
  <c r="J17" i="18"/>
  <c r="L17" i="18" s="1"/>
  <c r="G141" i="18"/>
  <c r="D4" i="19"/>
  <c r="D5" i="19"/>
  <c r="D6" i="19"/>
  <c r="F4" i="19"/>
  <c r="F5" i="19"/>
  <c r="F6" i="19"/>
  <c r="C15" i="19"/>
  <c r="K82" i="18" s="1"/>
  <c r="F3" i="19"/>
  <c r="G161" i="18"/>
  <c r="G162" i="18" s="1"/>
  <c r="G78" i="18"/>
  <c r="H78" i="18"/>
  <c r="G143" i="18"/>
  <c r="G50" i="18"/>
  <c r="G116" i="18"/>
  <c r="H26" i="18"/>
  <c r="H24" i="18"/>
  <c r="G167" i="18"/>
  <c r="G168" i="18" s="1"/>
  <c r="G25" i="18"/>
  <c r="F166" i="18"/>
  <c r="G24" i="18"/>
  <c r="G109" i="18"/>
  <c r="F115" i="18"/>
  <c r="G142" i="18"/>
  <c r="G18" i="18"/>
  <c r="G19" i="18" s="1"/>
  <c r="G91" i="18"/>
  <c r="G89" i="18"/>
  <c r="H167" i="18"/>
  <c r="G38" i="18"/>
  <c r="I82" i="18"/>
  <c r="J82" i="18" s="1"/>
  <c r="H31" i="18"/>
  <c r="F169" i="18"/>
  <c r="H161" i="18"/>
  <c r="I160" i="18"/>
  <c r="H18" i="18"/>
  <c r="G26" i="18"/>
  <c r="H25" i="18"/>
  <c r="G104" i="18"/>
  <c r="H148" i="18"/>
  <c r="H154" i="18"/>
  <c r="H156" i="18"/>
  <c r="G31" i="18"/>
  <c r="G102" i="18"/>
  <c r="G128" i="18"/>
  <c r="H89" i="18"/>
  <c r="H102" i="18"/>
  <c r="H109" i="18"/>
  <c r="H143" i="18"/>
  <c r="I147" i="18"/>
  <c r="I30" i="18"/>
  <c r="J30" i="18" s="1"/>
  <c r="L30" i="18" s="1"/>
  <c r="F24" i="18"/>
  <c r="G64" i="18"/>
  <c r="H116" i="18"/>
  <c r="G52" i="18"/>
  <c r="G65" i="18"/>
  <c r="G129" i="18"/>
  <c r="H141" i="18"/>
  <c r="H130" i="18"/>
  <c r="G156" i="18"/>
  <c r="G154" i="18"/>
  <c r="G148" i="18"/>
  <c r="H155" i="18"/>
  <c r="G155" i="18"/>
  <c r="F154" i="18"/>
  <c r="H142" i="18"/>
  <c r="F141" i="18"/>
  <c r="G135" i="18"/>
  <c r="H135" i="18"/>
  <c r="I134" i="18"/>
  <c r="H128" i="18"/>
  <c r="G130" i="18"/>
  <c r="F128" i="18"/>
  <c r="I121" i="18"/>
  <c r="H122" i="18"/>
  <c r="G122" i="18"/>
  <c r="H129" i="18"/>
  <c r="G117" i="18"/>
  <c r="I108" i="18"/>
  <c r="J108" i="18" s="1"/>
  <c r="G115" i="18"/>
  <c r="H115" i="18"/>
  <c r="H117" i="18"/>
  <c r="H104" i="18"/>
  <c r="G103" i="18"/>
  <c r="G96" i="18"/>
  <c r="I95" i="18"/>
  <c r="H103" i="18"/>
  <c r="H96" i="18"/>
  <c r="F102" i="18"/>
  <c r="H91" i="18"/>
  <c r="G90" i="18"/>
  <c r="F89" i="18"/>
  <c r="G83" i="18"/>
  <c r="H90" i="18"/>
  <c r="H83" i="18"/>
  <c r="G76" i="18"/>
  <c r="H70" i="18"/>
  <c r="I69" i="18"/>
  <c r="H76" i="18"/>
  <c r="G77" i="18"/>
  <c r="G70" i="18"/>
  <c r="H77" i="18"/>
  <c r="F76" i="18"/>
  <c r="H64" i="18"/>
  <c r="H63" i="18"/>
  <c r="H65" i="18"/>
  <c r="G63" i="18"/>
  <c r="F63" i="18"/>
  <c r="I56" i="18"/>
  <c r="G57" i="18"/>
  <c r="H57" i="18"/>
  <c r="H51" i="18"/>
  <c r="F50" i="18"/>
  <c r="I43" i="18"/>
  <c r="G44" i="18"/>
  <c r="G51" i="18"/>
  <c r="H44" i="18"/>
  <c r="H50" i="18"/>
  <c r="H52" i="18"/>
  <c r="H39" i="18"/>
  <c r="G39" i="18"/>
  <c r="H38" i="18"/>
  <c r="F37" i="18"/>
  <c r="G37" i="18"/>
  <c r="H37" i="18"/>
  <c r="H9" i="18"/>
  <c r="H10" i="18"/>
  <c r="G10" i="18"/>
  <c r="G9" i="18"/>
  <c r="F10" i="18"/>
  <c r="F9" i="18"/>
  <c r="H4" i="18"/>
  <c r="G4" i="18"/>
  <c r="F4" i="18"/>
  <c r="F31" i="43" l="1"/>
  <c r="H31" i="43" s="1"/>
  <c r="H30" i="43"/>
  <c r="F6" i="34"/>
  <c r="E7" i="34" s="1"/>
  <c r="H7" i="34" s="1"/>
  <c r="I7" i="34" s="1"/>
  <c r="G144" i="18"/>
  <c r="I144" i="18" s="1"/>
  <c r="L82" i="18"/>
  <c r="C18" i="19"/>
  <c r="K121" i="18" s="1"/>
  <c r="C17" i="19"/>
  <c r="K108" i="18" s="1"/>
  <c r="C16" i="19"/>
  <c r="K95" i="18" s="1"/>
  <c r="H162" i="18"/>
  <c r="G118" i="18"/>
  <c r="H168" i="18"/>
  <c r="I168" i="18" s="1"/>
  <c r="I169" i="18" s="1"/>
  <c r="L169" i="18" s="1"/>
  <c r="G32" i="18"/>
  <c r="G110" i="18"/>
  <c r="F41" i="18"/>
  <c r="F106" i="18"/>
  <c r="F145" i="18"/>
  <c r="F132" i="18"/>
  <c r="F67" i="18"/>
  <c r="F158" i="18"/>
  <c r="F93" i="18"/>
  <c r="H144" i="18"/>
  <c r="F54" i="18"/>
  <c r="F28" i="18"/>
  <c r="I4" i="18"/>
  <c r="F80" i="18"/>
  <c r="F119" i="18"/>
  <c r="G169" i="18"/>
  <c r="G92" i="18"/>
  <c r="G40" i="18"/>
  <c r="G157" i="18"/>
  <c r="H19" i="18"/>
  <c r="G27" i="18"/>
  <c r="H32" i="18"/>
  <c r="J147" i="18"/>
  <c r="L147" i="18" s="1"/>
  <c r="G105" i="18"/>
  <c r="G53" i="18"/>
  <c r="J160" i="18"/>
  <c r="L160" i="18" s="1"/>
  <c r="G131" i="18"/>
  <c r="J121" i="18"/>
  <c r="G45" i="18"/>
  <c r="H45" i="18"/>
  <c r="H136" i="18"/>
  <c r="G136" i="18"/>
  <c r="G149" i="18"/>
  <c r="H149" i="18"/>
  <c r="G71" i="18"/>
  <c r="H71" i="18"/>
  <c r="G66" i="18"/>
  <c r="H110" i="18"/>
  <c r="J56" i="18"/>
  <c r="L56" i="18" s="1"/>
  <c r="J43" i="18"/>
  <c r="L43" i="18" s="1"/>
  <c r="G79" i="18"/>
  <c r="J95" i="18"/>
  <c r="H84" i="18"/>
  <c r="G84" i="18"/>
  <c r="G97" i="18"/>
  <c r="H97" i="18"/>
  <c r="G123" i="18"/>
  <c r="H123" i="18"/>
  <c r="G58" i="18"/>
  <c r="H58" i="18"/>
  <c r="J69" i="18"/>
  <c r="L69" i="18" s="1"/>
  <c r="J134" i="18"/>
  <c r="L134" i="18" s="1"/>
  <c r="G11" i="18"/>
  <c r="F11" i="18"/>
  <c r="H13" i="18"/>
  <c r="H12" i="18"/>
  <c r="G5" i="18"/>
  <c r="G12" i="18"/>
  <c r="H11" i="18"/>
  <c r="H5" i="18"/>
  <c r="G13" i="18"/>
  <c r="H32" i="43" l="1"/>
  <c r="G145" i="18"/>
  <c r="G158" i="18"/>
  <c r="G119" i="18"/>
  <c r="L108" i="18"/>
  <c r="H27" i="18"/>
  <c r="I27" i="18" s="1"/>
  <c r="L121" i="18"/>
  <c r="H118" i="18"/>
  <c r="L95" i="18"/>
  <c r="H169" i="18"/>
  <c r="H145" i="18"/>
  <c r="I145" i="18" s="1"/>
  <c r="G28" i="18"/>
  <c r="H157" i="18"/>
  <c r="F15" i="18"/>
  <c r="H92" i="18"/>
  <c r="H105" i="18"/>
  <c r="G132" i="18"/>
  <c r="H131" i="18"/>
  <c r="I131" i="18" s="1"/>
  <c r="G106" i="18"/>
  <c r="G93" i="18"/>
  <c r="G80" i="18"/>
  <c r="H79" i="18"/>
  <c r="I79" i="18" s="1"/>
  <c r="G67" i="18"/>
  <c r="H66" i="18"/>
  <c r="G54" i="18"/>
  <c r="H53" i="18"/>
  <c r="I53" i="18" s="1"/>
  <c r="G41" i="18"/>
  <c r="H40" i="18"/>
  <c r="I162" i="18"/>
  <c r="J162" i="18" s="1"/>
  <c r="I110" i="18"/>
  <c r="J110" i="18" s="1"/>
  <c r="I32" i="18"/>
  <c r="J32" i="18" s="1"/>
  <c r="I19" i="18"/>
  <c r="I20" i="18" s="1"/>
  <c r="J20" i="18" s="1"/>
  <c r="L20" i="18" s="1"/>
  <c r="I97" i="18"/>
  <c r="J97" i="18" s="1"/>
  <c r="I136" i="18"/>
  <c r="J136" i="18" s="1"/>
  <c r="I149" i="18"/>
  <c r="J149" i="18" s="1"/>
  <c r="I123" i="18"/>
  <c r="J123" i="18" s="1"/>
  <c r="I84" i="18"/>
  <c r="J84" i="18" s="1"/>
  <c r="I71" i="18"/>
  <c r="I58" i="18"/>
  <c r="J58" i="18" s="1"/>
  <c r="I45" i="18"/>
  <c r="J45" i="18" s="1"/>
  <c r="J4" i="18"/>
  <c r="L4" i="18" s="1"/>
  <c r="G14" i="18"/>
  <c r="G6" i="18"/>
  <c r="H6" i="18"/>
  <c r="I157" i="18" l="1"/>
  <c r="I118" i="18"/>
  <c r="I105" i="18"/>
  <c r="I92" i="18"/>
  <c r="I66" i="18"/>
  <c r="I40" i="18"/>
  <c r="H28" i="18"/>
  <c r="I28" i="18" s="1"/>
  <c r="H119" i="18"/>
  <c r="I119" i="18" s="1"/>
  <c r="H93" i="18"/>
  <c r="I93" i="18" s="1"/>
  <c r="N4" i="21"/>
  <c r="H158" i="18"/>
  <c r="I158" i="18" s="1"/>
  <c r="I163" i="18"/>
  <c r="J163" i="18" s="1"/>
  <c r="H106" i="18"/>
  <c r="I106" i="18" s="1"/>
  <c r="I33" i="18"/>
  <c r="J33" i="18" s="1"/>
  <c r="L33" i="18" s="1"/>
  <c r="H14" i="18"/>
  <c r="H132" i="18"/>
  <c r="I132" i="18" s="1"/>
  <c r="I111" i="18"/>
  <c r="J111" i="18" s="1"/>
  <c r="L111" i="18" s="1"/>
  <c r="H80" i="18"/>
  <c r="I80" i="18" s="1"/>
  <c r="H67" i="18"/>
  <c r="I67" i="18" s="1"/>
  <c r="H54" i="18"/>
  <c r="I54" i="18" s="1"/>
  <c r="H41" i="18"/>
  <c r="I41" i="18" s="1"/>
  <c r="J19" i="18"/>
  <c r="I137" i="18"/>
  <c r="J137" i="18" s="1"/>
  <c r="L137" i="18" s="1"/>
  <c r="I98" i="18"/>
  <c r="J98" i="18" s="1"/>
  <c r="L98" i="18" s="1"/>
  <c r="I150" i="18"/>
  <c r="I72" i="18"/>
  <c r="J71" i="18"/>
  <c r="I124" i="18"/>
  <c r="I85" i="18"/>
  <c r="I59" i="18"/>
  <c r="I46" i="18"/>
  <c r="G15" i="18"/>
  <c r="I6" i="18"/>
  <c r="H15" i="18" l="1"/>
  <c r="I15" i="18" s="1"/>
  <c r="J150" i="18"/>
  <c r="L150" i="18" s="1"/>
  <c r="J72" i="18"/>
  <c r="L72" i="18" s="1"/>
  <c r="J124" i="18"/>
  <c r="L124" i="18" s="1"/>
  <c r="J46" i="18"/>
  <c r="L46" i="18" s="1"/>
  <c r="J59" i="18"/>
  <c r="L59" i="18" s="1"/>
  <c r="J85" i="18"/>
  <c r="L85" i="18" s="1"/>
  <c r="J6" i="18"/>
  <c r="I7" i="18"/>
  <c r="J7" i="18" s="1"/>
  <c r="L7" i="18" s="1"/>
  <c r="I14" i="18" l="1"/>
  <c r="BI7" i="33" l="1"/>
  <c r="BH7" i="33" a="1"/>
  <c r="BH7" i="33" l="1"/>
  <c r="BJ7" i="33" s="1"/>
  <c r="BQ7" i="33"/>
  <c r="BP7" i="33" a="1"/>
  <c r="CW7" i="33" l="1"/>
  <c r="CX7" i="33" s="1"/>
  <c r="CX24" i="33" s="1"/>
  <c r="CZ24" i="33" s="1"/>
  <c r="BP7" i="33"/>
  <c r="BR7" i="33" s="1"/>
  <c r="BY7" i="33"/>
  <c r="BM7" i="33"/>
  <c r="BN7" i="33" s="1"/>
  <c r="BX7" i="33" a="1"/>
  <c r="BX7" i="33" l="1"/>
  <c r="CG7" i="33"/>
  <c r="BU7" i="33"/>
  <c r="BV7" i="33" s="1"/>
  <c r="CF7" i="33" a="1"/>
  <c r="CF7" i="33" l="1"/>
  <c r="CH7" i="33" s="1"/>
  <c r="CO7" i="33"/>
  <c r="BZ7" i="33"/>
  <c r="CN7" i="33" a="1"/>
  <c r="CN7" i="33" l="1"/>
  <c r="L7" i="33" s="1"/>
  <c r="CC7" i="33"/>
  <c r="CD7" i="33" s="1"/>
  <c r="CK7" i="33"/>
  <c r="CL7" i="33" s="1"/>
  <c r="CP7" i="33" l="1"/>
  <c r="L6" i="33" l="1"/>
  <c r="C5" i="35" s="1"/>
  <c r="CS7" i="33"/>
  <c r="CT7" i="33" l="1"/>
  <c r="M7" i="33" s="1"/>
  <c r="M6" i="33" s="1"/>
  <c r="C5" i="43"/>
  <c r="I5" i="43" s="1"/>
  <c r="F5" i="35"/>
  <c r="E6" i="35" s="1"/>
  <c r="H6" i="35" s="1"/>
  <c r="I5" i="35"/>
  <c r="F5" i="43" l="1"/>
  <c r="E6" i="43" s="1"/>
  <c r="H6" i="43" s="1"/>
  <c r="C6" i="35"/>
  <c r="C6" i="43"/>
  <c r="N6" i="33"/>
  <c r="N23" i="33" l="1"/>
  <c r="N24" i="33" s="1"/>
  <c r="N3" i="21" s="1"/>
  <c r="P6" i="33"/>
  <c r="L3" i="21" s="1"/>
  <c r="O6" i="33"/>
  <c r="F6" i="43"/>
  <c r="E7" i="43" s="1"/>
  <c r="H7" i="43" s="1"/>
  <c r="I7" i="43" s="1"/>
  <c r="I6" i="43"/>
  <c r="C7" i="43"/>
  <c r="F6" i="35"/>
  <c r="E7" i="35" s="1"/>
  <c r="H7" i="35" s="1"/>
  <c r="I7" i="35" s="1"/>
  <c r="I6" i="35"/>
  <c r="C7" i="3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<sst xmlns="http://schemas.openxmlformats.org/spreadsheetml/2006/main" count="1911" uniqueCount="201">
  <si>
    <t>Value</t>
  </si>
  <si>
    <t>2025/06/06</t>
  </si>
  <si>
    <t>2025/06/30</t>
  </si>
  <si>
    <t>2025/07/31</t>
  </si>
  <si>
    <t>2025/08/31</t>
  </si>
  <si>
    <t>2025/09/30</t>
  </si>
  <si>
    <t>2025/10/31</t>
  </si>
  <si>
    <t>2025/11/30</t>
  </si>
  <si>
    <t>2025/12/31</t>
  </si>
  <si>
    <t>2026/01/31</t>
  </si>
  <si>
    <t>2026/02/28</t>
  </si>
  <si>
    <t>2026/03/31</t>
  </si>
  <si>
    <t>2026/04/30</t>
  </si>
  <si>
    <t>2026/05/31</t>
  </si>
  <si>
    <t>2026/06/30</t>
  </si>
  <si>
    <t>2026/07/31</t>
  </si>
  <si>
    <t>2026/08/31</t>
  </si>
  <si>
    <t>2026/09/30</t>
  </si>
  <si>
    <t>2026/10/31</t>
  </si>
  <si>
    <t>2026/11/30</t>
  </si>
  <si>
    <t>2026/12/31</t>
  </si>
  <si>
    <t>2027/01/31</t>
  </si>
  <si>
    <t>2027/02/28</t>
  </si>
  <si>
    <t>2027/03/31</t>
  </si>
  <si>
    <t>2027/04/30</t>
  </si>
  <si>
    <t>2027/05/31</t>
  </si>
  <si>
    <t>2027/06/30</t>
  </si>
  <si>
    <t>2027/07/31</t>
  </si>
  <si>
    <t>2027/08/31</t>
  </si>
  <si>
    <t>2027/09/30</t>
  </si>
  <si>
    <t>2027/10/31</t>
  </si>
  <si>
    <t>2027/11/30</t>
  </si>
  <si>
    <t>2027/12/31</t>
  </si>
  <si>
    <t>2028/01/31</t>
  </si>
  <si>
    <t>2028/02/29</t>
  </si>
  <si>
    <t>2028/03/31</t>
  </si>
  <si>
    <t>2028/04/30</t>
  </si>
  <si>
    <t>2028/05/31</t>
  </si>
  <si>
    <t>2028/06/30</t>
  </si>
  <si>
    <t>2028/07/31</t>
  </si>
  <si>
    <t>2028/08/31</t>
  </si>
  <si>
    <t>2028/09/30</t>
  </si>
  <si>
    <t>2028/10/31</t>
  </si>
  <si>
    <t>2028/11/30</t>
  </si>
  <si>
    <t>2028/12/31</t>
  </si>
  <si>
    <t>2029/01/31</t>
  </si>
  <si>
    <t>2029/02/28</t>
  </si>
  <si>
    <t>2029/03/31</t>
  </si>
  <si>
    <t>2029/04/30</t>
  </si>
  <si>
    <t>2029/05/31</t>
  </si>
  <si>
    <t>2029/06/30</t>
  </si>
  <si>
    <t>2029/07/31</t>
  </si>
  <si>
    <t>2029/08/31</t>
  </si>
  <si>
    <t>2029/09/30</t>
  </si>
  <si>
    <t>2029/10/31</t>
  </si>
  <si>
    <t>2029/11/30</t>
  </si>
  <si>
    <t>2029/12/31</t>
  </si>
  <si>
    <t>2030/01/31</t>
  </si>
  <si>
    <t>2030/02/28</t>
  </si>
  <si>
    <t>2030/03/31</t>
  </si>
  <si>
    <t>2030/04/30</t>
  </si>
  <si>
    <t>2030/05/31</t>
  </si>
  <si>
    <t>2030/06/30</t>
  </si>
  <si>
    <t>2030/07/31</t>
  </si>
  <si>
    <t>fml_count</t>
  </si>
  <si>
    <t>olmm_count</t>
  </si>
  <si>
    <t>pl_count</t>
  </si>
  <si>
    <t>revenue_p_m</t>
  </si>
  <si>
    <t>depreciation_p_m</t>
  </si>
  <si>
    <t>interest_p_m</t>
  </si>
  <si>
    <t>admin_p_m</t>
  </si>
  <si>
    <t>maint_prov_p_m</t>
  </si>
  <si>
    <t>maintenance_fund</t>
  </si>
  <si>
    <t>other_fee_p_m</t>
  </si>
  <si>
    <t>total_cost</t>
  </si>
  <si>
    <t>nbv</t>
  </si>
  <si>
    <t>maint_fund_drop</t>
  </si>
  <si>
    <t>fml_fleet_drop</t>
  </si>
  <si>
    <t>olmm_fleet_drop</t>
  </si>
  <si>
    <t>F2025-Q3</t>
  </si>
  <si>
    <t>F2025-Q4</t>
  </si>
  <si>
    <t>F2026-Q1</t>
  </si>
  <si>
    <t>F2026-Q2</t>
  </si>
  <si>
    <t>F2026-Q3</t>
  </si>
  <si>
    <t>F2026-Q4</t>
  </si>
  <si>
    <t>F2027-Q1</t>
  </si>
  <si>
    <t>F2027-Q2</t>
  </si>
  <si>
    <t>F2027-Q3</t>
  </si>
  <si>
    <t>F2027-Q4</t>
  </si>
  <si>
    <t>F2028-Q1</t>
  </si>
  <si>
    <t>F2028-Q2</t>
  </si>
  <si>
    <t>F2028-Q3</t>
  </si>
  <si>
    <t>F2028-Q4</t>
  </si>
  <si>
    <t>F2029-Q1</t>
  </si>
  <si>
    <t>F2029-Q2</t>
  </si>
  <si>
    <t>F2029-Q3</t>
  </si>
  <si>
    <t>F2029-Q4</t>
  </si>
  <si>
    <t>F2030-Q1</t>
  </si>
  <si>
    <t>F2030-Q2</t>
  </si>
  <si>
    <t>F2030-Q3</t>
  </si>
  <si>
    <t>GHC</t>
  </si>
  <si>
    <t>Revenue</t>
  </si>
  <si>
    <t>Fleet Count FML</t>
  </si>
  <si>
    <t>Fleet Count OLMM</t>
  </si>
  <si>
    <t>Fleet Count PL</t>
  </si>
  <si>
    <t>BOT</t>
  </si>
  <si>
    <t>MOZ</t>
  </si>
  <si>
    <t>NAM</t>
  </si>
  <si>
    <t>GHA</t>
  </si>
  <si>
    <t>Inland</t>
  </si>
  <si>
    <t>LES</t>
  </si>
  <si>
    <t>Central &amp; Commercial</t>
  </si>
  <si>
    <t>Coastal</t>
  </si>
  <si>
    <t xml:space="preserve">Public Sector
</t>
  </si>
  <si>
    <t>Legal</t>
  </si>
  <si>
    <t>iLease</t>
  </si>
  <si>
    <t>Company Cars</t>
  </si>
  <si>
    <t>ZAM</t>
  </si>
  <si>
    <t>ZMK</t>
  </si>
  <si>
    <t>Column</t>
  </si>
  <si>
    <t>Replacements</t>
  </si>
  <si>
    <t>Period 1</t>
  </si>
  <si>
    <t>Period 2</t>
  </si>
  <si>
    <t>Period 3</t>
  </si>
  <si>
    <t>Period 4</t>
  </si>
  <si>
    <t>Feb</t>
  </si>
  <si>
    <t>Mar</t>
  </si>
  <si>
    <t>Apr</t>
  </si>
  <si>
    <t>May</t>
  </si>
  <si>
    <t>Jun</t>
  </si>
  <si>
    <t>Jul</t>
  </si>
  <si>
    <t>Aug</t>
  </si>
  <si>
    <t>Sep</t>
  </si>
  <si>
    <t>Region</t>
  </si>
  <si>
    <t>Company Code</t>
  </si>
  <si>
    <t>Budget Split</t>
  </si>
  <si>
    <t>fleet ratio</t>
  </si>
  <si>
    <t>rental ratio</t>
  </si>
  <si>
    <t>Revenue Budget</t>
  </si>
  <si>
    <t>Fleet Budget</t>
  </si>
  <si>
    <t>Fleet Contracted</t>
  </si>
  <si>
    <t>Fleet New</t>
  </si>
  <si>
    <t>Fleet Forecast</t>
  </si>
  <si>
    <t>Revenue YTD</t>
  </si>
  <si>
    <t>Revenue Contracted</t>
  </si>
  <si>
    <t>Revenue New</t>
  </si>
  <si>
    <t>Revenue Forecast</t>
  </si>
  <si>
    <t>Revenue Gap</t>
  </si>
  <si>
    <t>Revenue Risk</t>
  </si>
  <si>
    <t>Budget Contribution</t>
  </si>
  <si>
    <t>Fleet</t>
  </si>
  <si>
    <t>FX</t>
  </si>
  <si>
    <t>Revenue (month)</t>
  </si>
  <si>
    <t>Avg Revenue</t>
  </si>
  <si>
    <t>Dropped Fleet</t>
  </si>
  <si>
    <t>Replacement Fleet</t>
  </si>
  <si>
    <t>Replacement Revenue</t>
  </si>
  <si>
    <t>Replacement Revenue Full Year</t>
  </si>
  <si>
    <t>Full Year Estimate Current</t>
  </si>
  <si>
    <t>X 6</t>
  </si>
  <si>
    <t>H1 Estimate</t>
  </si>
  <si>
    <t>Botswana</t>
  </si>
  <si>
    <t>Ghana</t>
  </si>
  <si>
    <t>Mozambique</t>
  </si>
  <si>
    <t>Namibia</t>
  </si>
  <si>
    <t>Lesotho</t>
  </si>
  <si>
    <t>RSA</t>
  </si>
  <si>
    <t>Public Sector</t>
  </si>
  <si>
    <t>Zambia</t>
  </si>
  <si>
    <t>Fleet count</t>
  </si>
  <si>
    <t>Total</t>
  </si>
  <si>
    <t>YTD</t>
  </si>
  <si>
    <t>Budget</t>
  </si>
  <si>
    <t>Exchange Rate</t>
  </si>
  <si>
    <t>Replacement</t>
  </si>
  <si>
    <t>Replace Revenue</t>
  </si>
  <si>
    <t>Local Currency</t>
  </si>
  <si>
    <t>ZAR</t>
  </si>
  <si>
    <t>Forecast</t>
  </si>
  <si>
    <t>Full Year</t>
  </si>
  <si>
    <t>Rev_drop</t>
  </si>
  <si>
    <t>Replacement Rev</t>
  </si>
  <si>
    <t>Revenue Total</t>
  </si>
  <si>
    <t>Fleet Count</t>
  </si>
  <si>
    <t>Fleet Total</t>
  </si>
  <si>
    <t>COJ</t>
  </si>
  <si>
    <t>pl_fleet_drop</t>
  </si>
  <si>
    <t>Combined</t>
  </si>
  <si>
    <t>Start</t>
  </si>
  <si>
    <t>End</t>
  </si>
  <si>
    <t>Series 1</t>
  </si>
  <si>
    <t>Series 2</t>
  </si>
  <si>
    <t>Contracted</t>
  </si>
  <si>
    <t>Forecasted Replacement/Growth</t>
  </si>
  <si>
    <t>Gap</t>
  </si>
  <si>
    <t>Plan</t>
  </si>
  <si>
    <t>Consol</t>
  </si>
  <si>
    <t>Period</t>
  </si>
  <si>
    <t>Vehicles</t>
  </si>
  <si>
    <t>Average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</si>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</sst>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R&quot;#,##0;[Red]\-&quot;R&quot;#,##0"/>
    <numFmt numFmtId="8" formatCode="&quot;R&quot;#,##0.00;[Red]\-&quot;R&quot;#,##0.00"/>
    <numFmt numFmtId="164" formatCode="_-* #,##0\ _$_-;\-* #,##0\ _$_-;_-* &quot;-&quot;\ _$_-;_-@_-"/>
    <numFmt numFmtId="165" formatCode="#,###"/>
    <numFmt numFmtId="166" formatCode="&quot;R&quot;#,##0"/>
    <numFmt numFmtId="167" formatCode="0.0%"/>
    <numFmt numFmtId="168" formatCode="&quot;R&quot;#,##0.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/>
    <xf numFmtId="9" fontId="2" fillId="0" borderId="0" applyFont="0" applyFill="0" applyBorder="0" applyAlignment="0" applyProtection="0"/>
  </cellStyleXfs>
  <cellXfs count="48">
    <xf numFmtId="0" fontId="0" fillId="0" borderId="0" xfId="0"/>
    <xf numFmtId="164" fontId="1" fillId="0" borderId="0" xfId="1"/>
    <xf numFmtId="165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9" fontId="0" fillId="0" borderId="0" xfId="0" applyNumberFormat="1"/>
    <xf numFmtId="3" fontId="0" fillId="0" borderId="0" xfId="0" applyNumberFormat="1"/>
    <xf numFmtId="16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0" applyNumberFormat="1"/>
    <xf numFmtId="166" fontId="0" fillId="0" borderId="1" xfId="0" applyNumberFormat="1" applyBorder="1"/>
    <xf numFmtId="9" fontId="0" fillId="0" borderId="0" xfId="2" applyFont="1"/>
    <xf numFmtId="3" fontId="0" fillId="0" borderId="1" xfId="0" applyNumberFormat="1" applyBorder="1"/>
    <xf numFmtId="0" fontId="0" fillId="0" borderId="0" xfId="0" applyAlignment="1">
      <alignment horizontal="right"/>
    </xf>
    <xf numFmtId="9" fontId="0" fillId="2" borderId="0" xfId="0" applyNumberFormat="1" applyFill="1" applyAlignment="1">
      <alignment horizontal="center"/>
    </xf>
    <xf numFmtId="166" fontId="0" fillId="2" borderId="0" xfId="0" applyNumberFormat="1" applyFill="1"/>
    <xf numFmtId="0" fontId="4" fillId="0" borderId="0" xfId="0" applyFont="1"/>
    <xf numFmtId="167" fontId="0" fillId="0" borderId="0" xfId="2" applyNumberFormat="1" applyFont="1" applyAlignment="1">
      <alignment horizontal="center"/>
    </xf>
    <xf numFmtId="3" fontId="0" fillId="3" borderId="0" xfId="0" applyNumberFormat="1" applyFill="1"/>
    <xf numFmtId="0" fontId="0" fillId="3" borderId="0" xfId="0" applyFill="1"/>
    <xf numFmtId="10" fontId="0" fillId="0" borderId="0" xfId="0" applyNumberFormat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9" fontId="0" fillId="4" borderId="0" xfId="0" applyNumberFormat="1" applyFill="1"/>
    <xf numFmtId="166" fontId="0" fillId="4" borderId="0" xfId="0" applyNumberFormat="1" applyFill="1"/>
    <xf numFmtId="9" fontId="0" fillId="4" borderId="0" xfId="2" applyFont="1" applyFill="1"/>
    <xf numFmtId="10" fontId="0" fillId="4" borderId="0" xfId="0" applyNumberFormat="1" applyFill="1" applyAlignment="1">
      <alignment horizontal="center"/>
    </xf>
    <xf numFmtId="166" fontId="0" fillId="0" borderId="0" xfId="0" applyNumberFormat="1" applyAlignment="1">
      <alignment vertical="center"/>
    </xf>
    <xf numFmtId="168" fontId="0" fillId="0" borderId="0" xfId="0" applyNumberFormat="1"/>
    <xf numFmtId="166" fontId="0" fillId="5" borderId="0" xfId="0" applyNumberFormat="1" applyFill="1"/>
    <xf numFmtId="1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1" borderId="0" xfId="0" applyFill="1" applyAlignment="1">
      <alignment horizontal="center"/>
    </xf>
    <xf numFmtId="166" fontId="0" fillId="11" borderId="0" xfId="0" applyNumberFormat="1" applyFill="1"/>
    <xf numFmtId="166" fontId="0" fillId="6" borderId="0" xfId="0" applyNumberFormat="1" applyFill="1"/>
    <xf numFmtId="166" fontId="0" fillId="7" borderId="0" xfId="0" applyNumberFormat="1" applyFill="1"/>
    <xf numFmtId="166" fontId="0" fillId="8" borderId="0" xfId="0" applyNumberFormat="1" applyFill="1"/>
    <xf numFmtId="166" fontId="0" fillId="9" borderId="0" xfId="0" applyNumberFormat="1" applyFill="1"/>
    <xf numFmtId="166" fontId="0" fillId="10" borderId="0" xfId="0" applyNumberFormat="1" applyFill="1"/>
    <xf numFmtId="6" fontId="5" fillId="0" borderId="0" xfId="0" applyNumberFormat="1" applyFont="1"/>
    <xf numFmtId="8" fontId="0" fillId="0" borderId="0" xfId="0" applyNumberFormat="1"/>
    <xf numFmtId="164" fontId="4" fillId="0" borderId="0" xfId="1" applyFont="1"/>
    <xf numFmtId="0" fontId="0" fillId="0" borderId="0" xfId="0" applyAlignment="1">
      <alignment horizont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800" b="1"/>
              <a:t>Revenue Risk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 w="25400">
              <a:noFill/>
            </a:ln>
          </c:spPr>
          <c:marker>
            <c:symbol val="circle"/>
            <c:size val="20"/>
            <c:spPr>
              <a:ln>
                <a:solidFill>
                  <a:schemeClr val="tx1"/>
                </a:solidFill>
              </a:ln>
            </c:spPr>
          </c:marker>
          <c:dPt>
            <c:idx val="0"/>
            <c:marker>
              <c:symbol val="circle"/>
              <c:size val="20"/>
              <c:spPr>
                <a:solidFill>
                  <a:schemeClr val="accent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EF-443A-9F77-31CAF3013F65}"/>
              </c:ext>
            </c:extLst>
          </c:dPt>
          <c:dPt>
            <c:idx val="1"/>
            <c:marker>
              <c:symbol val="circle"/>
              <c:size val="20"/>
              <c:spPr>
                <a:solidFill>
                  <a:schemeClr val="accent2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EF-443A-9F77-31CAF3013F65}"/>
              </c:ext>
            </c:extLst>
          </c:dPt>
          <c:dPt>
            <c:idx val="2"/>
            <c:marker>
              <c:symbol val="circle"/>
              <c:size val="20"/>
              <c:spPr>
                <a:solidFill>
                  <a:schemeClr val="accent3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EF-443A-9F77-31CAF3013F65}"/>
              </c:ext>
            </c:extLst>
          </c:dPt>
          <c:dPt>
            <c:idx val="3"/>
            <c:marker>
              <c:symbol val="circle"/>
              <c:size val="20"/>
              <c:spPr>
                <a:solidFill>
                  <a:schemeClr val="accent4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EF-443A-9F77-31CAF3013F65}"/>
              </c:ext>
            </c:extLst>
          </c:dPt>
          <c:dPt>
            <c:idx val="4"/>
            <c:marker>
              <c:symbol val="circle"/>
              <c:size val="20"/>
              <c:spPr>
                <a:solidFill>
                  <a:schemeClr val="accent5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7EF-443A-9F77-31CAF3013F65}"/>
              </c:ext>
            </c:extLst>
          </c:dPt>
          <c:dPt>
            <c:idx val="5"/>
            <c:marker>
              <c:symbol val="circle"/>
              <c:size val="20"/>
              <c:spPr>
                <a:solidFill>
                  <a:schemeClr val="accent6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7EF-443A-9F77-31CAF3013F65}"/>
              </c:ext>
            </c:extLst>
          </c:dPt>
          <c:dPt>
            <c:idx val="6"/>
            <c:marker>
              <c:symbol val="circle"/>
              <c:size val="20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97EF-443A-9F77-31CAF3013F65}"/>
              </c:ext>
            </c:extLst>
          </c:dPt>
          <c:dPt>
            <c:idx val="7"/>
            <c:marker>
              <c:symbol val="circle"/>
              <c:size val="20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97EF-443A-9F77-31CAF3013F65}"/>
              </c:ext>
            </c:extLst>
          </c:dPt>
          <c:dPt>
            <c:idx val="8"/>
            <c:marker>
              <c:symbol val="circle"/>
              <c:size val="20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97EF-443A-9F77-31CAF3013F65}"/>
              </c:ext>
            </c:extLst>
          </c:dPt>
          <c:dPt>
            <c:idx val="9"/>
            <c:marker>
              <c:symbol val="circle"/>
              <c:size val="20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97EF-443A-9F77-31CAF3013F65}"/>
              </c:ext>
            </c:extLst>
          </c:dPt>
          <c:dPt>
            <c:idx val="10"/>
            <c:marker>
              <c:symbol val="circle"/>
              <c:size val="20"/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97EF-443A-9F77-31CAF3013F65}"/>
              </c:ext>
            </c:extLst>
          </c:dPt>
          <c:dLbls>
            <c:dLbl>
              <c:idx val="0"/>
              <c:layout>
                <c:manualLayout>
                  <c:x val="2.4131148777551834E-2"/>
                  <c:y val="5.4336188332580949E-2"/>
                </c:manualLayout>
              </c:layout>
              <c:tx>
                <c:rich>
                  <a:bodyPr/>
                  <a:lstStyle/>
                  <a:p>
                    <a:fld id="{7174A9F7-D764-4AD7-A10C-F90890CE191E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7EF-443A-9F77-31CAF3013F65}"/>
                </c:ext>
              </c:extLst>
            </c:dLbl>
            <c:dLbl>
              <c:idx val="1"/>
              <c:layout>
                <c:manualLayout>
                  <c:x val="1.4545483117674916E-2"/>
                  <c:y val="1.874291881382299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6B648B4-27AB-4110-A4C3-EBB064F2D20B}" type="CELLRANGE">
                      <a:rPr lang="en-US"/>
                      <a:pPr>
                        <a:defRPr sz="1000" b="1"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Z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ZA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6164162263925587E-2"/>
                      <c:h val="8.570812430167955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7EF-443A-9F77-31CAF3013F65}"/>
                </c:ext>
              </c:extLst>
            </c:dLbl>
            <c:dLbl>
              <c:idx val="2"/>
              <c:layout>
                <c:manualLayout>
                  <c:x val="7.9728952488111807E-3"/>
                  <c:y val="-5.4908720126595735E-2"/>
                </c:manualLayout>
              </c:layout>
              <c:tx>
                <c:rich>
                  <a:bodyPr/>
                  <a:lstStyle/>
                  <a:p>
                    <a:fld id="{D46D7FF7-1CF3-4CAB-B43C-9FCA1DE80666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7EF-443A-9F77-31CAF3013F65}"/>
                </c:ext>
              </c:extLst>
            </c:dLbl>
            <c:dLbl>
              <c:idx val="3"/>
              <c:layout>
                <c:manualLayout>
                  <c:x val="-2.1056594997061348E-2"/>
                  <c:y val="-8.3239112256347711E-2"/>
                </c:manualLayout>
              </c:layout>
              <c:tx>
                <c:rich>
                  <a:bodyPr/>
                  <a:lstStyle/>
                  <a:p>
                    <a:fld id="{3105130A-6B95-4677-8255-CD6B942B547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7088EBF-8318-4DAB-B13D-B3FDEA46F9A6}" type="XVALUE">
                      <a:rPr lang="en-US"/>
                      <a:pPr/>
                      <a:t>[X VALUE]</a:t>
                    </a:fld>
                    <a:endParaRPr lang="en-ZA"/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7EF-443A-9F77-31CAF3013F65}"/>
                </c:ext>
              </c:extLst>
            </c:dLbl>
            <c:dLbl>
              <c:idx val="4"/>
              <c:layout>
                <c:manualLayout>
                  <c:x val="3.5216438855591142E-2"/>
                  <c:y val="-0.10252155465361251"/>
                </c:manualLayout>
              </c:layout>
              <c:tx>
                <c:rich>
                  <a:bodyPr/>
                  <a:lstStyle/>
                  <a:p>
                    <a:fld id="{89F2F941-B871-4D7C-A95D-A93297E5B5D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90B3934-A322-4A79-8F49-31649C13609E}" type="XVALUE">
                      <a:rPr lang="en-US"/>
                      <a:pPr/>
                      <a:t>[X VALUE]</a:t>
                    </a:fld>
                    <a:endParaRPr lang="en-ZA"/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7EF-443A-9F77-31CAF3013F65}"/>
                </c:ext>
              </c:extLst>
            </c:dLbl>
            <c:dLbl>
              <c:idx val="5"/>
              <c:layout>
                <c:manualLayout>
                  <c:x val="8.7891178698381131E-2"/>
                  <c:y val="-7.3442197462710454E-2"/>
                </c:manualLayout>
              </c:layout>
              <c:tx>
                <c:rich>
                  <a:bodyPr/>
                  <a:lstStyle/>
                  <a:p>
                    <a:fld id="{4C61610C-A1C4-4A7F-863A-A1C6256A24E0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73F79DFB-326E-4AD6-846A-C3C73A070AFB}" type="XVALUE">
                      <a:rPr lang="en-US"/>
                      <a:pPr/>
                      <a:t>[X VALUE]</a:t>
                    </a:fld>
                    <a:endParaRPr lang="en-ZA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7.6422072268860025E-2"/>
                      <c:h val="6.778990653710570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7EF-443A-9F77-31CAF3013F65}"/>
                </c:ext>
              </c:extLst>
            </c:dLbl>
            <c:dLbl>
              <c:idx val="6"/>
              <c:layout>
                <c:manualLayout>
                  <c:x val="-6.6700568558614337E-2"/>
                  <c:y val="-0.11568083172418338"/>
                </c:manualLayout>
              </c:layout>
              <c:tx>
                <c:rich>
                  <a:bodyPr/>
                  <a:lstStyle/>
                  <a:p>
                    <a:fld id="{99D5107C-EA62-4D93-A8F3-49F069B13A50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7EF-443A-9F77-31CAF3013F65}"/>
                </c:ext>
              </c:extLst>
            </c:dLbl>
            <c:dLbl>
              <c:idx val="7"/>
              <c:layout>
                <c:manualLayout>
                  <c:x val="2.8227788027268184E-2"/>
                  <c:y val="-6.834549606374655E-3"/>
                </c:manualLayout>
              </c:layout>
              <c:tx>
                <c:rich>
                  <a:bodyPr/>
                  <a:lstStyle/>
                  <a:p>
                    <a:fld id="{F30F8540-A5AA-4F81-AC04-8FADE20F65A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3181A127-EF5D-47FB-8E69-3CCDB4A664E8}" type="XVALUE">
                      <a:rPr lang="en-US"/>
                      <a:pPr/>
                      <a:t>[X VALUE]</a:t>
                    </a:fld>
                    <a:endParaRPr lang="en-ZA"/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97EF-443A-9F77-31CAF3013F65}"/>
                </c:ext>
              </c:extLst>
            </c:dLbl>
            <c:dLbl>
              <c:idx val="8"/>
              <c:layout>
                <c:manualLayout>
                  <c:x val="-4.1783683719234618E-2"/>
                  <c:y val="-0.1130057023387729"/>
                </c:manualLayout>
              </c:layout>
              <c:tx>
                <c:rich>
                  <a:bodyPr/>
                  <a:lstStyle/>
                  <a:p>
                    <a:fld id="{804DCE98-C540-43F4-9BD4-F7547B7CD88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B2B6826B-C815-43D0-95B3-C79BFD44342F}" type="XVALUE">
                      <a:rPr lang="en-US"/>
                      <a:pPr/>
                      <a:t>[X VALUE]</a:t>
                    </a:fld>
                    <a:endParaRPr lang="en-ZA"/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97EF-443A-9F77-31CAF3013F65}"/>
                </c:ext>
              </c:extLst>
            </c:dLbl>
            <c:dLbl>
              <c:idx val="9"/>
              <c:layout>
                <c:manualLayout>
                  <c:x val="-7.7807859246384822E-2"/>
                  <c:y val="-0.10636528884496542"/>
                </c:manualLayout>
              </c:layout>
              <c:tx>
                <c:rich>
                  <a:bodyPr/>
                  <a:lstStyle/>
                  <a:p>
                    <a:fld id="{569E45CE-620E-4DC4-BED3-9015C44DF43D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97EF-443A-9F77-31CAF3013F65}"/>
                </c:ext>
              </c:extLst>
            </c:dLbl>
            <c:dLbl>
              <c:idx val="10"/>
              <c:layout>
                <c:manualLayout>
                  <c:x val="1.4295210053989316E-2"/>
                  <c:y val="3.4721021349401318E-2"/>
                </c:manualLayout>
              </c:layout>
              <c:tx>
                <c:rich>
                  <a:bodyPr/>
                  <a:lstStyle/>
                  <a:p>
                    <a:fld id="{9C59693A-44F1-4F96-B51B-B6444517D7C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89D3F594-EE3D-4CCA-B137-0BDF27E2B907}" type="XVALUE">
                      <a:rPr lang="en-US"/>
                      <a:pPr/>
                      <a:t>[X VALUE]</a:t>
                    </a:fld>
                    <a:endParaRPr lang="en-ZA"/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97EF-443A-9F77-31CAF3013F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'Risk Map'!$D$3:$N$3</c:f>
              <c:numCache>
                <c:formatCode>0%</c:formatCode>
                <c:ptCount val="11"/>
                <c:pt idx="0">
                  <c:v>0.91465246007572065</c:v>
                </c:pt>
                <c:pt idx="1">
                  <c:v>0.96855565585240133</c:v>
                </c:pt>
                <c:pt idx="2">
                  <c:v>0.91251758367694646</c:v>
                </c:pt>
                <c:pt idx="3">
                  <c:v>0.7429223803103473</c:v>
                </c:pt>
                <c:pt idx="4">
                  <c:v>0.65713525162277708</c:v>
                </c:pt>
                <c:pt idx="5">
                  <c:v>0.84324951948617166</c:v>
                </c:pt>
                <c:pt idx="6">
                  <c:v>1.0706392540986363</c:v>
                </c:pt>
                <c:pt idx="7">
                  <c:v>0.65383969553486254</c:v>
                </c:pt>
                <c:pt idx="8">
                  <c:v>0.43393243529190595</c:v>
                </c:pt>
                <c:pt idx="9">
                  <c:v>1.1601287849833648</c:v>
                </c:pt>
                <c:pt idx="10">
                  <c:v>0.88224654092943366</c:v>
                </c:pt>
              </c:numCache>
            </c:numRef>
          </c:xVal>
          <c:yVal>
            <c:numRef>
              <c:f>'Risk Map'!$D$4:$N$4</c:f>
              <c:numCache>
                <c:formatCode>0%</c:formatCode>
                <c:ptCount val="11"/>
                <c:pt idx="0">
                  <c:v>0.47738618553396761</c:v>
                </c:pt>
                <c:pt idx="1">
                  <c:v>6.4075731184199819E-2</c:v>
                </c:pt>
                <c:pt idx="2">
                  <c:v>0.15932424552416052</c:v>
                </c:pt>
                <c:pt idx="3">
                  <c:v>4.6452811402353987E-2</c:v>
                </c:pt>
                <c:pt idx="4">
                  <c:v>3.8700631998868688E-2</c:v>
                </c:pt>
                <c:pt idx="5">
                  <c:v>7.4848943051738198E-2</c:v>
                </c:pt>
                <c:pt idx="6">
                  <c:v>6.0661266821277204E-2</c:v>
                </c:pt>
                <c:pt idx="7">
                  <c:v>4.2723161014914045E-2</c:v>
                </c:pt>
                <c:pt idx="8">
                  <c:v>2.6640324973389307E-2</c:v>
                </c:pt>
                <c:pt idx="9">
                  <c:v>9.1866984951305842E-3</c:v>
                </c:pt>
                <c:pt idx="10">
                  <c:v>0.57738618553396759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'Risk Map'!$D$2:$N$2</c15:f>
                <c15:dlblRangeCache>
                  <c:ptCount val="11"/>
                  <c:pt idx="0">
                    <c:v>Inland</c:v>
                  </c:pt>
                  <c:pt idx="1">
                    <c:v>Central &amp; Commercial</c:v>
                  </c:pt>
                  <c:pt idx="2">
                    <c:v>Coastal</c:v>
                  </c:pt>
                  <c:pt idx="3">
                    <c:v>Public Sector</c:v>
                  </c:pt>
                  <c:pt idx="4">
                    <c:v>Botswana</c:v>
                  </c:pt>
                  <c:pt idx="5">
                    <c:v>Namibia</c:v>
                  </c:pt>
                  <c:pt idx="6">
                    <c:v>Zambia</c:v>
                  </c:pt>
                  <c:pt idx="7">
                    <c:v>Mozambique</c:v>
                  </c:pt>
                  <c:pt idx="8">
                    <c:v>Ghana</c:v>
                  </c:pt>
                  <c:pt idx="9">
                    <c:v>Lesotho</c:v>
                  </c:pt>
                  <c:pt idx="10">
                    <c:v>Combined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97EF-443A-9F77-31CAF3013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441200"/>
        <c:axId val="746441680"/>
      </c:scatterChart>
      <c:valAx>
        <c:axId val="746441200"/>
        <c:scaling>
          <c:orientation val="maxMin"/>
          <c:min val="0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Budget </a:t>
                </a:r>
                <a:r>
                  <a:rPr lang="en-US" sz="1100" b="1" baseline="0"/>
                  <a:t>Risk</a:t>
                </a:r>
                <a:endParaRPr lang="en-US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41680"/>
        <c:crosses val="autoZero"/>
        <c:crossBetween val="midCat"/>
      </c:valAx>
      <c:valAx>
        <c:axId val="746441680"/>
        <c:scaling>
          <c:orientation val="minMax"/>
          <c:max val="0.70000000000000007"/>
        </c:scaling>
        <c:delete val="1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Contribution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746441200"/>
        <c:crosses val="autoZero"/>
        <c:crossBetween val="midCat"/>
      </c:valAx>
      <c:spPr>
        <a:gradFill flip="none" rotWithShape="1">
          <a:gsLst>
            <a:gs pos="20000">
              <a:srgbClr val="00B050"/>
            </a:gs>
            <a:gs pos="32000">
              <a:srgbClr val="FFC000"/>
            </a:gs>
            <a:gs pos="41000">
              <a:srgbClr val="FF0000"/>
            </a:gs>
          </a:gsLst>
          <a:lin ang="0" scaled="0"/>
          <a:tileRect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Botswana!$B$2</c:f>
          <c:strCache>
            <c:ptCount val="1"/>
            <c:pt idx="0">
              <c:v>Revenue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Botswana!$H$3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Botswana!$B$4:$B$8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Botswana!$H$4:$H$9</c:f>
              <c:numCache>
                <c:formatCode>"R"#\ ##0</c:formatCode>
                <c:ptCount val="6"/>
                <c:pt idx="0">
                  <c:v>0</c:v>
                </c:pt>
                <c:pt idx="1">
                  <c:v>38757901.296493031</c:v>
                </c:pt>
                <c:pt idx="2">
                  <c:v>66896601.354270503</c:v>
                </c:pt>
                <c:pt idx="3">
                  <c:v>67697316.602368623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E0-463B-975E-C2EBFEE2960D}"/>
            </c:ext>
          </c:extLst>
        </c:ser>
        <c:ser>
          <c:idx val="1"/>
          <c:order val="1"/>
          <c:tx>
            <c:strRef>
              <c:f>Botswana!$I$3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E0-463B-975E-C2EBFEE2960D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6E0-463B-975E-C2EBFEE2960D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6E0-463B-975E-C2EBFEE2960D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6E0-463B-975E-C2EBFEE2960D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6E0-463B-975E-C2EBFEE2960D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6E0-463B-975E-C2EBFEE296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Botswana!$B$4:$B$8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Botswana!$I$4:$I$8</c:f>
              <c:numCache>
                <c:formatCode>"R"#\ ##0</c:formatCode>
                <c:ptCount val="5"/>
                <c:pt idx="0">
                  <c:v>38757901.296493031</c:v>
                </c:pt>
                <c:pt idx="1">
                  <c:v>28138700.057777476</c:v>
                </c:pt>
                <c:pt idx="2">
                  <c:v>800715.24809811334</c:v>
                </c:pt>
                <c:pt idx="3">
                  <c:v>35321531.397631377</c:v>
                </c:pt>
                <c:pt idx="4">
                  <c:v>103018848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E0-463B-975E-C2EBFEE29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4450728"/>
        <c:axId val="754458288"/>
      </c:barChart>
      <c:catAx>
        <c:axId val="75445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8288"/>
        <c:crosses val="autoZero"/>
        <c:auto val="1"/>
        <c:lblAlgn val="ctr"/>
        <c:lblOffset val="100"/>
        <c:noMultiLvlLbl val="0"/>
      </c:catAx>
      <c:valAx>
        <c:axId val="7544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072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Botswana!$B$10</c:f>
          <c:strCache>
            <c:ptCount val="1"/>
            <c:pt idx="0">
              <c:v>Fleet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Botswana!$H$12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Botswana!$B$13:$B$16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Botswana!$H$13:$H$16</c:f>
              <c:numCache>
                <c:formatCode>General</c:formatCode>
                <c:ptCount val="4"/>
                <c:pt idx="0">
                  <c:v>0</c:v>
                </c:pt>
                <c:pt idx="1">
                  <c:v>379</c:v>
                </c:pt>
                <c:pt idx="2">
                  <c:v>396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E-48C5-8A4B-18ED5173CCE9}"/>
            </c:ext>
          </c:extLst>
        </c:ser>
        <c:ser>
          <c:idx val="1"/>
          <c:order val="1"/>
          <c:tx>
            <c:strRef>
              <c:f>Botswana!$I$12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BE-48C5-8A4B-18ED5173CCE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CBE-48C5-8A4B-18ED5173CCE9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BE-48C5-8A4B-18ED5173CCE9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CBE-48C5-8A4B-18ED5173CCE9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CBE-48C5-8A4B-18ED5173CC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Botswana!$B$13:$B$16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Botswana!$I$13:$I$16</c:f>
              <c:numCache>
                <c:formatCode>General</c:formatCode>
                <c:ptCount val="4"/>
                <c:pt idx="0">
                  <c:v>379</c:v>
                </c:pt>
                <c:pt idx="1">
                  <c:v>17</c:v>
                </c:pt>
                <c:pt idx="2">
                  <c:v>199</c:v>
                </c:pt>
                <c:pt idx="3">
                  <c:v>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E-48C5-8A4B-18ED5173C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9912184"/>
        <c:axId val="759908224"/>
      </c:barChart>
      <c:catAx>
        <c:axId val="759912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908224"/>
        <c:crosses val="autoZero"/>
        <c:auto val="1"/>
        <c:lblAlgn val="ctr"/>
        <c:lblOffset val="100"/>
        <c:noMultiLvlLbl val="0"/>
      </c:catAx>
      <c:valAx>
        <c:axId val="759908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991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Ghana!$B$2</c:f>
          <c:strCache>
            <c:ptCount val="1"/>
            <c:pt idx="0">
              <c:v>Revenue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Ghana!$H$3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Ghana!$B$4:$B$8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Ghana!$H$4:$H$9</c:f>
              <c:numCache>
                <c:formatCode>"R"#\ ##0</c:formatCode>
                <c:ptCount val="6"/>
                <c:pt idx="0">
                  <c:v>0</c:v>
                </c:pt>
                <c:pt idx="1">
                  <c:v>14671768.094382832</c:v>
                </c:pt>
                <c:pt idx="2">
                  <c:v>30772321.686252557</c:v>
                </c:pt>
                <c:pt idx="3">
                  <c:v>30772321.686252557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1-4D56-B81B-8FBF6BD133CD}"/>
            </c:ext>
          </c:extLst>
        </c:ser>
        <c:ser>
          <c:idx val="1"/>
          <c:order val="1"/>
          <c:tx>
            <c:strRef>
              <c:f>Ghana!$I$3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081-4D56-B81B-8FBF6BD133CD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081-4D56-B81B-8FBF6BD133CD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081-4D56-B81B-8FBF6BD133CD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081-4D56-B81B-8FBF6BD133CD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081-4D56-B81B-8FBF6BD133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Ghana!$B$4:$B$8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Ghana!$I$4:$I$8</c:f>
              <c:numCache>
                <c:formatCode>"R"#\ ##0</c:formatCode>
                <c:ptCount val="5"/>
                <c:pt idx="0">
                  <c:v>14671768.094382832</c:v>
                </c:pt>
                <c:pt idx="1">
                  <c:v>16100553.591869725</c:v>
                </c:pt>
                <c:pt idx="2">
                  <c:v>0</c:v>
                </c:pt>
                <c:pt idx="3">
                  <c:v>40142685.313747443</c:v>
                </c:pt>
                <c:pt idx="4">
                  <c:v>70915007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081-4D56-B81B-8FBF6BD13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4450728"/>
        <c:axId val="754458288"/>
      </c:barChart>
      <c:catAx>
        <c:axId val="75445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8288"/>
        <c:crosses val="autoZero"/>
        <c:auto val="1"/>
        <c:lblAlgn val="ctr"/>
        <c:lblOffset val="100"/>
        <c:noMultiLvlLbl val="0"/>
      </c:catAx>
      <c:valAx>
        <c:axId val="7544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072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Ghana!$B$10</c:f>
          <c:strCache>
            <c:ptCount val="1"/>
            <c:pt idx="0">
              <c:v>Fleet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Ghana!$H$12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Ghana!$B$13:$B$16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Ghana!$H$13:$H$16</c:f>
              <c:numCache>
                <c:formatCode>General</c:formatCode>
                <c:ptCount val="4"/>
                <c:pt idx="0">
                  <c:v>0</c:v>
                </c:pt>
                <c:pt idx="1">
                  <c:v>139</c:v>
                </c:pt>
                <c:pt idx="2">
                  <c:v>139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C-4CB5-A7EB-AFC4F7D065FA}"/>
            </c:ext>
          </c:extLst>
        </c:ser>
        <c:ser>
          <c:idx val="1"/>
          <c:order val="1"/>
          <c:tx>
            <c:strRef>
              <c:f>Ghana!$I$12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76C-4CB5-A7EB-AFC4F7D065FA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76C-4CB5-A7EB-AFC4F7D065FA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76C-4CB5-A7EB-AFC4F7D065FA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76C-4CB5-A7EB-AFC4F7D065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Ghana!$B$13:$B$16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Ghana!$I$13:$I$16</c:f>
              <c:numCache>
                <c:formatCode>General</c:formatCode>
                <c:ptCount val="4"/>
                <c:pt idx="0">
                  <c:v>139</c:v>
                </c:pt>
                <c:pt idx="1">
                  <c:v>0</c:v>
                </c:pt>
                <c:pt idx="2">
                  <c:v>141</c:v>
                </c:pt>
                <c:pt idx="3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76C-4CB5-A7EB-AFC4F7D06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9912184"/>
        <c:axId val="759908224"/>
      </c:barChart>
      <c:catAx>
        <c:axId val="759912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908224"/>
        <c:crosses val="autoZero"/>
        <c:auto val="1"/>
        <c:lblAlgn val="ctr"/>
        <c:lblOffset val="100"/>
        <c:noMultiLvlLbl val="0"/>
      </c:catAx>
      <c:valAx>
        <c:axId val="759908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991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Mozambique!$B$2</c:f>
          <c:strCache>
            <c:ptCount val="1"/>
            <c:pt idx="0">
              <c:v>Revenue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Mozambique!$H$3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Mozambique!$B$4:$B$8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Mozambique!$H$4:$H$9</c:f>
              <c:numCache>
                <c:formatCode>"R"#\ ##0</c:formatCode>
                <c:ptCount val="6"/>
                <c:pt idx="0">
                  <c:v>0</c:v>
                </c:pt>
                <c:pt idx="1">
                  <c:v>44528051.175321355</c:v>
                </c:pt>
                <c:pt idx="2">
                  <c:v>73901156.305331901</c:v>
                </c:pt>
                <c:pt idx="3">
                  <c:v>74358957.672138751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2-4F83-A573-8F52AB185B70}"/>
            </c:ext>
          </c:extLst>
        </c:ser>
        <c:ser>
          <c:idx val="1"/>
          <c:order val="1"/>
          <c:tx>
            <c:strRef>
              <c:f>Mozambique!$I$3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1F2-4F83-A573-8F52AB185B70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1F2-4F83-A573-8F52AB185B70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1F2-4F83-A573-8F52AB185B7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1F2-4F83-A573-8F52AB185B70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1F2-4F83-A573-8F52AB185B70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21F2-4F83-A573-8F52AB185B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Mozambique!$B$4:$B$8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Mozambique!$I$4:$I$8</c:f>
              <c:numCache>
                <c:formatCode>"R"#\ ##0</c:formatCode>
                <c:ptCount val="5"/>
                <c:pt idx="0">
                  <c:v>44528051.175321355</c:v>
                </c:pt>
                <c:pt idx="1">
                  <c:v>29373105.130010545</c:v>
                </c:pt>
                <c:pt idx="2">
                  <c:v>457801.36680684885</c:v>
                </c:pt>
                <c:pt idx="3">
                  <c:v>39367630.327861249</c:v>
                </c:pt>
                <c:pt idx="4">
                  <c:v>113726588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1F2-4F83-A573-8F52AB185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4450728"/>
        <c:axId val="754458288"/>
      </c:barChart>
      <c:catAx>
        <c:axId val="75445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8288"/>
        <c:crosses val="autoZero"/>
        <c:auto val="1"/>
        <c:lblAlgn val="ctr"/>
        <c:lblOffset val="100"/>
        <c:noMultiLvlLbl val="0"/>
      </c:catAx>
      <c:valAx>
        <c:axId val="7544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072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Mozambique!$B$10</c:f>
          <c:strCache>
            <c:ptCount val="1"/>
            <c:pt idx="0">
              <c:v>Fleet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Mozambique!$H$12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Mozambique!$B$13:$B$16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Mozambique!$H$13:$H$16</c:f>
              <c:numCache>
                <c:formatCode>General</c:formatCode>
                <c:ptCount val="4"/>
                <c:pt idx="0">
                  <c:v>0</c:v>
                </c:pt>
                <c:pt idx="1">
                  <c:v>255</c:v>
                </c:pt>
                <c:pt idx="2">
                  <c:v>265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6-4BA9-A62C-F8680D392355}"/>
            </c:ext>
          </c:extLst>
        </c:ser>
        <c:ser>
          <c:idx val="1"/>
          <c:order val="1"/>
          <c:tx>
            <c:strRef>
              <c:f>Mozambique!$I$12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EE6-4BA9-A62C-F8680D392355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EE6-4BA9-A62C-F8680D392355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EE6-4BA9-A62C-F8680D392355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EE6-4BA9-A62C-F8680D392355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9EE6-4BA9-A62C-F8680D3923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Mozambique!$B$13:$B$16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Mozambique!$I$13:$I$16</c:f>
              <c:numCache>
                <c:formatCode>General</c:formatCode>
                <c:ptCount val="4"/>
                <c:pt idx="0">
                  <c:v>255</c:v>
                </c:pt>
                <c:pt idx="1">
                  <c:v>10</c:v>
                </c:pt>
                <c:pt idx="2">
                  <c:v>143</c:v>
                </c:pt>
                <c:pt idx="3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E6-4BA9-A62C-F8680D392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9912184"/>
        <c:axId val="759908224"/>
      </c:barChart>
      <c:catAx>
        <c:axId val="759912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908224"/>
        <c:crosses val="autoZero"/>
        <c:auto val="1"/>
        <c:lblAlgn val="ctr"/>
        <c:lblOffset val="100"/>
        <c:noMultiLvlLbl val="0"/>
      </c:catAx>
      <c:valAx>
        <c:axId val="759908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991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Namibia!$B$2</c:f>
          <c:strCache>
            <c:ptCount val="1"/>
            <c:pt idx="0">
              <c:v>Revenue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Namibia!$H$3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Namibia!$B$4:$B$8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Namibia!$H$4:$H$9</c:f>
              <c:numCache>
                <c:formatCode>"R"#\ ##0</c:formatCode>
                <c:ptCount val="6"/>
                <c:pt idx="0">
                  <c:v>0</c:v>
                </c:pt>
                <c:pt idx="1">
                  <c:v>88937123.660000026</c:v>
                </c:pt>
                <c:pt idx="2">
                  <c:v>162381574.40000004</c:v>
                </c:pt>
                <c:pt idx="3">
                  <c:v>168012040.44696182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D-446D-9464-479465F83B32}"/>
            </c:ext>
          </c:extLst>
        </c:ser>
        <c:ser>
          <c:idx val="1"/>
          <c:order val="1"/>
          <c:tx>
            <c:strRef>
              <c:f>Namibia!$I$3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9ED-446D-9464-479465F83B32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9ED-446D-9464-479465F83B32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9ED-446D-9464-479465F83B32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9ED-446D-9464-479465F83B32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9ED-446D-9464-479465F83B32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99ED-446D-9464-479465F83B3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99ED-446D-9464-479465F83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Namibia!$B$4:$B$8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Namibia!$I$4:$I$8</c:f>
              <c:numCache>
                <c:formatCode>"R"#\ ##0</c:formatCode>
                <c:ptCount val="5"/>
                <c:pt idx="0">
                  <c:v>88937123.660000026</c:v>
                </c:pt>
                <c:pt idx="1">
                  <c:v>73444450.739999995</c:v>
                </c:pt>
                <c:pt idx="2">
                  <c:v>5630466.0469617965</c:v>
                </c:pt>
                <c:pt idx="3">
                  <c:v>31231524.55303818</c:v>
                </c:pt>
                <c:pt idx="4">
                  <c:v>199243565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9ED-446D-9464-479465F83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4450728"/>
        <c:axId val="754458288"/>
      </c:barChart>
      <c:catAx>
        <c:axId val="75445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8288"/>
        <c:crosses val="autoZero"/>
        <c:auto val="1"/>
        <c:lblAlgn val="ctr"/>
        <c:lblOffset val="100"/>
        <c:noMultiLvlLbl val="0"/>
      </c:catAx>
      <c:valAx>
        <c:axId val="7544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072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Namibia!$B$10</c:f>
          <c:strCache>
            <c:ptCount val="1"/>
            <c:pt idx="0">
              <c:v>Fleet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Namibia!$H$12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Namibia!$B$13:$B$16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Namibia!$H$13:$H$16</c:f>
              <c:numCache>
                <c:formatCode>General</c:formatCode>
                <c:ptCount val="4"/>
                <c:pt idx="0">
                  <c:v>0</c:v>
                </c:pt>
                <c:pt idx="1">
                  <c:v>1057</c:v>
                </c:pt>
                <c:pt idx="2">
                  <c:v>1209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F-4EE8-8D68-194E81C6E3CB}"/>
            </c:ext>
          </c:extLst>
        </c:ser>
        <c:ser>
          <c:idx val="1"/>
          <c:order val="1"/>
          <c:tx>
            <c:strRef>
              <c:f>Namibia!$I$12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8FF-4EE8-8D68-194E81C6E3CB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8FF-4EE8-8D68-194E81C6E3CB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8FF-4EE8-8D68-194E81C6E3CB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8FF-4EE8-8D68-194E81C6E3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Namibia!$B$13:$B$16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Namibia!$I$13:$I$16</c:f>
              <c:numCache>
                <c:formatCode>General</c:formatCode>
                <c:ptCount val="4"/>
                <c:pt idx="0">
                  <c:v>1057</c:v>
                </c:pt>
                <c:pt idx="1">
                  <c:v>152</c:v>
                </c:pt>
                <c:pt idx="2">
                  <c:v>262</c:v>
                </c:pt>
                <c:pt idx="3">
                  <c:v>1471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8FF-4EE8-8D68-194E81C6E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9912184"/>
        <c:axId val="759908224"/>
      </c:barChart>
      <c:catAx>
        <c:axId val="759912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908224"/>
        <c:crosses val="autoZero"/>
        <c:auto val="1"/>
        <c:lblAlgn val="ctr"/>
        <c:lblOffset val="100"/>
        <c:noMultiLvlLbl val="0"/>
      </c:catAx>
      <c:valAx>
        <c:axId val="759908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991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Lesotho!$B$2</c:f>
          <c:strCache>
            <c:ptCount val="1"/>
            <c:pt idx="0">
              <c:v>Revenue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Lesotho!$H$3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Lesotho!$B$4:$B$8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Lesotho!$H$4:$H$9</c:f>
              <c:numCache>
                <c:formatCode>"R"#\ ##0</c:formatCode>
                <c:ptCount val="6"/>
                <c:pt idx="0">
                  <c:v>0</c:v>
                </c:pt>
                <c:pt idx="1">
                  <c:v>13748320.859999998</c:v>
                </c:pt>
                <c:pt idx="2">
                  <c:v>27287184.779999994</c:v>
                </c:pt>
                <c:pt idx="3">
                  <c:v>28370324.12735308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D-43BB-BFD7-2C2F235B6077}"/>
            </c:ext>
          </c:extLst>
        </c:ser>
        <c:ser>
          <c:idx val="1"/>
          <c:order val="1"/>
          <c:tx>
            <c:strRef>
              <c:f>Lesotho!$I$3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BBD-43BB-BFD7-2C2F235B6077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BBD-43BB-BFD7-2C2F235B6077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BBD-43BB-BFD7-2C2F235B6077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BBD-43BB-BFD7-2C2F235B6077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BBD-43BB-BFD7-2C2F235B6077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9BBD-43BB-BFD7-2C2F235B60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Lesotho!$B$4:$B$8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Lesotho!$I$4:$I$8</c:f>
              <c:numCache>
                <c:formatCode>"R"#\ ##0</c:formatCode>
                <c:ptCount val="5"/>
                <c:pt idx="0">
                  <c:v>13748320.859999998</c:v>
                </c:pt>
                <c:pt idx="1">
                  <c:v>13538863.919999998</c:v>
                </c:pt>
                <c:pt idx="2">
                  <c:v>1083139.3473530849</c:v>
                </c:pt>
                <c:pt idx="3">
                  <c:v>-3915863.1273530796</c:v>
                </c:pt>
                <c:pt idx="4">
                  <c:v>24454461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BBD-43BB-BFD7-2C2F235B6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4450728"/>
        <c:axId val="754458288"/>
      </c:barChart>
      <c:catAx>
        <c:axId val="75445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8288"/>
        <c:crosses val="autoZero"/>
        <c:auto val="1"/>
        <c:lblAlgn val="ctr"/>
        <c:lblOffset val="100"/>
        <c:noMultiLvlLbl val="0"/>
      </c:catAx>
      <c:valAx>
        <c:axId val="7544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072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Lesotho!$B$10</c:f>
          <c:strCache>
            <c:ptCount val="1"/>
            <c:pt idx="0">
              <c:v>Fleet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Lesotho!$H$12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Lesotho!$B$13:$B$16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Lesotho!$H$13:$H$16</c:f>
              <c:numCache>
                <c:formatCode>General</c:formatCode>
                <c:ptCount val="4"/>
                <c:pt idx="0">
                  <c:v>0</c:v>
                </c:pt>
                <c:pt idx="1">
                  <c:v>161</c:v>
                </c:pt>
                <c:pt idx="2">
                  <c:v>180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4-4D2A-B8BF-D0778597DA8A}"/>
            </c:ext>
          </c:extLst>
        </c:ser>
        <c:ser>
          <c:idx val="1"/>
          <c:order val="1"/>
          <c:tx>
            <c:strRef>
              <c:f>Lesotho!$I$12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F04-4D2A-B8BF-D0778597DA8A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F04-4D2A-B8BF-D0778597DA8A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F04-4D2A-B8BF-D0778597DA8A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F04-4D2A-B8BF-D0778597DA8A}"/>
              </c:ext>
            </c:extLst>
          </c:dPt>
          <c:dLbls>
            <c:dLbl>
              <c:idx val="2"/>
              <c:layout>
                <c:manualLayout>
                  <c:x val="5.2777777777777778E-2"/>
                  <c:y val="-4.210526315789473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F04-4D2A-B8BF-D0778597DA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Lesotho!$B$13:$B$16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Lesotho!$I$13:$I$16</c:f>
              <c:numCache>
                <c:formatCode>General</c:formatCode>
                <c:ptCount val="4"/>
                <c:pt idx="0">
                  <c:v>161</c:v>
                </c:pt>
                <c:pt idx="1">
                  <c:v>19</c:v>
                </c:pt>
                <c:pt idx="2">
                  <c:v>-1</c:v>
                </c:pt>
                <c:pt idx="3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04-4D2A-B8BF-D0778597D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9912184"/>
        <c:axId val="759908224"/>
      </c:barChart>
      <c:catAx>
        <c:axId val="759912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908224"/>
        <c:crosses val="autoZero"/>
        <c:auto val="1"/>
        <c:lblAlgn val="ctr"/>
        <c:lblOffset val="100"/>
        <c:noMultiLvlLbl val="0"/>
      </c:catAx>
      <c:valAx>
        <c:axId val="759908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991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Central!$B$2</c:f>
          <c:strCache>
            <c:ptCount val="1"/>
            <c:pt idx="0">
              <c:v>Revenue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Central!$H$3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Central!$B$4:$B$8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Central!$H$4:$H$9</c:f>
              <c:numCache>
                <c:formatCode>"R"#\ ##0</c:formatCode>
                <c:ptCount val="6"/>
                <c:pt idx="0">
                  <c:v>0</c:v>
                </c:pt>
                <c:pt idx="1">
                  <c:v>89936593.436197951</c:v>
                </c:pt>
                <c:pt idx="2">
                  <c:v>162777252.54619795</c:v>
                </c:pt>
                <c:pt idx="3">
                  <c:v>165202564.23488814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D-437D-A51A-232F97D967F4}"/>
            </c:ext>
          </c:extLst>
        </c:ser>
        <c:ser>
          <c:idx val="1"/>
          <c:order val="1"/>
          <c:tx>
            <c:strRef>
              <c:f>Central!$I$3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FAD-437D-A51A-232F97D967F4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FAD-437D-A51A-232F97D967F4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FAD-437D-A51A-232F97D967F4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FAD-437D-A51A-232F97D967F4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FAD-437D-A51A-232F97D967F4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EFAD-437D-A51A-232F97D967F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EFAD-437D-A51A-232F97D967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Central!$B$4:$B$8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Central!$I$4:$I$8</c:f>
              <c:numCache>
                <c:formatCode>"R"#\ ##0</c:formatCode>
                <c:ptCount val="5"/>
                <c:pt idx="0">
                  <c:v>89936593.436197951</c:v>
                </c:pt>
                <c:pt idx="1">
                  <c:v>72840659.110000014</c:v>
                </c:pt>
                <c:pt idx="2">
                  <c:v>2425311.6886901734</c:v>
                </c:pt>
                <c:pt idx="3">
                  <c:v>5363332.7651118636</c:v>
                </c:pt>
                <c:pt idx="4">
                  <c:v>170565897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FAD-437D-A51A-232F97D96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4450728"/>
        <c:axId val="754458288"/>
      </c:barChart>
      <c:catAx>
        <c:axId val="75445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8288"/>
        <c:crosses val="autoZero"/>
        <c:auto val="1"/>
        <c:lblAlgn val="ctr"/>
        <c:lblOffset val="100"/>
        <c:noMultiLvlLbl val="0"/>
      </c:catAx>
      <c:valAx>
        <c:axId val="7544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072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Central!$B$10</c:f>
          <c:strCache>
            <c:ptCount val="1"/>
            <c:pt idx="0">
              <c:v>Fleet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Central!$H$12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Central!$B$13:$B$16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Central!$H$13:$H$16</c:f>
              <c:numCache>
                <c:formatCode>General</c:formatCode>
                <c:ptCount val="4"/>
                <c:pt idx="0">
                  <c:v>0</c:v>
                </c:pt>
                <c:pt idx="1">
                  <c:v>692</c:v>
                </c:pt>
                <c:pt idx="2">
                  <c:v>738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8-48D2-8F17-B9C96E747184}"/>
            </c:ext>
          </c:extLst>
        </c:ser>
        <c:ser>
          <c:idx val="1"/>
          <c:order val="1"/>
          <c:tx>
            <c:strRef>
              <c:f>Central!$I$12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5A8-48D2-8F17-B9C96E747184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5A8-48D2-8F17-B9C96E747184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5A8-48D2-8F17-B9C96E747184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5A8-48D2-8F17-B9C96E7471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Central!$B$13:$B$16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Central!$I$13:$I$16</c:f>
              <c:numCache>
                <c:formatCode>General</c:formatCode>
                <c:ptCount val="4"/>
                <c:pt idx="0">
                  <c:v>692</c:v>
                </c:pt>
                <c:pt idx="1">
                  <c:v>46</c:v>
                </c:pt>
                <c:pt idx="2">
                  <c:v>-69</c:v>
                </c:pt>
                <c:pt idx="3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A8-48D2-8F17-B9C96E74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9912184"/>
        <c:axId val="759908224"/>
      </c:barChart>
      <c:catAx>
        <c:axId val="759912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908224"/>
        <c:crosses val="autoZero"/>
        <c:auto val="1"/>
        <c:lblAlgn val="ctr"/>
        <c:lblOffset val="100"/>
        <c:noMultiLvlLbl val="0"/>
      </c:catAx>
      <c:valAx>
        <c:axId val="759908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991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'Coastal graph'!$B$2</c:f>
          <c:strCache>
            <c:ptCount val="1"/>
            <c:pt idx="0">
              <c:v>Revenue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'Coastal graph'!$H$3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'Coastal graph'!$B$4:$B$8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'Coastal graph'!$H$4:$H$9</c:f>
              <c:numCache>
                <c:formatCode>"R"#\ ##0</c:formatCode>
                <c:ptCount val="6"/>
                <c:pt idx="0">
                  <c:v>0</c:v>
                </c:pt>
                <c:pt idx="1">
                  <c:v>223627255.27147406</c:v>
                </c:pt>
                <c:pt idx="2">
                  <c:v>375112456.41147405</c:v>
                </c:pt>
                <c:pt idx="3">
                  <c:v>387009605.43489486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3-4727-B2A3-2671A1CA2D3B}"/>
            </c:ext>
          </c:extLst>
        </c:ser>
        <c:ser>
          <c:idx val="1"/>
          <c:order val="1"/>
          <c:tx>
            <c:strRef>
              <c:f>'Coastal graph'!$I$3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B3-4727-B2A3-2671A1CA2D3B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B3-4727-B2A3-2671A1CA2D3B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1B3-4727-B2A3-2671A1CA2D3B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1B3-4727-B2A3-2671A1CA2D3B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A1B3-4727-B2A3-2671A1CA2D3B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A1B3-4727-B2A3-2671A1CA2D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'Coastal graph'!$B$4:$B$8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'Coastal graph'!$I$4:$I$8</c:f>
              <c:numCache>
                <c:formatCode>"R"#\ ##0</c:formatCode>
                <c:ptCount val="5"/>
                <c:pt idx="0">
                  <c:v>223627255.27147406</c:v>
                </c:pt>
                <c:pt idx="1">
                  <c:v>151485201.13999999</c:v>
                </c:pt>
                <c:pt idx="2">
                  <c:v>11897149.023420798</c:v>
                </c:pt>
                <c:pt idx="3">
                  <c:v>37102337.56510514</c:v>
                </c:pt>
                <c:pt idx="4">
                  <c:v>424111943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1B3-4727-B2A3-2671A1CA2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4450728"/>
        <c:axId val="754458288"/>
      </c:barChart>
      <c:catAx>
        <c:axId val="75445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8288"/>
        <c:crosses val="autoZero"/>
        <c:auto val="1"/>
        <c:lblAlgn val="ctr"/>
        <c:lblOffset val="100"/>
        <c:noMultiLvlLbl val="0"/>
      </c:catAx>
      <c:valAx>
        <c:axId val="7544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072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'Coastal graph'!$B$10</c:f>
          <c:strCache>
            <c:ptCount val="1"/>
            <c:pt idx="0">
              <c:v>Fleet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'Coastal graph'!$H$12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'Coastal graph'!$B$13:$B$16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'Coastal graph'!$H$13:$H$16</c:f>
              <c:numCache>
                <c:formatCode>General</c:formatCode>
                <c:ptCount val="4"/>
                <c:pt idx="0">
                  <c:v>0</c:v>
                </c:pt>
                <c:pt idx="1">
                  <c:v>2425</c:v>
                </c:pt>
                <c:pt idx="2">
                  <c:v>2772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D-4108-81FC-8F507562DF8A}"/>
            </c:ext>
          </c:extLst>
        </c:ser>
        <c:ser>
          <c:idx val="1"/>
          <c:order val="1"/>
          <c:tx>
            <c:strRef>
              <c:f>'Coastal graph'!$I$12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95D-4108-81FC-8F507562DF8A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95D-4108-81FC-8F507562DF8A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95D-4108-81FC-8F507562DF8A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95D-4108-81FC-8F507562DF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'Coastal graph'!$B$13:$B$16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'Coastal graph'!$I$13:$I$16</c:f>
              <c:numCache>
                <c:formatCode>General</c:formatCode>
                <c:ptCount val="4"/>
                <c:pt idx="0">
                  <c:v>2425</c:v>
                </c:pt>
                <c:pt idx="1">
                  <c:v>347</c:v>
                </c:pt>
                <c:pt idx="2">
                  <c:v>792</c:v>
                </c:pt>
                <c:pt idx="3">
                  <c:v>3564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95D-4108-81FC-8F507562D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9912184"/>
        <c:axId val="759908224"/>
      </c:barChart>
      <c:catAx>
        <c:axId val="759912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908224"/>
        <c:crosses val="autoZero"/>
        <c:auto val="1"/>
        <c:lblAlgn val="ctr"/>
        <c:lblOffset val="100"/>
        <c:noMultiLvlLbl val="0"/>
      </c:catAx>
      <c:valAx>
        <c:axId val="759908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991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'Inland graph'!$B$2</c:f>
          <c:strCache>
            <c:ptCount val="1"/>
            <c:pt idx="0">
              <c:v>Revenue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'Inland graph'!$H$3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'Inland graph'!$B$4:$B$8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'Inland graph'!$H$4:$H$9</c:f>
              <c:numCache>
                <c:formatCode>"R"#\ ##0</c:formatCode>
                <c:ptCount val="6"/>
                <c:pt idx="0">
                  <c:v>0</c:v>
                </c:pt>
                <c:pt idx="1">
                  <c:v>670058483.71829188</c:v>
                </c:pt>
                <c:pt idx="2">
                  <c:v>1130988444.6982918</c:v>
                </c:pt>
                <c:pt idx="3">
                  <c:v>1162316989.6990054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F-42E5-AC99-A3955F6EB963}"/>
            </c:ext>
          </c:extLst>
        </c:ser>
        <c:ser>
          <c:idx val="1"/>
          <c:order val="1"/>
          <c:tx>
            <c:strRef>
              <c:f>'Inland graph'!$I$3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7CF-42E5-AC99-A3955F6EB963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7CF-42E5-AC99-A3955F6EB963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7CF-42E5-AC99-A3955F6EB963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7CF-42E5-AC99-A3955F6EB963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7CF-42E5-AC99-A3955F6EB963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7CF-42E5-AC99-A3955F6EB963}"/>
                </c:ext>
              </c:extLst>
            </c:dLbl>
            <c:dLbl>
              <c:idx val="3"/>
              <c:layout>
                <c:manualLayout>
                  <c:x val="2.482929857231524E-2"/>
                  <c:y val="-5.61403508771929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7CF-42E5-AC99-A3955F6EB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'Inland graph'!$B$4:$B$8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'Inland graph'!$I$4:$I$8</c:f>
              <c:numCache>
                <c:formatCode>"R"#\ ##0</c:formatCode>
                <c:ptCount val="5"/>
                <c:pt idx="0">
                  <c:v>670058483.71829188</c:v>
                </c:pt>
                <c:pt idx="1">
                  <c:v>460929960.98000002</c:v>
                </c:pt>
                <c:pt idx="2">
                  <c:v>31328545.000713639</c:v>
                </c:pt>
                <c:pt idx="3">
                  <c:v>108457474.30099463</c:v>
                </c:pt>
                <c:pt idx="4">
                  <c:v>1270774464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7CF-42E5-AC99-A3955F6EB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4450728"/>
        <c:axId val="754458288"/>
      </c:barChart>
      <c:catAx>
        <c:axId val="75445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8288"/>
        <c:crosses val="autoZero"/>
        <c:auto val="1"/>
        <c:lblAlgn val="ctr"/>
        <c:lblOffset val="100"/>
        <c:noMultiLvlLbl val="0"/>
      </c:catAx>
      <c:valAx>
        <c:axId val="7544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072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'Inland graph'!$B$10</c:f>
          <c:strCache>
            <c:ptCount val="1"/>
            <c:pt idx="0">
              <c:v>Fleet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'Inland graph'!$H$12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'Inland graph'!$B$13:$B$16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'Inland graph'!$H$13:$H$16</c:f>
              <c:numCache>
                <c:formatCode>General</c:formatCode>
                <c:ptCount val="4"/>
                <c:pt idx="0">
                  <c:v>0</c:v>
                </c:pt>
                <c:pt idx="1">
                  <c:v>7679</c:v>
                </c:pt>
                <c:pt idx="2">
                  <c:v>8651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B-4186-8C59-EBFDE3732AC6}"/>
            </c:ext>
          </c:extLst>
        </c:ser>
        <c:ser>
          <c:idx val="1"/>
          <c:order val="1"/>
          <c:tx>
            <c:strRef>
              <c:f>'Inland graph'!$I$12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3DB-4186-8C59-EBFDE3732AC6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DB-4186-8C59-EBFDE3732AC6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DB-4186-8C59-EBFDE3732AC6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3DB-4186-8C59-EBFDE3732A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'Inland graph'!$B$13:$B$16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'Inland graph'!$I$13:$I$16</c:f>
              <c:numCache>
                <c:formatCode>General</c:formatCode>
                <c:ptCount val="4"/>
                <c:pt idx="0">
                  <c:v>7679</c:v>
                </c:pt>
                <c:pt idx="1">
                  <c:v>972</c:v>
                </c:pt>
                <c:pt idx="2">
                  <c:v>1839</c:v>
                </c:pt>
                <c:pt idx="3">
                  <c:v>10490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3DB-4186-8C59-EBFDE3732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9912184"/>
        <c:axId val="759908224"/>
      </c:barChart>
      <c:catAx>
        <c:axId val="759912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908224"/>
        <c:crosses val="autoZero"/>
        <c:auto val="1"/>
        <c:lblAlgn val="ctr"/>
        <c:lblOffset val="100"/>
        <c:noMultiLvlLbl val="0"/>
      </c:catAx>
      <c:valAx>
        <c:axId val="759908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991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Public!$B$2</c:f>
          <c:strCache>
            <c:ptCount val="1"/>
            <c:pt idx="0">
              <c:v>Revenue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Public!$H$3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Public!$B$4:$B$8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Public!$H$4:$H$9</c:f>
              <c:numCache>
                <c:formatCode>"R"#\ ##0</c:formatCode>
                <c:ptCount val="6"/>
                <c:pt idx="0">
                  <c:v>0</c:v>
                </c:pt>
                <c:pt idx="1">
                  <c:v>65201091.518594787</c:v>
                </c:pt>
                <c:pt idx="2">
                  <c:v>91414007.748594791</c:v>
                </c:pt>
                <c:pt idx="3">
                  <c:v>91865845.546406657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E-4827-BA92-CC8063374918}"/>
            </c:ext>
          </c:extLst>
        </c:ser>
        <c:ser>
          <c:idx val="1"/>
          <c:order val="1"/>
          <c:tx>
            <c:strRef>
              <c:f>Public!$I$3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88E-4827-BA92-CC8063374918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88E-4827-BA92-CC8063374918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88E-4827-BA92-CC8063374918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88E-4827-BA92-CC8063374918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88E-4827-BA92-CC8063374918}"/>
              </c:ext>
            </c:extLst>
          </c:dPt>
          <c:dLbls>
            <c:dLbl>
              <c:idx val="2"/>
              <c:layout>
                <c:manualLayout>
                  <c:x val="0"/>
                  <c:y val="-4.67836257309941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88E-4827-BA92-CC80633749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Public!$B$4:$B$8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Public!$I$4:$I$8</c:f>
              <c:numCache>
                <c:formatCode>"R"#\ ##0</c:formatCode>
                <c:ptCount val="5"/>
                <c:pt idx="0">
                  <c:v>65201091.518594787</c:v>
                </c:pt>
                <c:pt idx="1">
                  <c:v>26212916.230000008</c:v>
                </c:pt>
                <c:pt idx="2">
                  <c:v>451837.79781186103</c:v>
                </c:pt>
                <c:pt idx="3">
                  <c:v>31788856.453593343</c:v>
                </c:pt>
                <c:pt idx="4">
                  <c:v>123654702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88E-4827-BA92-CC8063374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4450728"/>
        <c:axId val="754458288"/>
      </c:barChart>
      <c:catAx>
        <c:axId val="75445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8288"/>
        <c:crosses val="autoZero"/>
        <c:auto val="1"/>
        <c:lblAlgn val="ctr"/>
        <c:lblOffset val="100"/>
        <c:noMultiLvlLbl val="0"/>
      </c:catAx>
      <c:valAx>
        <c:axId val="7544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072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Public!$B$10</c:f>
          <c:strCache>
            <c:ptCount val="1"/>
            <c:pt idx="0">
              <c:v>Fleet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Public!$H$12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Public!$B$13:$B$16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Public!$H$13:$H$16</c:f>
              <c:numCache>
                <c:formatCode>General</c:formatCode>
                <c:ptCount val="4"/>
                <c:pt idx="0">
                  <c:v>0</c:v>
                </c:pt>
                <c:pt idx="1">
                  <c:v>345</c:v>
                </c:pt>
                <c:pt idx="2">
                  <c:v>351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9-4BE8-97B0-7565A26E18EE}"/>
            </c:ext>
          </c:extLst>
        </c:ser>
        <c:ser>
          <c:idx val="1"/>
          <c:order val="1"/>
          <c:tx>
            <c:strRef>
              <c:f>Public!$I$12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B59-4BE8-97B0-7565A26E18EE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B59-4BE8-97B0-7565A26E18E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B59-4BE8-97B0-7565A26E18EE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B59-4BE8-97B0-7565A26E18EE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4B59-4BE8-97B0-7565A26E18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Public!$B$13:$B$16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Public!$I$13:$I$16</c:f>
              <c:numCache>
                <c:formatCode>General</c:formatCode>
                <c:ptCount val="4"/>
                <c:pt idx="0">
                  <c:v>345</c:v>
                </c:pt>
                <c:pt idx="1">
                  <c:v>6</c:v>
                </c:pt>
                <c:pt idx="2">
                  <c:v>750</c:v>
                </c:pt>
                <c:pt idx="3">
                  <c:v>1101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B59-4BE8-97B0-7565A26E1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9912184"/>
        <c:axId val="759908224"/>
      </c:barChart>
      <c:catAx>
        <c:axId val="759912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908224"/>
        <c:crosses val="autoZero"/>
        <c:auto val="1"/>
        <c:lblAlgn val="ctr"/>
        <c:lblOffset val="100"/>
        <c:noMultiLvlLbl val="0"/>
      </c:catAx>
      <c:valAx>
        <c:axId val="759908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991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Zambia!$B$2</c:f>
          <c:strCache>
            <c:ptCount val="1"/>
            <c:pt idx="0">
              <c:v>Revenue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Zambia!$H$3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Zambia!$B$4:$B$8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Zambia!$H$4:$H$9</c:f>
              <c:numCache>
                <c:formatCode>"R"#\ ##0</c:formatCode>
                <c:ptCount val="6"/>
                <c:pt idx="0">
                  <c:v>0</c:v>
                </c:pt>
                <c:pt idx="1">
                  <c:v>93381608.291536078</c:v>
                </c:pt>
                <c:pt idx="2">
                  <c:v>168214783.73923045</c:v>
                </c:pt>
                <c:pt idx="3">
                  <c:v>172883389.99984211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D-47A3-BE7C-8E8A669D3DA8}"/>
            </c:ext>
          </c:extLst>
        </c:ser>
        <c:ser>
          <c:idx val="1"/>
          <c:order val="1"/>
          <c:tx>
            <c:strRef>
              <c:f>Zambia!$I$3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06D-47A3-BE7C-8E8A669D3DA8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06D-47A3-BE7C-8E8A669D3DA8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06D-47A3-BE7C-8E8A669D3DA8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06D-47A3-BE7C-8E8A669D3DA8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06D-47A3-BE7C-8E8A669D3DA8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06D-47A3-BE7C-8E8A669D3D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Zambia!$B$4:$B$8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Zambia!$I$4:$I$8</c:f>
              <c:numCache>
                <c:formatCode>"R"#\ ##0</c:formatCode>
                <c:ptCount val="5"/>
                <c:pt idx="0">
                  <c:v>93381608.291536078</c:v>
                </c:pt>
                <c:pt idx="1">
                  <c:v>74833175.447694391</c:v>
                </c:pt>
                <c:pt idx="2">
                  <c:v>4668606.2606116664</c:v>
                </c:pt>
                <c:pt idx="3">
                  <c:v>-11406599.999842107</c:v>
                </c:pt>
                <c:pt idx="4">
                  <c:v>161476790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06D-47A3-BE7C-8E8A669D3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4450728"/>
        <c:axId val="754458288"/>
      </c:barChart>
      <c:catAx>
        <c:axId val="75445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8288"/>
        <c:crosses val="autoZero"/>
        <c:auto val="1"/>
        <c:lblAlgn val="ctr"/>
        <c:lblOffset val="100"/>
        <c:noMultiLvlLbl val="0"/>
      </c:catAx>
      <c:valAx>
        <c:axId val="7544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072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Zambia!$B$10</c:f>
          <c:strCache>
            <c:ptCount val="1"/>
            <c:pt idx="0">
              <c:v>Fleet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Zambia!$H$12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Zambia!$B$13:$B$16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Zambia!$H$13:$H$16</c:f>
              <c:numCache>
                <c:formatCode>General</c:formatCode>
                <c:ptCount val="4"/>
                <c:pt idx="0">
                  <c:v>0</c:v>
                </c:pt>
                <c:pt idx="1">
                  <c:v>499</c:v>
                </c:pt>
                <c:pt idx="2">
                  <c:v>552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C-432A-9405-AB37D9987C23}"/>
            </c:ext>
          </c:extLst>
        </c:ser>
        <c:ser>
          <c:idx val="1"/>
          <c:order val="1"/>
          <c:tx>
            <c:strRef>
              <c:f>Zambia!$I$12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81C-432A-9405-AB37D9987C23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81C-432A-9405-AB37D9987C23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81C-432A-9405-AB37D9987C23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81C-432A-9405-AB37D9987C23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481C-432A-9405-AB37D9987C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Zambia!$B$13:$B$16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Zambia!$I$13:$I$16</c:f>
              <c:numCache>
                <c:formatCode>General</c:formatCode>
                <c:ptCount val="4"/>
                <c:pt idx="0">
                  <c:v>499</c:v>
                </c:pt>
                <c:pt idx="1">
                  <c:v>53</c:v>
                </c:pt>
                <c:pt idx="2">
                  <c:v>-70</c:v>
                </c:pt>
                <c:pt idx="3">
                  <c:v>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1C-432A-9405-AB37D9987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9912184"/>
        <c:axId val="759908224"/>
      </c:barChart>
      <c:catAx>
        <c:axId val="759912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908224"/>
        <c:crosses val="autoZero"/>
        <c:auto val="1"/>
        <c:lblAlgn val="ctr"/>
        <c:lblOffset val="100"/>
        <c:noMultiLvlLbl val="0"/>
      </c:catAx>
      <c:valAx>
        <c:axId val="75990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91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Consul!$B$2</c:f>
          <c:strCache>
            <c:ptCount val="1"/>
            <c:pt idx="0">
              <c:v>Revenue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Consul!$H$3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Consul!$B$4:$B$8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Consul!$H$4:$H$9</c:f>
              <c:numCache>
                <c:formatCode>"R"#\ ##0</c:formatCode>
                <c:ptCount val="6"/>
                <c:pt idx="0">
                  <c:v>0</c:v>
                </c:pt>
                <c:pt idx="1">
                  <c:v>1342848197.3222921</c:v>
                </c:pt>
                <c:pt idx="2">
                  <c:v>2289745783.6696444</c:v>
                </c:pt>
                <c:pt idx="3">
                  <c:v>2348489355.4501123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8-4C4B-9629-597AFF1F16BF}"/>
            </c:ext>
          </c:extLst>
        </c:ser>
        <c:ser>
          <c:idx val="1"/>
          <c:order val="1"/>
          <c:tx>
            <c:strRef>
              <c:f>Consul!$I$3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D88-4C4B-9629-597AFF1F16BF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D88-4C4B-9629-597AFF1F16BF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D88-4C4B-9629-597AFF1F16BF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D88-4C4B-9629-597AFF1F16BF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D88-4C4B-9629-597AFF1F16BF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D88-4C4B-9629-597AFF1F16BF}"/>
                </c:ext>
              </c:extLst>
            </c:dLbl>
            <c:dLbl>
              <c:idx val="3"/>
              <c:layout>
                <c:manualLayout>
                  <c:x val="-7.4487895716945996E-3"/>
                  <c:y val="-5.61403508771929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88-4C4B-9629-597AFF1F16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Consul!$B$4:$B$8</c:f>
              <c:strCache>
                <c:ptCount val="5"/>
                <c:pt idx="0">
                  <c:v>YTD</c:v>
                </c:pt>
                <c:pt idx="1">
                  <c:v>Contracted</c:v>
                </c:pt>
                <c:pt idx="2">
                  <c:v>Forecasted Replacement/Growth</c:v>
                </c:pt>
                <c:pt idx="3">
                  <c:v>Gap</c:v>
                </c:pt>
                <c:pt idx="4">
                  <c:v>Plan</c:v>
                </c:pt>
              </c:strCache>
            </c:strRef>
          </c:cat>
          <c:val>
            <c:numRef>
              <c:f>Consul!$I$4:$I$8</c:f>
              <c:numCache>
                <c:formatCode>"R"#\ ##0</c:formatCode>
                <c:ptCount val="5"/>
                <c:pt idx="0">
                  <c:v>1342848197.3222921</c:v>
                </c:pt>
                <c:pt idx="1">
                  <c:v>946897586.34735215</c:v>
                </c:pt>
                <c:pt idx="2">
                  <c:v>58743571.78046798</c:v>
                </c:pt>
                <c:pt idx="3">
                  <c:v>313452909.54988766</c:v>
                </c:pt>
                <c:pt idx="4">
                  <c:v>2661942265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D88-4C4B-9629-597AFF1F1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4450728"/>
        <c:axId val="754458288"/>
      </c:barChart>
      <c:catAx>
        <c:axId val="75445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8288"/>
        <c:crosses val="autoZero"/>
        <c:auto val="1"/>
        <c:lblAlgn val="ctr"/>
        <c:lblOffset val="100"/>
        <c:noMultiLvlLbl val="0"/>
      </c:catAx>
      <c:valAx>
        <c:axId val="7544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5072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Consul!$B$10</c:f>
          <c:strCache>
            <c:ptCount val="1"/>
            <c:pt idx="0">
              <c:v>Fleet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Consul!$H$12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Consul!$B$13:$B$16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Consul!$H$13:$H$16</c:f>
              <c:numCache>
                <c:formatCode>General</c:formatCode>
                <c:ptCount val="4"/>
                <c:pt idx="0">
                  <c:v>0</c:v>
                </c:pt>
                <c:pt idx="1">
                  <c:v>13631</c:v>
                </c:pt>
                <c:pt idx="2">
                  <c:v>15256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7-47B1-97EA-2E8C9FD292C9}"/>
            </c:ext>
          </c:extLst>
        </c:ser>
        <c:ser>
          <c:idx val="1"/>
          <c:order val="1"/>
          <c:tx>
            <c:strRef>
              <c:f>Consul!$I$12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647-47B1-97EA-2E8C9FD292C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647-47B1-97EA-2E8C9FD292C9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647-47B1-97EA-2E8C9FD292C9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647-47B1-97EA-2E8C9FD292C9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Consul!$B$13:$B$16</c:f>
              <c:strCache>
                <c:ptCount val="4"/>
                <c:pt idx="0">
                  <c:v>Contracted</c:v>
                </c:pt>
                <c:pt idx="1">
                  <c:v>Forecasted Replacement/Growth</c:v>
                </c:pt>
                <c:pt idx="2">
                  <c:v>Gap</c:v>
                </c:pt>
                <c:pt idx="3">
                  <c:v>Plan</c:v>
                </c:pt>
              </c:strCache>
            </c:strRef>
          </c:cat>
          <c:val>
            <c:numRef>
              <c:f>Consul!$I$13:$I$16</c:f>
              <c:numCache>
                <c:formatCode>General</c:formatCode>
                <c:ptCount val="4"/>
                <c:pt idx="0">
                  <c:v>13631</c:v>
                </c:pt>
                <c:pt idx="1">
                  <c:v>1625</c:v>
                </c:pt>
                <c:pt idx="2">
                  <c:v>3983</c:v>
                </c:pt>
                <c:pt idx="3">
                  <c:v>19239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47-47B1-97EA-2E8C9FD29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9912184"/>
        <c:axId val="759908224"/>
      </c:barChart>
      <c:catAx>
        <c:axId val="759912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908224"/>
        <c:crosses val="autoZero"/>
        <c:auto val="1"/>
        <c:lblAlgn val="ctr"/>
        <c:lblOffset val="100"/>
        <c:noMultiLvlLbl val="0"/>
      </c:catAx>
      <c:valAx>
        <c:axId val="759908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991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630081</xdr:colOff>
      <xdr:row>10</xdr:row>
      <xdr:rowOff>22384</xdr:rowOff>
    </xdr:from>
    <xdr:to>
      <xdr:col>12</xdr:col>
      <xdr:colOff>440531</xdr:colOff>
      <xdr:row>38</xdr:row>
      <xdr:rowOff>84455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6A2FF9-8753-4A19-B8E9-B7D278262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563880</xdr:colOff>
      <xdr:row>0</xdr:row>
      <xdr:rowOff>60960</xdr:rowOff>
    </xdr:from>
    <xdr:to>
      <xdr:col>19</xdr:col>
      <xdr:colOff>190500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0D6F7C-F977-E78F-822B-52023E13B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510540</xdr:colOff>
      <xdr:row>17</xdr:row>
      <xdr:rowOff>53340</xdr:rowOff>
    </xdr:from>
    <xdr:to>
      <xdr:col>18</xdr:col>
      <xdr:colOff>205740</xdr:colOff>
      <xdr:row>32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E5E963-E21C-856F-AF1A-4614A1B90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563880</xdr:colOff>
      <xdr:row>0</xdr:row>
      <xdr:rowOff>60960</xdr:rowOff>
    </xdr:from>
    <xdr:to>
      <xdr:col>19</xdr:col>
      <xdr:colOff>190500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F7639F-CA51-4D9D-B57C-FEAE4E695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510540</xdr:colOff>
      <xdr:row>17</xdr:row>
      <xdr:rowOff>53340</xdr:rowOff>
    </xdr:from>
    <xdr:to>
      <xdr:col>18</xdr:col>
      <xdr:colOff>205740</xdr:colOff>
      <xdr:row>32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84ABBF-17A2-4AA8-AA22-DDBB216E4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563880</xdr:colOff>
      <xdr:row>0</xdr:row>
      <xdr:rowOff>60960</xdr:rowOff>
    </xdr:from>
    <xdr:to>
      <xdr:col>19</xdr:col>
      <xdr:colOff>190500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930F60-AF50-4683-895C-89BD70405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510540</xdr:colOff>
      <xdr:row>17</xdr:row>
      <xdr:rowOff>53340</xdr:rowOff>
    </xdr:from>
    <xdr:to>
      <xdr:col>18</xdr:col>
      <xdr:colOff>205740</xdr:colOff>
      <xdr:row>32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A70E43-36D7-4C8E-9AF3-9B8DC43F0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563880</xdr:colOff>
      <xdr:row>0</xdr:row>
      <xdr:rowOff>60960</xdr:rowOff>
    </xdr:from>
    <xdr:to>
      <xdr:col>19</xdr:col>
      <xdr:colOff>190500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626B2E-E631-4F35-892C-54AC1E752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510540</xdr:colOff>
      <xdr:row>17</xdr:row>
      <xdr:rowOff>53340</xdr:rowOff>
    </xdr:from>
    <xdr:to>
      <xdr:col>18</xdr:col>
      <xdr:colOff>205740</xdr:colOff>
      <xdr:row>32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D05EFB-C8E6-4D61-ABE7-776B973E9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563880</xdr:colOff>
      <xdr:row>0</xdr:row>
      <xdr:rowOff>60960</xdr:rowOff>
    </xdr:from>
    <xdr:to>
      <xdr:col>19</xdr:col>
      <xdr:colOff>190500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E4E86A-3AE6-4610-A8E8-072303CF4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17</xdr:row>
      <xdr:rowOff>53340</xdr:rowOff>
    </xdr:from>
    <xdr:to>
      <xdr:col>18</xdr:col>
      <xdr:colOff>228600</xdr:colOff>
      <xdr:row>32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D74560-094E-42D9-948D-4EE70ECC4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563880</xdr:colOff>
      <xdr:row>0</xdr:row>
      <xdr:rowOff>60960</xdr:rowOff>
    </xdr:from>
    <xdr:to>
      <xdr:col>19</xdr:col>
      <xdr:colOff>190500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69ED7C-5132-47A3-8561-74370F982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510540</xdr:colOff>
      <xdr:row>17</xdr:row>
      <xdr:rowOff>53340</xdr:rowOff>
    </xdr:from>
    <xdr:to>
      <xdr:col>18</xdr:col>
      <xdr:colOff>205740</xdr:colOff>
      <xdr:row>32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68B014-72A3-48AE-BD21-210647F98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563880</xdr:colOff>
      <xdr:row>0</xdr:row>
      <xdr:rowOff>60960</xdr:rowOff>
    </xdr:from>
    <xdr:to>
      <xdr:col>19</xdr:col>
      <xdr:colOff>190500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E08385-4802-4D4B-91B3-870912764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510540</xdr:colOff>
      <xdr:row>17</xdr:row>
      <xdr:rowOff>53340</xdr:rowOff>
    </xdr:from>
    <xdr:to>
      <xdr:col>18</xdr:col>
      <xdr:colOff>205740</xdr:colOff>
      <xdr:row>32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21428B-5F9A-47BC-A84A-131733F8C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563880</xdr:colOff>
      <xdr:row>0</xdr:row>
      <xdr:rowOff>60960</xdr:rowOff>
    </xdr:from>
    <xdr:to>
      <xdr:col>19</xdr:col>
      <xdr:colOff>190500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53A60A-67D5-4594-9B57-E13DDADF6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510540</xdr:colOff>
      <xdr:row>17</xdr:row>
      <xdr:rowOff>53340</xdr:rowOff>
    </xdr:from>
    <xdr:to>
      <xdr:col>18</xdr:col>
      <xdr:colOff>205740</xdr:colOff>
      <xdr:row>32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68D810-1240-4A5D-9FB8-D8864C4BE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563880</xdr:colOff>
      <xdr:row>0</xdr:row>
      <xdr:rowOff>60960</xdr:rowOff>
    </xdr:from>
    <xdr:to>
      <xdr:col>19</xdr:col>
      <xdr:colOff>190500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FE6603-0FD9-4310-8046-F2CC00D0F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510540</xdr:colOff>
      <xdr:row>17</xdr:row>
      <xdr:rowOff>53340</xdr:rowOff>
    </xdr:from>
    <xdr:to>
      <xdr:col>18</xdr:col>
      <xdr:colOff>205740</xdr:colOff>
      <xdr:row>32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DB4178-0F6B-46FD-B79A-BBADC0062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563880</xdr:colOff>
      <xdr:row>0</xdr:row>
      <xdr:rowOff>60960</xdr:rowOff>
    </xdr:from>
    <xdr:to>
      <xdr:col>19</xdr:col>
      <xdr:colOff>190500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94BF34-51DF-4884-AA0B-3D7971626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510540</xdr:colOff>
      <xdr:row>17</xdr:row>
      <xdr:rowOff>53340</xdr:rowOff>
    </xdr:from>
    <xdr:to>
      <xdr:col>18</xdr:col>
      <xdr:colOff>205740</xdr:colOff>
      <xdr:row>32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D32109-C8FE-4452-8587-33BFC0E05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563880</xdr:colOff>
      <xdr:row>0</xdr:row>
      <xdr:rowOff>60960</xdr:rowOff>
    </xdr:from>
    <xdr:to>
      <xdr:col>19</xdr:col>
      <xdr:colOff>190500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9E0809-50C1-4DB3-8156-11D4F07A3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510540</xdr:colOff>
      <xdr:row>17</xdr:row>
      <xdr:rowOff>53340</xdr:rowOff>
    </xdr:from>
    <xdr:to>
      <xdr:col>18</xdr:col>
      <xdr:colOff>205740</xdr:colOff>
      <xdr:row>32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FA47BF-6074-4C98-BC65-1E1A77252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bgza.sharepoint.com/sites/RevenueForecast/Shared%20Documents/General/Feb%2025/Tsogo%20Analysis%20Febr.xlsx" TargetMode="External"/><Relationship Id="rId1" Type="http://schemas.openxmlformats.org/officeDocument/2006/relationships/externalLinkPath" Target="Tsogo%20Analysis%20Feb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Detail1"/>
      <sheetName val="Detail2"/>
      <sheetName val="Breakdown"/>
      <sheetName val="Sheet3"/>
      <sheetName val="Data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4">
          <cell r="N14">
            <v>-46620145.52579318</v>
          </cell>
          <cell r="R14">
            <v>-295896.74971668795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6"/>
  <sheetViews>
    <sheetView workbookViewId="0">
      <selection sqref="A1:XFD1048576"/>
    </sheetView>
  </sheetViews>
  <sheetFormatPr defaultRowHeight="14.5" x14ac:dyDescent="0.35"/>
  <cols>
    <col min="1" max="1" width="17.453125" bestFit="1" customWidth="1"/>
    <col min="2" max="3" width="15.26953125" bestFit="1" customWidth="1"/>
    <col min="4" max="4" width="14" bestFit="1" customWidth="1"/>
    <col min="5" max="6" width="15.26953125" bestFit="1" customWidth="1"/>
    <col min="7" max="7" width="14" bestFit="1" customWidth="1"/>
    <col min="8" max="9" width="15.26953125" bestFit="1" customWidth="1"/>
    <col min="10" max="10" width="14" bestFit="1" customWidth="1"/>
    <col min="11" max="12" width="15.26953125" bestFit="1" customWidth="1"/>
    <col min="13" max="13" width="14" bestFit="1" customWidth="1"/>
    <col min="14" max="15" width="15.26953125" bestFit="1" customWidth="1"/>
    <col min="16" max="16" width="14" bestFit="1" customWidth="1"/>
    <col min="17" max="17" width="15.26953125" bestFit="1" customWidth="1"/>
    <col min="18" max="18" width="14.1796875" bestFit="1" customWidth="1"/>
    <col min="19" max="19" width="12.81640625" bestFit="1" customWidth="1"/>
    <col min="20" max="21" width="14.1796875" bestFit="1" customWidth="1"/>
    <col min="22" max="22" width="12.81640625" bestFit="1" customWidth="1"/>
    <col min="23" max="24" width="14.1796875" bestFit="1" customWidth="1"/>
    <col min="25" max="25" width="12.81640625" bestFit="1" customWidth="1"/>
    <col min="26" max="27" width="14.1796875" bestFit="1" customWidth="1"/>
    <col min="28" max="28" width="12.81640625" bestFit="1" customWidth="1"/>
    <col min="29" max="30" width="14.1796875" bestFit="1" customWidth="1"/>
    <col min="31" max="31" width="12.81640625" bestFit="1" customWidth="1"/>
    <col min="32" max="33" width="14.1796875" bestFit="1" customWidth="1"/>
    <col min="34" max="34" width="12.81640625" bestFit="1" customWidth="1"/>
    <col min="35" max="36" width="14.1796875" bestFit="1" customWidth="1"/>
    <col min="37" max="37" width="12.81640625" bestFit="1" customWidth="1"/>
    <col min="38" max="39" width="14.1796875" bestFit="1" customWidth="1"/>
    <col min="40" max="40" width="12.81640625" bestFit="1" customWidth="1"/>
    <col min="41" max="42" width="14.1796875" bestFit="1" customWidth="1"/>
    <col min="43" max="43" width="12.81640625" bestFit="1" customWidth="1"/>
    <col min="44" max="45" width="14.1796875" bestFit="1" customWidth="1"/>
    <col min="46" max="46" width="12.81640625" bestFit="1" customWidth="1"/>
    <col min="47" max="48" width="14.1796875" bestFit="1" customWidth="1"/>
    <col min="49" max="49" width="12.81640625" bestFit="1" customWidth="1"/>
    <col min="50" max="51" width="14.1796875" bestFit="1" customWidth="1"/>
    <col min="52" max="52" width="12.81640625" bestFit="1" customWidth="1"/>
    <col min="53" max="54" width="14.1796875" bestFit="1" customWidth="1"/>
    <col min="55" max="55" width="12.81640625" bestFit="1" customWidth="1"/>
    <col min="56" max="57" width="13" bestFit="1" customWidth="1"/>
    <col min="58" max="58" width="11.81640625" bestFit="1" customWidth="1"/>
    <col min="59" max="60" width="13" bestFit="1" customWidth="1"/>
    <col min="61" max="61" width="11.81640625" bestFit="1" customWidth="1"/>
    <col min="62" max="64" width="10.54296875" bestFit="1" customWidth="1"/>
  </cols>
  <sheetData>
    <row r="1" spans="1:64" x14ac:dyDescent="0.35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t="s">
        <v>5</v>
      </c>
      <c r="G1" s="16" t="s">
        <v>6</v>
      </c>
      <c r="H1" t="s">
        <v>7</v>
      </c>
      <c r="I1" t="s">
        <v>8</v>
      </c>
      <c r="J1" s="16" t="s">
        <v>9</v>
      </c>
      <c r="K1" t="s">
        <v>10</v>
      </c>
      <c r="L1" t="s">
        <v>11</v>
      </c>
      <c r="M1" s="16" t="s">
        <v>12</v>
      </c>
      <c r="N1" t="s">
        <v>13</v>
      </c>
      <c r="O1" t="s">
        <v>14</v>
      </c>
      <c r="P1" s="16" t="s">
        <v>15</v>
      </c>
      <c r="Q1" t="s">
        <v>16</v>
      </c>
      <c r="R1" t="s">
        <v>17</v>
      </c>
      <c r="S1" s="16" t="s">
        <v>18</v>
      </c>
      <c r="T1" t="s">
        <v>19</v>
      </c>
      <c r="U1" t="s">
        <v>20</v>
      </c>
      <c r="V1" s="16" t="s">
        <v>21</v>
      </c>
      <c r="W1" t="s">
        <v>22</v>
      </c>
      <c r="X1" t="s">
        <v>23</v>
      </c>
      <c r="Y1" s="16" t="s">
        <v>24</v>
      </c>
      <c r="Z1" t="s">
        <v>25</v>
      </c>
      <c r="AA1" t="s">
        <v>26</v>
      </c>
      <c r="AB1" s="16" t="s">
        <v>27</v>
      </c>
      <c r="AC1" t="s">
        <v>28</v>
      </c>
      <c r="AD1" t="s">
        <v>29</v>
      </c>
      <c r="AE1" s="16" t="s">
        <v>30</v>
      </c>
      <c r="AF1" t="s">
        <v>31</v>
      </c>
      <c r="AG1" t="s">
        <v>32</v>
      </c>
      <c r="AH1" s="16" t="s">
        <v>33</v>
      </c>
      <c r="AI1" t="s">
        <v>34</v>
      </c>
      <c r="AJ1" t="s">
        <v>35</v>
      </c>
      <c r="AK1" s="16" t="s">
        <v>36</v>
      </c>
      <c r="AL1" t="s">
        <v>37</v>
      </c>
      <c r="AM1" t="s">
        <v>38</v>
      </c>
      <c r="AN1" s="16" t="s">
        <v>39</v>
      </c>
      <c r="AO1" t="s">
        <v>40</v>
      </c>
      <c r="AP1" t="s">
        <v>41</v>
      </c>
      <c r="AQ1" s="16" t="s">
        <v>42</v>
      </c>
      <c r="AR1" t="s">
        <v>43</v>
      </c>
      <c r="AS1" t="s">
        <v>44</v>
      </c>
      <c r="AT1" s="16" t="s">
        <v>45</v>
      </c>
      <c r="AU1" t="s">
        <v>46</v>
      </c>
      <c r="AV1" t="s">
        <v>47</v>
      </c>
      <c r="AW1" s="16" t="s">
        <v>48</v>
      </c>
      <c r="AX1" t="s">
        <v>49</v>
      </c>
      <c r="AY1" t="s">
        <v>50</v>
      </c>
      <c r="AZ1" s="16" t="s">
        <v>51</v>
      </c>
      <c r="BA1" t="s">
        <v>52</v>
      </c>
      <c r="BB1" t="s">
        <v>53</v>
      </c>
      <c r="BC1" s="16" t="s">
        <v>54</v>
      </c>
      <c r="BD1" t="s">
        <v>55</v>
      </c>
      <c r="BE1" t="s">
        <v>56</v>
      </c>
      <c r="BF1" s="16" t="s">
        <v>57</v>
      </c>
      <c r="BG1" t="s">
        <v>58</v>
      </c>
      <c r="BH1" t="s">
        <v>59</v>
      </c>
      <c r="BI1" s="16" t="s">
        <v>60</v>
      </c>
      <c r="BJ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1">
        <v>475</v>
      </c>
      <c r="C2" s="1">
        <v>381</v>
      </c>
      <c r="D2" s="46">
        <v>377</v>
      </c>
      <c r="E2" s="1">
        <v>367</v>
      </c>
      <c r="F2" s="1">
        <v>362</v>
      </c>
      <c r="G2" s="46">
        <v>361</v>
      </c>
      <c r="H2" s="1">
        <v>340</v>
      </c>
      <c r="I2" s="1">
        <v>334</v>
      </c>
      <c r="J2" s="46">
        <v>333</v>
      </c>
      <c r="K2" s="1">
        <v>331</v>
      </c>
      <c r="L2" s="1">
        <v>310</v>
      </c>
      <c r="M2" s="46">
        <v>297</v>
      </c>
      <c r="N2" s="1">
        <v>266</v>
      </c>
      <c r="O2" s="1">
        <v>255</v>
      </c>
      <c r="P2" s="46">
        <v>244</v>
      </c>
      <c r="Q2" s="1">
        <v>234</v>
      </c>
      <c r="R2" s="1">
        <v>217</v>
      </c>
      <c r="S2" s="46">
        <v>211</v>
      </c>
      <c r="T2" s="1">
        <v>201</v>
      </c>
      <c r="U2" s="1">
        <v>192</v>
      </c>
      <c r="V2" s="46">
        <v>185</v>
      </c>
      <c r="W2" s="1">
        <v>180</v>
      </c>
      <c r="X2" s="1">
        <v>171</v>
      </c>
      <c r="Y2" s="46">
        <v>166</v>
      </c>
      <c r="Z2" s="1">
        <v>160</v>
      </c>
      <c r="AA2" s="1">
        <v>158</v>
      </c>
      <c r="AB2" s="46">
        <v>152</v>
      </c>
      <c r="AC2" s="1">
        <v>142</v>
      </c>
      <c r="AD2" s="1">
        <v>139</v>
      </c>
      <c r="AE2" s="46">
        <v>128</v>
      </c>
      <c r="AF2" s="1">
        <v>126</v>
      </c>
      <c r="AG2" s="1">
        <v>125</v>
      </c>
      <c r="AH2" s="46">
        <v>125</v>
      </c>
      <c r="AI2" s="1">
        <v>121</v>
      </c>
      <c r="AJ2" s="1">
        <v>114</v>
      </c>
      <c r="AK2" s="46">
        <v>87</v>
      </c>
      <c r="AL2" s="1">
        <v>69</v>
      </c>
      <c r="AM2" s="1">
        <v>67</v>
      </c>
      <c r="AN2" s="46">
        <v>62</v>
      </c>
      <c r="AO2" s="1">
        <v>59</v>
      </c>
      <c r="AP2" s="1">
        <v>52</v>
      </c>
      <c r="AQ2" s="46">
        <v>48</v>
      </c>
      <c r="AR2" s="1">
        <v>40</v>
      </c>
      <c r="AS2" s="1">
        <v>40</v>
      </c>
      <c r="AT2" s="46">
        <v>37</v>
      </c>
      <c r="AU2" s="1">
        <v>33</v>
      </c>
      <c r="AV2" s="1">
        <v>30</v>
      </c>
      <c r="AW2" s="46">
        <v>29</v>
      </c>
      <c r="AX2" s="1">
        <v>26</v>
      </c>
      <c r="AY2" s="1">
        <v>25</v>
      </c>
      <c r="AZ2" s="46">
        <v>23</v>
      </c>
      <c r="BA2" s="1">
        <v>22</v>
      </c>
      <c r="BB2" s="1">
        <v>21</v>
      </c>
      <c r="BC2" s="46">
        <v>19</v>
      </c>
      <c r="BD2" s="1">
        <v>14</v>
      </c>
      <c r="BE2" s="1">
        <v>12</v>
      </c>
      <c r="BF2" s="46">
        <v>11</v>
      </c>
      <c r="BG2" s="1">
        <v>9</v>
      </c>
      <c r="BH2" s="1">
        <v>8</v>
      </c>
      <c r="BI2" s="46">
        <v>4</v>
      </c>
      <c r="BJ2" s="1">
        <v>0</v>
      </c>
      <c r="BK2" s="1">
        <v>0</v>
      </c>
      <c r="BL2">
        <v>0</v>
      </c>
    </row>
    <row r="3" spans="1:64" ht="15.5" x14ac:dyDescent="0.35">
      <c r="A3" t="s">
        <v>65</v>
      </c>
      <c r="B3" s="1">
        <v>24</v>
      </c>
      <c r="C3" s="1">
        <v>20</v>
      </c>
      <c r="D3" s="46">
        <v>20</v>
      </c>
      <c r="E3" s="1">
        <v>20</v>
      </c>
      <c r="F3" s="1">
        <v>19</v>
      </c>
      <c r="G3" s="46">
        <v>18</v>
      </c>
      <c r="H3" s="1">
        <v>17</v>
      </c>
      <c r="I3" s="1">
        <v>16</v>
      </c>
      <c r="J3" s="46">
        <v>16</v>
      </c>
      <c r="K3" s="1">
        <v>16</v>
      </c>
      <c r="L3" s="1">
        <v>15</v>
      </c>
      <c r="M3" s="46">
        <v>14</v>
      </c>
      <c r="N3" s="1">
        <v>14</v>
      </c>
      <c r="O3" s="1">
        <v>14</v>
      </c>
      <c r="P3" s="46">
        <v>14</v>
      </c>
      <c r="Q3" s="1">
        <v>14</v>
      </c>
      <c r="R3" s="1">
        <v>13</v>
      </c>
      <c r="S3" s="46">
        <v>13</v>
      </c>
      <c r="T3" s="1">
        <v>13</v>
      </c>
      <c r="U3" s="1">
        <v>13</v>
      </c>
      <c r="V3" s="46">
        <v>13</v>
      </c>
      <c r="W3" s="1">
        <v>12</v>
      </c>
      <c r="X3" s="1">
        <v>11</v>
      </c>
      <c r="Y3" s="46">
        <v>10</v>
      </c>
      <c r="Z3" s="1">
        <v>9</v>
      </c>
      <c r="AA3" s="1">
        <v>8</v>
      </c>
      <c r="AB3" s="46">
        <v>8</v>
      </c>
      <c r="AC3" s="1">
        <v>6</v>
      </c>
      <c r="AD3" s="1">
        <v>6</v>
      </c>
      <c r="AE3" s="46">
        <v>6</v>
      </c>
      <c r="AF3" s="1">
        <v>6</v>
      </c>
      <c r="AG3" s="1">
        <v>5</v>
      </c>
      <c r="AH3" s="46">
        <v>5</v>
      </c>
      <c r="AI3" s="1">
        <v>5</v>
      </c>
      <c r="AJ3" s="1">
        <v>4</v>
      </c>
      <c r="AK3" s="46">
        <v>4</v>
      </c>
      <c r="AL3" s="1">
        <v>4</v>
      </c>
      <c r="AM3" s="1">
        <v>4</v>
      </c>
      <c r="AN3" s="46">
        <v>3</v>
      </c>
      <c r="AO3" s="1">
        <v>2</v>
      </c>
      <c r="AP3" s="1">
        <v>2</v>
      </c>
      <c r="AQ3" s="46">
        <v>2</v>
      </c>
      <c r="AR3" s="1">
        <v>2</v>
      </c>
      <c r="AS3" s="1">
        <v>2</v>
      </c>
      <c r="AT3" s="46">
        <v>2</v>
      </c>
      <c r="AU3" s="1">
        <v>2</v>
      </c>
      <c r="AV3" s="1">
        <v>2</v>
      </c>
      <c r="AW3" s="46">
        <v>2</v>
      </c>
      <c r="AX3" s="1">
        <v>2</v>
      </c>
      <c r="AY3" s="1">
        <v>2</v>
      </c>
      <c r="AZ3" s="46">
        <v>2</v>
      </c>
      <c r="BA3" s="1">
        <v>2</v>
      </c>
      <c r="BB3" s="1">
        <v>1</v>
      </c>
      <c r="BC3" s="46">
        <v>1</v>
      </c>
      <c r="BD3" s="1">
        <v>1</v>
      </c>
      <c r="BE3" s="1">
        <v>1</v>
      </c>
      <c r="BF3" s="46">
        <v>1</v>
      </c>
      <c r="BG3" s="1">
        <v>0</v>
      </c>
      <c r="BH3" s="1">
        <v>0</v>
      </c>
      <c r="BI3" s="46">
        <v>0</v>
      </c>
      <c r="BJ3" s="1">
        <v>0</v>
      </c>
      <c r="BK3" s="1">
        <v>0</v>
      </c>
      <c r="BL3">
        <v>0</v>
      </c>
    </row>
    <row r="4" spans="1:64" ht="15.5" x14ac:dyDescent="0.35">
      <c r="A4" t="s">
        <v>66</v>
      </c>
      <c r="B4" s="1">
        <v>0</v>
      </c>
      <c r="C4" s="1">
        <v>0</v>
      </c>
      <c r="D4" s="46">
        <v>0</v>
      </c>
      <c r="E4" s="1">
        <v>0</v>
      </c>
      <c r="F4" s="1">
        <v>0</v>
      </c>
      <c r="G4" s="46">
        <v>0</v>
      </c>
      <c r="H4" s="1">
        <v>0</v>
      </c>
      <c r="I4" s="1">
        <v>0</v>
      </c>
      <c r="J4" s="46">
        <v>0</v>
      </c>
      <c r="K4" s="1">
        <v>0</v>
      </c>
      <c r="L4" s="1">
        <v>0</v>
      </c>
      <c r="M4" s="46">
        <v>0</v>
      </c>
      <c r="N4" s="1">
        <v>0</v>
      </c>
      <c r="O4" s="1">
        <v>0</v>
      </c>
      <c r="P4" s="46">
        <v>0</v>
      </c>
      <c r="Q4" s="1">
        <v>0</v>
      </c>
      <c r="R4" s="1">
        <v>0</v>
      </c>
      <c r="S4" s="46">
        <v>0</v>
      </c>
      <c r="T4" s="1">
        <v>0</v>
      </c>
      <c r="U4" s="1">
        <v>0</v>
      </c>
      <c r="V4" s="46">
        <v>0</v>
      </c>
      <c r="W4" s="1">
        <v>0</v>
      </c>
      <c r="X4" s="1">
        <v>0</v>
      </c>
      <c r="Y4" s="46">
        <v>0</v>
      </c>
      <c r="Z4" s="1">
        <v>0</v>
      </c>
      <c r="AA4" s="1">
        <v>0</v>
      </c>
      <c r="AB4" s="46">
        <v>0</v>
      </c>
      <c r="AC4" s="1">
        <v>0</v>
      </c>
      <c r="AD4" s="1">
        <v>0</v>
      </c>
      <c r="AE4" s="46">
        <v>0</v>
      </c>
      <c r="AF4" s="1">
        <v>0</v>
      </c>
      <c r="AG4" s="1">
        <v>0</v>
      </c>
      <c r="AH4" s="46">
        <v>0</v>
      </c>
      <c r="AI4" s="1">
        <v>0</v>
      </c>
      <c r="AJ4" s="1">
        <v>0</v>
      </c>
      <c r="AK4" s="46">
        <v>0</v>
      </c>
      <c r="AL4" s="1">
        <v>0</v>
      </c>
      <c r="AM4" s="1">
        <v>0</v>
      </c>
      <c r="AN4" s="46">
        <v>0</v>
      </c>
      <c r="AO4" s="1">
        <v>0</v>
      </c>
      <c r="AP4" s="1">
        <v>0</v>
      </c>
      <c r="AQ4" s="46">
        <v>0</v>
      </c>
      <c r="AR4" s="1">
        <v>0</v>
      </c>
      <c r="AS4" s="1">
        <v>0</v>
      </c>
      <c r="AT4" s="46">
        <v>0</v>
      </c>
      <c r="AU4" s="1">
        <v>0</v>
      </c>
      <c r="AV4" s="1">
        <v>0</v>
      </c>
      <c r="AW4" s="46">
        <v>0</v>
      </c>
      <c r="AX4" s="1">
        <v>0</v>
      </c>
      <c r="AY4" s="1">
        <v>0</v>
      </c>
      <c r="AZ4" s="46">
        <v>0</v>
      </c>
      <c r="BA4" s="1">
        <v>0</v>
      </c>
      <c r="BB4" s="1">
        <v>0</v>
      </c>
      <c r="BC4" s="46">
        <v>0</v>
      </c>
      <c r="BD4" s="1">
        <v>0</v>
      </c>
      <c r="BE4" s="1">
        <v>0</v>
      </c>
      <c r="BF4" s="46">
        <v>0</v>
      </c>
      <c r="BG4" s="1">
        <v>0</v>
      </c>
      <c r="BH4" s="1">
        <v>0</v>
      </c>
      <c r="BI4" s="46">
        <v>0</v>
      </c>
      <c r="BJ4" s="1">
        <v>0</v>
      </c>
      <c r="BK4" s="1">
        <v>0</v>
      </c>
      <c r="BL4">
        <v>0</v>
      </c>
    </row>
    <row r="5" spans="1:64" ht="15.5" x14ac:dyDescent="0.35">
      <c r="A5" t="s">
        <v>67</v>
      </c>
      <c r="B5" s="1">
        <v>4962187.63</v>
      </c>
      <c r="C5" s="1">
        <v>4172192.78</v>
      </c>
      <c r="D5" s="46">
        <v>4125217.54</v>
      </c>
      <c r="E5" s="1">
        <v>3985602.58</v>
      </c>
      <c r="F5" s="1">
        <v>3908387.89</v>
      </c>
      <c r="G5" s="46">
        <v>3881528.07</v>
      </c>
      <c r="H5" s="1">
        <v>3719033.89</v>
      </c>
      <c r="I5" s="1">
        <v>3675761.82</v>
      </c>
      <c r="J5" s="46">
        <v>3662318.79</v>
      </c>
      <c r="K5" s="1">
        <v>3644039.76</v>
      </c>
      <c r="L5" s="1">
        <v>3493851.74</v>
      </c>
      <c r="M5" s="46">
        <v>3368205.8</v>
      </c>
      <c r="N5" s="1">
        <v>3098877.08</v>
      </c>
      <c r="O5" s="1">
        <v>2964392.44</v>
      </c>
      <c r="P5" s="46">
        <v>2858410.27</v>
      </c>
      <c r="Q5" s="1">
        <v>2763297.310000001</v>
      </c>
      <c r="R5" s="1">
        <v>2568700.62</v>
      </c>
      <c r="S5" s="46">
        <v>2477895.6</v>
      </c>
      <c r="T5" s="1">
        <v>2347004.54</v>
      </c>
      <c r="U5" s="1">
        <v>2239170.46</v>
      </c>
      <c r="V5" s="46">
        <v>2150987.52</v>
      </c>
      <c r="W5" s="1">
        <v>2065239.29</v>
      </c>
      <c r="X5" s="1">
        <v>1966785.56</v>
      </c>
      <c r="Y5" s="46">
        <v>1902066.49</v>
      </c>
      <c r="Z5" s="1">
        <v>1810962.17</v>
      </c>
      <c r="AA5" s="1">
        <v>1777110.14</v>
      </c>
      <c r="AB5" s="46">
        <v>1674406.21</v>
      </c>
      <c r="AC5" s="1">
        <v>1588461.97</v>
      </c>
      <c r="AD5" s="1">
        <v>1540260.15</v>
      </c>
      <c r="AE5" s="46">
        <v>1421304.52</v>
      </c>
      <c r="AF5" s="1">
        <v>1403328.05</v>
      </c>
      <c r="AG5" s="1">
        <v>1382263.89</v>
      </c>
      <c r="AH5" s="46">
        <v>1382263.89</v>
      </c>
      <c r="AI5" s="1">
        <v>1332494.189999999</v>
      </c>
      <c r="AJ5" s="1">
        <v>1246150.6100000001</v>
      </c>
      <c r="AK5" s="46">
        <v>1075462.67</v>
      </c>
      <c r="AL5" s="1">
        <v>884121.29999999993</v>
      </c>
      <c r="AM5" s="1">
        <v>872779.83000000007</v>
      </c>
      <c r="AN5" s="46">
        <v>810616.80999999994</v>
      </c>
      <c r="AO5" s="1">
        <v>733333.3600000001</v>
      </c>
      <c r="AP5" s="1">
        <v>665338.36</v>
      </c>
      <c r="AQ5" s="46">
        <v>594758.87999999989</v>
      </c>
      <c r="AR5" s="1">
        <v>513115.45</v>
      </c>
      <c r="AS5" s="1">
        <v>513115.45</v>
      </c>
      <c r="AT5" s="46">
        <v>452820.35</v>
      </c>
      <c r="AU5" s="1">
        <v>414001.79999999987</v>
      </c>
      <c r="AV5" s="1">
        <v>364513.69</v>
      </c>
      <c r="AW5" s="46">
        <v>352715.13</v>
      </c>
      <c r="AX5" s="1">
        <v>327538.31999999989</v>
      </c>
      <c r="AY5" s="1">
        <v>320510.12</v>
      </c>
      <c r="AZ5" s="46">
        <v>310494.33</v>
      </c>
      <c r="BA5" s="1">
        <v>298305.71999999997</v>
      </c>
      <c r="BB5" s="1">
        <v>265106.21000000002</v>
      </c>
      <c r="BC5" s="46">
        <v>242757.47</v>
      </c>
      <c r="BD5" s="1">
        <v>189192.61</v>
      </c>
      <c r="BE5" s="1">
        <v>170847.19</v>
      </c>
      <c r="BF5" s="46">
        <v>164578.85999999999</v>
      </c>
      <c r="BG5" s="1">
        <v>138315.89000000001</v>
      </c>
      <c r="BH5" s="1">
        <v>100642.59</v>
      </c>
      <c r="BI5" s="46">
        <v>45172.83</v>
      </c>
      <c r="BJ5" s="1">
        <v>0</v>
      </c>
      <c r="BK5" s="1">
        <v>0</v>
      </c>
      <c r="BL5">
        <v>0</v>
      </c>
    </row>
    <row r="6" spans="1:64" ht="15.5" x14ac:dyDescent="0.35">
      <c r="A6" t="s">
        <v>68</v>
      </c>
      <c r="B6" s="1">
        <v>2668122.2599999998</v>
      </c>
      <c r="C6" s="1">
        <v>2267367.4500000002</v>
      </c>
      <c r="D6" s="46">
        <v>2240025.88</v>
      </c>
      <c r="E6" s="1">
        <v>2161712.04</v>
      </c>
      <c r="F6" s="1">
        <v>2113937.2799999998</v>
      </c>
      <c r="G6" s="46">
        <v>2096871.84</v>
      </c>
      <c r="H6" s="1">
        <v>1998904.23</v>
      </c>
      <c r="I6" s="1">
        <v>1976975.31</v>
      </c>
      <c r="J6" s="46">
        <v>1972099.15</v>
      </c>
      <c r="K6" s="1">
        <v>1962244.3</v>
      </c>
      <c r="L6" s="1">
        <v>1877055.78</v>
      </c>
      <c r="M6" s="46">
        <v>1802993.2</v>
      </c>
      <c r="N6" s="1">
        <v>1654241.16</v>
      </c>
      <c r="O6" s="1">
        <v>1584406.07</v>
      </c>
      <c r="P6" s="46">
        <v>1525881</v>
      </c>
      <c r="Q6" s="1">
        <v>1475919.38</v>
      </c>
      <c r="R6" s="1">
        <v>1365854.36</v>
      </c>
      <c r="S6" s="46">
        <v>1312184.24</v>
      </c>
      <c r="T6" s="1">
        <v>1236623.31</v>
      </c>
      <c r="U6" s="1">
        <v>1177073.8400000001</v>
      </c>
      <c r="V6" s="46">
        <v>1127379.5</v>
      </c>
      <c r="W6" s="1">
        <v>1079275.6100000001</v>
      </c>
      <c r="X6" s="1">
        <v>1033510.35</v>
      </c>
      <c r="Y6" s="46">
        <v>1008357.8</v>
      </c>
      <c r="Z6" s="1">
        <v>956569.88</v>
      </c>
      <c r="AA6" s="1">
        <v>935638.39</v>
      </c>
      <c r="AB6" s="46">
        <v>874437.52</v>
      </c>
      <c r="AC6" s="1">
        <v>830868.74</v>
      </c>
      <c r="AD6" s="1">
        <v>801981.73</v>
      </c>
      <c r="AE6" s="46">
        <v>737504.41000000015</v>
      </c>
      <c r="AF6" s="1">
        <v>726584.72000000009</v>
      </c>
      <c r="AG6" s="1">
        <v>714367.96000000008</v>
      </c>
      <c r="AH6" s="46">
        <v>714367.96000000008</v>
      </c>
      <c r="AI6" s="1">
        <v>685113.8899999999</v>
      </c>
      <c r="AJ6" s="1">
        <v>634796.54999999993</v>
      </c>
      <c r="AK6" s="46">
        <v>547650.33999999985</v>
      </c>
      <c r="AL6" s="1">
        <v>448118.92</v>
      </c>
      <c r="AM6" s="1">
        <v>443221.76000000018</v>
      </c>
      <c r="AN6" s="46">
        <v>408766.49</v>
      </c>
      <c r="AO6" s="1">
        <v>381348.41000000009</v>
      </c>
      <c r="AP6" s="1">
        <v>345824.59</v>
      </c>
      <c r="AQ6" s="46">
        <v>314089.43000000011</v>
      </c>
      <c r="AR6" s="1">
        <v>274346.69</v>
      </c>
      <c r="AS6" s="1">
        <v>274346.69</v>
      </c>
      <c r="AT6" s="46">
        <v>240760.03</v>
      </c>
      <c r="AU6" s="1">
        <v>219325.95</v>
      </c>
      <c r="AV6" s="1">
        <v>201073.57</v>
      </c>
      <c r="AW6" s="46">
        <v>194339.66</v>
      </c>
      <c r="AX6" s="1">
        <v>182179.67</v>
      </c>
      <c r="AY6" s="1">
        <v>178766.57</v>
      </c>
      <c r="AZ6" s="46">
        <v>173781.54</v>
      </c>
      <c r="BA6" s="1">
        <v>167495.57999999999</v>
      </c>
      <c r="BB6" s="1">
        <v>147114.84</v>
      </c>
      <c r="BC6" s="46">
        <v>134897.20000000001</v>
      </c>
      <c r="BD6" s="1">
        <v>106340.69</v>
      </c>
      <c r="BE6" s="1">
        <v>95868.840000000011</v>
      </c>
      <c r="BF6" s="46">
        <v>92341.940000000017</v>
      </c>
      <c r="BG6" s="1">
        <v>76745.709999999992</v>
      </c>
      <c r="BH6" s="1">
        <v>55748.98</v>
      </c>
      <c r="BI6" s="46">
        <v>21780.23</v>
      </c>
      <c r="BJ6" s="1">
        <v>0</v>
      </c>
      <c r="BK6" s="1">
        <v>0</v>
      </c>
      <c r="BL6">
        <v>0</v>
      </c>
    </row>
    <row r="7" spans="1:64" ht="15.5" x14ac:dyDescent="0.35">
      <c r="A7" t="s">
        <v>69</v>
      </c>
      <c r="B7" s="1">
        <v>737545.95</v>
      </c>
      <c r="C7" s="1">
        <v>630685.61</v>
      </c>
      <c r="D7" s="46">
        <v>624938.06000000006</v>
      </c>
      <c r="E7" s="1">
        <v>608178.83000000007</v>
      </c>
      <c r="F7" s="1">
        <v>599924.16</v>
      </c>
      <c r="G7" s="46">
        <v>596784.9</v>
      </c>
      <c r="H7" s="1">
        <v>571897.15999999992</v>
      </c>
      <c r="I7" s="1">
        <v>565384.1100000001</v>
      </c>
      <c r="J7" s="46">
        <v>565193.46</v>
      </c>
      <c r="K7" s="1">
        <v>563069.12</v>
      </c>
      <c r="L7" s="1">
        <v>549646.92999999993</v>
      </c>
      <c r="M7" s="46">
        <v>529829.86</v>
      </c>
      <c r="N7" s="1">
        <v>481913.7</v>
      </c>
      <c r="O7" s="1">
        <v>457476.99999999988</v>
      </c>
      <c r="P7" s="46">
        <v>442866.58</v>
      </c>
      <c r="Q7" s="1">
        <v>425863.73</v>
      </c>
      <c r="R7" s="1">
        <v>389616.41</v>
      </c>
      <c r="S7" s="46">
        <v>379259.43000000011</v>
      </c>
      <c r="T7" s="1">
        <v>361778.06</v>
      </c>
      <c r="U7" s="1">
        <v>347544.89</v>
      </c>
      <c r="V7" s="46">
        <v>334127.25</v>
      </c>
      <c r="W7" s="1">
        <v>324155.17999999988</v>
      </c>
      <c r="X7" s="1">
        <v>312378.18999999989</v>
      </c>
      <c r="Y7" s="46">
        <v>307073.52</v>
      </c>
      <c r="Z7" s="1">
        <v>292330.98</v>
      </c>
      <c r="AA7" s="1">
        <v>287618.74</v>
      </c>
      <c r="AB7" s="46">
        <v>273551.73</v>
      </c>
      <c r="AC7" s="1">
        <v>257511.38</v>
      </c>
      <c r="AD7" s="1">
        <v>250787.29</v>
      </c>
      <c r="AE7" s="46">
        <v>228906.93</v>
      </c>
      <c r="AF7" s="1">
        <v>225897.55</v>
      </c>
      <c r="AG7" s="1">
        <v>221656.11</v>
      </c>
      <c r="AH7" s="46">
        <v>221656.11</v>
      </c>
      <c r="AI7" s="1">
        <v>212789.07</v>
      </c>
      <c r="AJ7" s="1">
        <v>196808.58</v>
      </c>
      <c r="AK7" s="46">
        <v>170126.36</v>
      </c>
      <c r="AL7" s="1">
        <v>138547.94</v>
      </c>
      <c r="AM7" s="1">
        <v>136694.47</v>
      </c>
      <c r="AN7" s="46">
        <v>127259.41</v>
      </c>
      <c r="AO7" s="1">
        <v>118748.68</v>
      </c>
      <c r="AP7" s="1">
        <v>108896.41</v>
      </c>
      <c r="AQ7" s="46">
        <v>99144.85000000002</v>
      </c>
      <c r="AR7" s="1">
        <v>85384.27</v>
      </c>
      <c r="AS7" s="1">
        <v>85384.27</v>
      </c>
      <c r="AT7" s="46">
        <v>77282.520000000019</v>
      </c>
      <c r="AU7" s="1">
        <v>70519.11</v>
      </c>
      <c r="AV7" s="1">
        <v>64063</v>
      </c>
      <c r="AW7" s="46">
        <v>61523.039999999994</v>
      </c>
      <c r="AX7" s="1">
        <v>57945.05</v>
      </c>
      <c r="AY7" s="1">
        <v>56127.530000000013</v>
      </c>
      <c r="AZ7" s="46">
        <v>54727.51</v>
      </c>
      <c r="BA7" s="1">
        <v>52450.71</v>
      </c>
      <c r="BB7" s="1">
        <v>46247.63</v>
      </c>
      <c r="BC7" s="46">
        <v>41092.949999999997</v>
      </c>
      <c r="BD7" s="1">
        <v>32788.33</v>
      </c>
      <c r="BE7" s="1">
        <v>29722.41</v>
      </c>
      <c r="BF7" s="46">
        <v>28697.350000000009</v>
      </c>
      <c r="BG7" s="1">
        <v>23906.3</v>
      </c>
      <c r="BH7" s="1">
        <v>17315.740000000002</v>
      </c>
      <c r="BI7" s="46">
        <v>7583.7899999999991</v>
      </c>
      <c r="BJ7" s="1">
        <v>0</v>
      </c>
      <c r="BK7" s="1">
        <v>0</v>
      </c>
      <c r="BL7">
        <v>0</v>
      </c>
    </row>
    <row r="8" spans="1:64" ht="15.5" x14ac:dyDescent="0.35">
      <c r="A8" t="s">
        <v>70</v>
      </c>
      <c r="B8" s="1">
        <v>471769.89</v>
      </c>
      <c r="C8" s="1">
        <v>407200.31999999989</v>
      </c>
      <c r="D8" s="46">
        <v>404891.14</v>
      </c>
      <c r="E8" s="1">
        <v>394934.45</v>
      </c>
      <c r="F8" s="1">
        <v>389695.44</v>
      </c>
      <c r="G8" s="46">
        <v>387529.38</v>
      </c>
      <c r="H8" s="1">
        <v>373654.46</v>
      </c>
      <c r="I8" s="1">
        <v>368888.01</v>
      </c>
      <c r="J8" s="46">
        <v>367816.9</v>
      </c>
      <c r="K8" s="1">
        <v>366871.95</v>
      </c>
      <c r="L8" s="1">
        <v>359023.84</v>
      </c>
      <c r="M8" s="46">
        <v>349029.63</v>
      </c>
      <c r="N8" s="1">
        <v>318668.02</v>
      </c>
      <c r="O8" s="1">
        <v>303351.43</v>
      </c>
      <c r="P8" s="46">
        <v>296065.83</v>
      </c>
      <c r="Q8" s="1">
        <v>286005.09999999998</v>
      </c>
      <c r="R8" s="1">
        <v>262360.39</v>
      </c>
      <c r="S8" s="46">
        <v>253998.26</v>
      </c>
      <c r="T8" s="1">
        <v>243835.2</v>
      </c>
      <c r="U8" s="1">
        <v>236874.14</v>
      </c>
      <c r="V8" s="46">
        <v>227901.47</v>
      </c>
      <c r="W8" s="1">
        <v>221129.61</v>
      </c>
      <c r="X8" s="1">
        <v>209242.1</v>
      </c>
      <c r="Y8" s="46">
        <v>201067.91</v>
      </c>
      <c r="Z8" s="1">
        <v>191185.12</v>
      </c>
      <c r="AA8" s="1">
        <v>188022.56</v>
      </c>
      <c r="AB8" s="46">
        <v>179459.59</v>
      </c>
      <c r="AC8" s="1">
        <v>170025.13</v>
      </c>
      <c r="AD8" s="1">
        <v>165931.18</v>
      </c>
      <c r="AE8" s="46">
        <v>153502.01</v>
      </c>
      <c r="AF8" s="1">
        <v>151691.17000000001</v>
      </c>
      <c r="AG8" s="1">
        <v>148915.78</v>
      </c>
      <c r="AH8" s="46">
        <v>148915.78</v>
      </c>
      <c r="AI8" s="1">
        <v>143610.51</v>
      </c>
      <c r="AJ8" s="1">
        <v>133288.95000000001</v>
      </c>
      <c r="AK8" s="46">
        <v>114871.01</v>
      </c>
      <c r="AL8" s="1">
        <v>93729.600000000006</v>
      </c>
      <c r="AM8" s="1">
        <v>92700.110000000015</v>
      </c>
      <c r="AN8" s="46">
        <v>86071.82</v>
      </c>
      <c r="AO8" s="1">
        <v>79874.150000000009</v>
      </c>
      <c r="AP8" s="1">
        <v>73525.220000000016</v>
      </c>
      <c r="AQ8" s="46">
        <v>67105.88</v>
      </c>
      <c r="AR8" s="1">
        <v>57917.9</v>
      </c>
      <c r="AS8" s="1">
        <v>57917.9</v>
      </c>
      <c r="AT8" s="46">
        <v>52136.589999999989</v>
      </c>
      <c r="AU8" s="1">
        <v>48078.1</v>
      </c>
      <c r="AV8" s="1">
        <v>43428.66</v>
      </c>
      <c r="AW8" s="46">
        <v>41985.679999999993</v>
      </c>
      <c r="AX8" s="1">
        <v>39533.639999999992</v>
      </c>
      <c r="AY8" s="1">
        <v>38609.179999999993</v>
      </c>
      <c r="AZ8" s="46">
        <v>37739.58</v>
      </c>
      <c r="BA8" s="1">
        <v>36426.36</v>
      </c>
      <c r="BB8" s="1">
        <v>32140.799999999999</v>
      </c>
      <c r="BC8" s="46">
        <v>29225.96</v>
      </c>
      <c r="BD8" s="1">
        <v>23186.16</v>
      </c>
      <c r="BE8" s="1">
        <v>21269.45</v>
      </c>
      <c r="BF8" s="46">
        <v>20623.95</v>
      </c>
      <c r="BG8" s="1">
        <v>17200.02</v>
      </c>
      <c r="BH8" s="1">
        <v>12278.2</v>
      </c>
      <c r="BI8" s="46">
        <v>6155.44</v>
      </c>
      <c r="BJ8" s="1">
        <v>0</v>
      </c>
      <c r="BK8" s="1">
        <v>0</v>
      </c>
      <c r="BL8">
        <v>0</v>
      </c>
    </row>
    <row r="9" spans="1:64" ht="15.5" x14ac:dyDescent="0.35">
      <c r="A9" t="s">
        <v>71</v>
      </c>
      <c r="B9" s="1">
        <v>22977696.309999999</v>
      </c>
      <c r="C9" s="1">
        <v>12435449.949999999</v>
      </c>
      <c r="D9" s="46">
        <v>12223543.25</v>
      </c>
      <c r="E9" s="1">
        <v>11431550.91</v>
      </c>
      <c r="F9" s="1">
        <v>11117319.939999999</v>
      </c>
      <c r="G9" s="46">
        <v>11048284.17</v>
      </c>
      <c r="H9" s="1">
        <v>10307242.449999999</v>
      </c>
      <c r="I9" s="1">
        <v>10068142.359999999</v>
      </c>
      <c r="J9" s="46">
        <v>10000576.529999999</v>
      </c>
      <c r="K9" s="1">
        <v>9890029.0899999999</v>
      </c>
      <c r="L9" s="1">
        <v>9165476.879999999</v>
      </c>
      <c r="M9" s="46">
        <v>8572543.3999999985</v>
      </c>
      <c r="N9" s="1">
        <v>7821197.3000000007</v>
      </c>
      <c r="O9" s="1">
        <v>7330808.79</v>
      </c>
      <c r="P9" s="46">
        <v>6855876.3300000001</v>
      </c>
      <c r="Q9" s="1">
        <v>6562705.0100000007</v>
      </c>
      <c r="R9" s="1">
        <v>6094363.4000000004</v>
      </c>
      <c r="S9" s="46">
        <v>5823487.7799999993</v>
      </c>
      <c r="T9" s="1">
        <v>5456953.1999999993</v>
      </c>
      <c r="U9" s="1">
        <v>5147949.1199999992</v>
      </c>
      <c r="V9" s="46">
        <v>4897613.04</v>
      </c>
      <c r="W9" s="1">
        <v>4700357.82</v>
      </c>
      <c r="X9" s="1">
        <v>4237782.75</v>
      </c>
      <c r="Y9" s="46">
        <v>3924317.36</v>
      </c>
      <c r="Z9" s="1">
        <v>3677687.439999999</v>
      </c>
      <c r="AA9" s="1">
        <v>3532245.76</v>
      </c>
      <c r="AB9" s="46">
        <v>3284596.08</v>
      </c>
      <c r="AC9" s="1">
        <v>2901091.62</v>
      </c>
      <c r="AD9" s="1">
        <v>2805662.45</v>
      </c>
      <c r="AE9" s="46">
        <v>2528706.5299999998</v>
      </c>
      <c r="AF9" s="1">
        <v>2490140.5099999998</v>
      </c>
      <c r="AG9" s="1">
        <v>2457639.6800000002</v>
      </c>
      <c r="AH9" s="46">
        <v>2457639.6800000002</v>
      </c>
      <c r="AI9" s="1">
        <v>2333189.3199999998</v>
      </c>
      <c r="AJ9" s="1">
        <v>2255127.7400000002</v>
      </c>
      <c r="AK9" s="46">
        <v>2119626.59</v>
      </c>
      <c r="AL9" s="1">
        <v>1657802.6</v>
      </c>
      <c r="AM9" s="1">
        <v>1566906.3</v>
      </c>
      <c r="AN9" s="46">
        <v>1425989.95</v>
      </c>
      <c r="AO9" s="1">
        <v>1209185.2</v>
      </c>
      <c r="AP9" s="1">
        <v>1030103.72</v>
      </c>
      <c r="AQ9" s="46">
        <v>867737.94</v>
      </c>
      <c r="AR9" s="1">
        <v>644683.09</v>
      </c>
      <c r="AS9" s="1">
        <v>644683.09</v>
      </c>
      <c r="AT9" s="46">
        <v>503415.48</v>
      </c>
      <c r="AU9" s="1">
        <v>380671.47</v>
      </c>
      <c r="AV9" s="1">
        <v>287506.86</v>
      </c>
      <c r="AW9" s="46">
        <v>272181.21000000002</v>
      </c>
      <c r="AX9" s="1">
        <v>232819.28</v>
      </c>
      <c r="AY9" s="1">
        <v>215053.18</v>
      </c>
      <c r="AZ9" s="46">
        <v>184597.14</v>
      </c>
      <c r="BA9" s="1">
        <v>159818.21</v>
      </c>
      <c r="BB9" s="1">
        <v>139927.04000000001</v>
      </c>
      <c r="BC9" s="46">
        <v>124323</v>
      </c>
      <c r="BD9" s="1">
        <v>66731.69</v>
      </c>
      <c r="BE9" s="1">
        <v>49592.610000000008</v>
      </c>
      <c r="BF9" s="46">
        <v>46150.76</v>
      </c>
      <c r="BG9" s="1">
        <v>38830.339999999997</v>
      </c>
      <c r="BH9" s="1">
        <v>23517.77</v>
      </c>
      <c r="BI9" s="46">
        <v>12696.95</v>
      </c>
      <c r="BJ9" s="1">
        <v>0</v>
      </c>
      <c r="BK9" s="1">
        <v>0</v>
      </c>
      <c r="BL9">
        <v>0</v>
      </c>
    </row>
    <row r="10" spans="1:64" ht="15.5" x14ac:dyDescent="0.35">
      <c r="A10" t="s">
        <v>72</v>
      </c>
      <c r="B10" s="1">
        <v>13257587.720000001</v>
      </c>
      <c r="C10" s="1">
        <v>8080983.3399999999</v>
      </c>
      <c r="D10" s="46">
        <v>7963378.6899999985</v>
      </c>
      <c r="E10" s="1">
        <v>7576470.3299999991</v>
      </c>
      <c r="F10" s="1">
        <v>7433785.8399999999</v>
      </c>
      <c r="G10" s="46">
        <v>7405436.6599999992</v>
      </c>
      <c r="H10" s="1">
        <v>7025374.9500000002</v>
      </c>
      <c r="I10" s="1">
        <v>6874342.1699999999</v>
      </c>
      <c r="J10" s="46">
        <v>6851788.2599999998</v>
      </c>
      <c r="K10" s="1">
        <v>6830399.0599999996</v>
      </c>
      <c r="L10" s="1">
        <v>6562993.1699999999</v>
      </c>
      <c r="M10" s="46">
        <v>6384230.5599999996</v>
      </c>
      <c r="N10" s="1">
        <v>5963135.8599999994</v>
      </c>
      <c r="O10" s="1">
        <v>5586774.1400000006</v>
      </c>
      <c r="P10" s="46">
        <v>5363876.1899999985</v>
      </c>
      <c r="Q10" s="1">
        <v>5188050.7300000004</v>
      </c>
      <c r="R10" s="1">
        <v>4855830.2299999986</v>
      </c>
      <c r="S10" s="46">
        <v>4610476.58</v>
      </c>
      <c r="T10" s="1">
        <v>4337029.68</v>
      </c>
      <c r="U10" s="1">
        <v>4104176.5999999992</v>
      </c>
      <c r="V10" s="46">
        <v>3896057.669999999</v>
      </c>
      <c r="W10" s="1">
        <v>3753724.399999999</v>
      </c>
      <c r="X10" s="1">
        <v>3463700.0299999989</v>
      </c>
      <c r="Y10" s="46">
        <v>3240230.83</v>
      </c>
      <c r="Z10" s="1">
        <v>3044243.56</v>
      </c>
      <c r="AA10" s="1">
        <v>2918448.31</v>
      </c>
      <c r="AB10" s="46">
        <v>2699058.17</v>
      </c>
      <c r="AC10" s="1">
        <v>2365119.3199999998</v>
      </c>
      <c r="AD10" s="1">
        <v>2278897.92</v>
      </c>
      <c r="AE10" s="46">
        <v>2132416.04</v>
      </c>
      <c r="AF10" s="1">
        <v>2093850.02</v>
      </c>
      <c r="AG10" s="1">
        <v>2061349.19</v>
      </c>
      <c r="AH10" s="46">
        <v>2061349.19</v>
      </c>
      <c r="AI10" s="1">
        <v>1949932.9</v>
      </c>
      <c r="AJ10" s="1">
        <v>1875079.43</v>
      </c>
      <c r="AK10" s="46">
        <v>1746762.31</v>
      </c>
      <c r="AL10" s="1">
        <v>1429138.35</v>
      </c>
      <c r="AM10" s="1">
        <v>1345966.37</v>
      </c>
      <c r="AN10" s="46">
        <v>1220899.03</v>
      </c>
      <c r="AO10" s="1">
        <v>1038555.19</v>
      </c>
      <c r="AP10" s="1">
        <v>862786.7200000002</v>
      </c>
      <c r="AQ10" s="46">
        <v>707880.39999999991</v>
      </c>
      <c r="AR10" s="1">
        <v>500573.64</v>
      </c>
      <c r="AS10" s="1">
        <v>500573.64</v>
      </c>
      <c r="AT10" s="46">
        <v>424783.76000000013</v>
      </c>
      <c r="AU10" s="1">
        <v>345252.83</v>
      </c>
      <c r="AV10" s="1">
        <v>284101.44</v>
      </c>
      <c r="AW10" s="46">
        <v>268775.78999999998</v>
      </c>
      <c r="AX10" s="1">
        <v>229413.86</v>
      </c>
      <c r="AY10" s="1">
        <v>211647.76</v>
      </c>
      <c r="AZ10" s="46">
        <v>181191.72</v>
      </c>
      <c r="BA10" s="1">
        <v>159818.21</v>
      </c>
      <c r="BB10" s="1">
        <v>139927.04000000001</v>
      </c>
      <c r="BC10" s="46">
        <v>124323</v>
      </c>
      <c r="BD10" s="1">
        <v>66731.69</v>
      </c>
      <c r="BE10" s="1">
        <v>49592.610000000008</v>
      </c>
      <c r="BF10" s="46">
        <v>46150.76</v>
      </c>
      <c r="BG10" s="1">
        <v>38830.339999999997</v>
      </c>
      <c r="BH10" s="1">
        <v>23517.77</v>
      </c>
      <c r="BI10" s="46">
        <v>12696.95</v>
      </c>
      <c r="BJ10" s="1">
        <v>0</v>
      </c>
      <c r="BK10" s="1">
        <v>0</v>
      </c>
      <c r="BL10">
        <v>0</v>
      </c>
    </row>
    <row r="11" spans="1:64" ht="15.5" x14ac:dyDescent="0.35">
      <c r="A11" t="s">
        <v>73</v>
      </c>
      <c r="B11" s="1">
        <v>201610.65</v>
      </c>
      <c r="C11" s="1">
        <v>179272.35</v>
      </c>
      <c r="D11" s="46">
        <v>174288.46</v>
      </c>
      <c r="E11" s="1">
        <v>172803.7</v>
      </c>
      <c r="F11" s="1">
        <v>171651.83</v>
      </c>
      <c r="G11" s="46">
        <v>171205.33</v>
      </c>
      <c r="H11" s="1">
        <v>168398.86</v>
      </c>
      <c r="I11" s="1">
        <v>167193.14000000001</v>
      </c>
      <c r="J11" s="46">
        <v>167133.14000000001</v>
      </c>
      <c r="K11" s="1">
        <v>167013.14000000001</v>
      </c>
      <c r="L11" s="1">
        <v>164170.66</v>
      </c>
      <c r="M11" s="46">
        <v>163390.66</v>
      </c>
      <c r="N11" s="1">
        <v>151748.51</v>
      </c>
      <c r="O11" s="1">
        <v>146275.43</v>
      </c>
      <c r="P11" s="46">
        <v>145308.93</v>
      </c>
      <c r="Q11" s="1">
        <v>140651.81</v>
      </c>
      <c r="R11" s="1">
        <v>132877.85999999999</v>
      </c>
      <c r="S11" s="46">
        <v>127240.21</v>
      </c>
      <c r="T11" s="1">
        <v>120023.22</v>
      </c>
      <c r="U11" s="1">
        <v>107289.47</v>
      </c>
      <c r="V11" s="46">
        <v>102814.81</v>
      </c>
      <c r="W11" s="1">
        <v>95902.290000000008</v>
      </c>
      <c r="X11" s="1">
        <v>94995.790000000008</v>
      </c>
      <c r="Y11" s="46">
        <v>91530.86</v>
      </c>
      <c r="Z11" s="1">
        <v>87237.950000000012</v>
      </c>
      <c r="AA11" s="1">
        <v>87037.950000000012</v>
      </c>
      <c r="AB11" s="46">
        <v>78823.3</v>
      </c>
      <c r="AC11" s="1">
        <v>78103.3</v>
      </c>
      <c r="AD11" s="1">
        <v>75088.87</v>
      </c>
      <c r="AE11" s="46">
        <v>68947.5</v>
      </c>
      <c r="AF11" s="1">
        <v>67609.11</v>
      </c>
      <c r="AG11" s="1">
        <v>67489.11</v>
      </c>
      <c r="AH11" s="46">
        <v>67489.11</v>
      </c>
      <c r="AI11" s="1">
        <v>66866.61</v>
      </c>
      <c r="AJ11" s="1">
        <v>64754.11</v>
      </c>
      <c r="AK11" s="46">
        <v>54191.93</v>
      </c>
      <c r="AL11" s="1">
        <v>47052.25</v>
      </c>
      <c r="AM11" s="1">
        <v>46932.25</v>
      </c>
      <c r="AN11" s="46">
        <v>45604.75</v>
      </c>
      <c r="AO11" s="1">
        <v>34648.19</v>
      </c>
      <c r="AP11" s="1">
        <v>32938.19</v>
      </c>
      <c r="AQ11" s="46">
        <v>28507.55</v>
      </c>
      <c r="AR11" s="1">
        <v>23125.95</v>
      </c>
      <c r="AS11" s="1">
        <v>23125.95</v>
      </c>
      <c r="AT11" s="46">
        <v>17007.07</v>
      </c>
      <c r="AU11" s="1">
        <v>16767.07</v>
      </c>
      <c r="AV11" s="1">
        <v>8414.19</v>
      </c>
      <c r="AW11" s="46">
        <v>8354.19</v>
      </c>
      <c r="AX11" s="1">
        <v>7101.62</v>
      </c>
      <c r="AY11" s="1">
        <v>7041.62</v>
      </c>
      <c r="AZ11" s="46">
        <v>6921.62</v>
      </c>
      <c r="BA11" s="1">
        <v>6861.62</v>
      </c>
      <c r="BB11" s="1">
        <v>6741.62</v>
      </c>
      <c r="BC11" s="46">
        <v>6561.62</v>
      </c>
      <c r="BD11" s="1">
        <v>4125.0200000000004</v>
      </c>
      <c r="BE11" s="1">
        <v>3682.52</v>
      </c>
      <c r="BF11" s="46">
        <v>3300.02</v>
      </c>
      <c r="BG11" s="1">
        <v>2475.02</v>
      </c>
      <c r="BH11" s="1">
        <v>2415.02</v>
      </c>
      <c r="BI11" s="46">
        <v>1530.02</v>
      </c>
      <c r="BJ11" s="1">
        <v>0</v>
      </c>
      <c r="BK11" s="1">
        <v>0</v>
      </c>
      <c r="BL11">
        <v>0</v>
      </c>
    </row>
    <row r="12" spans="1:64" ht="15.5" x14ac:dyDescent="0.35">
      <c r="A12" t="s">
        <v>74</v>
      </c>
      <c r="B12" s="1">
        <v>180978021.56999999</v>
      </c>
      <c r="C12" s="1">
        <v>153210318.09</v>
      </c>
      <c r="D12" s="46">
        <v>151948268.83000001</v>
      </c>
      <c r="E12" s="1">
        <v>147986520.46000001</v>
      </c>
      <c r="F12" s="1">
        <v>145912329.93000001</v>
      </c>
      <c r="G12" s="46">
        <v>145131079.93000001</v>
      </c>
      <c r="H12" s="1">
        <v>139016250.97999999</v>
      </c>
      <c r="I12" s="1">
        <v>137173218.31999999</v>
      </c>
      <c r="J12" s="46">
        <v>136744773.31999999</v>
      </c>
      <c r="K12" s="1">
        <v>136249164.30000001</v>
      </c>
      <c r="L12" s="1">
        <v>132104664.45</v>
      </c>
      <c r="M12" s="46">
        <v>127507443.19</v>
      </c>
      <c r="N12" s="1">
        <v>117223323.63</v>
      </c>
      <c r="O12" s="1">
        <v>112108840.83</v>
      </c>
      <c r="P12" s="46">
        <v>108258010.25</v>
      </c>
      <c r="Q12" s="1">
        <v>104479342.06999999</v>
      </c>
      <c r="R12" s="1">
        <v>96581095.379999995</v>
      </c>
      <c r="S12" s="46">
        <v>93837215.180000007</v>
      </c>
      <c r="T12" s="1">
        <v>89240027.060000002</v>
      </c>
      <c r="U12" s="1">
        <v>85863939.840000004</v>
      </c>
      <c r="V12" s="46">
        <v>82914237.859999999</v>
      </c>
      <c r="W12" s="1">
        <v>80525875.75999999</v>
      </c>
      <c r="X12" s="1">
        <v>76729938.439999998</v>
      </c>
      <c r="Y12" s="46">
        <v>74509767.900000006</v>
      </c>
      <c r="Z12" s="1">
        <v>71039290.460000008</v>
      </c>
      <c r="AA12" s="1">
        <v>69734215.180000007</v>
      </c>
      <c r="AB12" s="46">
        <v>66153890.25</v>
      </c>
      <c r="AC12" s="1">
        <v>62354725.150000013</v>
      </c>
      <c r="AD12" s="1">
        <v>60799102.729999997</v>
      </c>
      <c r="AE12" s="46">
        <v>56103637.880000003</v>
      </c>
      <c r="AF12" s="1">
        <v>55324298.390000001</v>
      </c>
      <c r="AG12" s="1">
        <v>54371409.859999999</v>
      </c>
      <c r="AH12" s="46">
        <v>54371409.859999999</v>
      </c>
      <c r="AI12" s="1">
        <v>52327656.520000003</v>
      </c>
      <c r="AJ12" s="1">
        <v>48690074.829999998</v>
      </c>
      <c r="AK12" s="46">
        <v>42704586.790000007</v>
      </c>
      <c r="AL12" s="1">
        <v>35549892.900000013</v>
      </c>
      <c r="AM12" s="1">
        <v>35035142.899999999</v>
      </c>
      <c r="AN12" s="46">
        <v>32344317.52</v>
      </c>
      <c r="AO12" s="1">
        <v>29930024.09</v>
      </c>
      <c r="AP12" s="1">
        <v>27246663.18</v>
      </c>
      <c r="AQ12" s="46">
        <v>24703132.84</v>
      </c>
      <c r="AR12" s="1">
        <v>21440249.600000001</v>
      </c>
      <c r="AS12" s="1">
        <v>21440249.600000001</v>
      </c>
      <c r="AT12" s="46">
        <v>19133082.469999999</v>
      </c>
      <c r="AU12" s="1">
        <v>17430515.699999999</v>
      </c>
      <c r="AV12" s="1">
        <v>15724376.359999999</v>
      </c>
      <c r="AW12" s="46">
        <v>15147183.380000001</v>
      </c>
      <c r="AX12" s="1">
        <v>14265237.939999999</v>
      </c>
      <c r="AY12" s="1">
        <v>13803004.529999999</v>
      </c>
      <c r="AZ12" s="46">
        <v>13422738.98</v>
      </c>
      <c r="BA12" s="1">
        <v>12897449.51</v>
      </c>
      <c r="BB12" s="1">
        <v>11309784.779999999</v>
      </c>
      <c r="BC12" s="46">
        <v>10143846.890000001</v>
      </c>
      <c r="BD12" s="1">
        <v>8053369.3099999996</v>
      </c>
      <c r="BE12" s="1">
        <v>7271913.5300000003</v>
      </c>
      <c r="BF12" s="46">
        <v>7004807.7599999998</v>
      </c>
      <c r="BG12" s="1">
        <v>5729167.2699999996</v>
      </c>
      <c r="BH12" s="1">
        <v>4252618.9700000007</v>
      </c>
      <c r="BI12" s="46">
        <v>1773259.81</v>
      </c>
      <c r="BJ12" s="1">
        <v>0</v>
      </c>
      <c r="BK12" s="1">
        <v>0</v>
      </c>
      <c r="BL12">
        <v>0</v>
      </c>
    </row>
    <row r="13" spans="1:64" ht="15.5" x14ac:dyDescent="0.35">
      <c r="A13" t="s">
        <v>75</v>
      </c>
      <c r="B13" s="1">
        <v>112144365.36</v>
      </c>
      <c r="C13" s="1">
        <v>105111356.59</v>
      </c>
      <c r="D13" s="46">
        <v>102376320.63</v>
      </c>
      <c r="E13" s="1">
        <v>98605757.670000002</v>
      </c>
      <c r="F13" s="1">
        <v>95859915.349999994</v>
      </c>
      <c r="G13" s="46">
        <v>93562886.61999999</v>
      </c>
      <c r="H13" s="1">
        <v>89161928.689999998</v>
      </c>
      <c r="I13" s="1">
        <v>86476122.730000004</v>
      </c>
      <c r="J13" s="46">
        <v>84444581.820000008</v>
      </c>
      <c r="K13" s="1">
        <v>82279337.309999987</v>
      </c>
      <c r="L13" s="1">
        <v>79125102.640000001</v>
      </c>
      <c r="M13" s="46">
        <v>75552720.359999985</v>
      </c>
      <c r="N13" s="1">
        <v>68696729.319999993</v>
      </c>
      <c r="O13" s="1">
        <v>64516328.929999992</v>
      </c>
      <c r="P13" s="46">
        <v>61542210.170000002</v>
      </c>
      <c r="Q13" s="1">
        <v>58238919.299999997</v>
      </c>
      <c r="R13" s="1">
        <v>52997014.469999991</v>
      </c>
      <c r="S13" s="46">
        <v>50923658.349999987</v>
      </c>
      <c r="T13" s="1">
        <v>47804518.700000003</v>
      </c>
      <c r="U13" s="1">
        <v>45305155.710000001</v>
      </c>
      <c r="V13" s="46">
        <v>42994851.819999993</v>
      </c>
      <c r="W13" s="1">
        <v>41079028.050000012</v>
      </c>
      <c r="X13" s="1">
        <v>38951942.25</v>
      </c>
      <c r="Y13" s="46">
        <v>37524986.659999996</v>
      </c>
      <c r="Z13" s="1">
        <v>35534346.859999999</v>
      </c>
      <c r="AA13" s="1">
        <v>34415055.829999998</v>
      </c>
      <c r="AB13" s="46">
        <v>32736575.640000001</v>
      </c>
      <c r="AC13" s="1">
        <v>30459593.010000002</v>
      </c>
      <c r="AD13" s="1">
        <v>29293861.870000001</v>
      </c>
      <c r="AE13" s="46">
        <v>26399582.550000001</v>
      </c>
      <c r="AF13" s="1">
        <v>25461883.77</v>
      </c>
      <c r="AG13" s="1">
        <v>24445071.75999999</v>
      </c>
      <c r="AH13" s="46">
        <v>23730703.79999999</v>
      </c>
      <c r="AI13" s="1">
        <v>22449051.829999998</v>
      </c>
      <c r="AJ13" s="1">
        <v>20298934.300000001</v>
      </c>
      <c r="AK13" s="46">
        <v>16875186.330000009</v>
      </c>
      <c r="AL13" s="1">
        <v>13709957.789999999</v>
      </c>
      <c r="AM13" s="1">
        <v>13063488.52999999</v>
      </c>
      <c r="AN13" s="46">
        <v>12015112.669999991</v>
      </c>
      <c r="AO13" s="1">
        <v>11176423.249999991</v>
      </c>
      <c r="AP13" s="1">
        <v>10052883.899999989</v>
      </c>
      <c r="AQ13" s="46">
        <v>9159043.9199999943</v>
      </c>
      <c r="AR13" s="1">
        <v>7808893.9099999946</v>
      </c>
      <c r="AS13" s="1">
        <v>7534547.2199999951</v>
      </c>
      <c r="AT13" s="46">
        <v>6955467.4000000022</v>
      </c>
      <c r="AU13" s="1">
        <v>6299129.5200000014</v>
      </c>
      <c r="AV13" s="1">
        <v>5565394.4299999997</v>
      </c>
      <c r="AW13" s="46">
        <v>5191162.4800000004</v>
      </c>
      <c r="AX13" s="1">
        <v>4764551.3900000025</v>
      </c>
      <c r="AY13" s="1">
        <v>4334182.57</v>
      </c>
      <c r="AZ13" s="46">
        <v>4072536.310000001</v>
      </c>
      <c r="BA13" s="1">
        <v>3750622.9000000008</v>
      </c>
      <c r="BB13" s="1">
        <v>3254218.5299999989</v>
      </c>
      <c r="BC13" s="46">
        <v>2668239.560000001</v>
      </c>
      <c r="BD13" s="1">
        <v>2127698.8699999992</v>
      </c>
      <c r="BE13" s="1">
        <v>1868213.4</v>
      </c>
      <c r="BF13" s="46">
        <v>1713325.889999999</v>
      </c>
      <c r="BG13" s="1">
        <v>1326416.08</v>
      </c>
      <c r="BH13" s="1">
        <v>1011929.14</v>
      </c>
      <c r="BI13" s="46">
        <v>496230.26</v>
      </c>
      <c r="BJ13" s="1">
        <v>0</v>
      </c>
      <c r="BK13" s="1">
        <v>0</v>
      </c>
      <c r="BL13">
        <v>0</v>
      </c>
    </row>
    <row r="14" spans="1:64" ht="15.5" x14ac:dyDescent="0.35">
      <c r="A14" t="s">
        <v>76</v>
      </c>
      <c r="B14" s="1">
        <v>0</v>
      </c>
      <c r="C14" s="1">
        <v>0</v>
      </c>
      <c r="D14" s="46">
        <v>0</v>
      </c>
      <c r="E14" s="1">
        <v>0</v>
      </c>
      <c r="F14" s="1">
        <v>0</v>
      </c>
      <c r="G14" s="46">
        <v>0</v>
      </c>
      <c r="H14" s="1">
        <v>0</v>
      </c>
      <c r="I14" s="1">
        <v>0</v>
      </c>
      <c r="J14" s="46">
        <v>0</v>
      </c>
      <c r="K14" s="1">
        <v>0</v>
      </c>
      <c r="L14" s="1">
        <v>0</v>
      </c>
      <c r="M14" s="46">
        <v>0</v>
      </c>
      <c r="N14" s="1">
        <v>0</v>
      </c>
      <c r="O14" s="1">
        <v>0</v>
      </c>
      <c r="P14" s="46">
        <v>0</v>
      </c>
      <c r="Q14" s="1">
        <v>0</v>
      </c>
      <c r="R14" s="1">
        <v>0</v>
      </c>
      <c r="S14" s="46">
        <v>0</v>
      </c>
      <c r="T14" s="1">
        <v>0</v>
      </c>
      <c r="U14" s="1">
        <v>0</v>
      </c>
      <c r="V14" s="46">
        <v>0</v>
      </c>
      <c r="W14" s="1">
        <v>0</v>
      </c>
      <c r="X14" s="1">
        <v>0</v>
      </c>
      <c r="Y14" s="46">
        <v>0</v>
      </c>
      <c r="Z14" s="1">
        <v>0</v>
      </c>
      <c r="AA14" s="1">
        <v>0</v>
      </c>
      <c r="AB14" s="46">
        <v>0</v>
      </c>
      <c r="AC14" s="1">
        <v>0</v>
      </c>
      <c r="AD14" s="1">
        <v>0</v>
      </c>
      <c r="AE14" s="46">
        <v>0</v>
      </c>
      <c r="AF14" s="1">
        <v>0</v>
      </c>
      <c r="AG14" s="1">
        <v>0</v>
      </c>
      <c r="AH14" s="46">
        <v>0</v>
      </c>
      <c r="AI14" s="1">
        <v>0</v>
      </c>
      <c r="AJ14" s="1">
        <v>0</v>
      </c>
      <c r="AK14" s="46">
        <v>0</v>
      </c>
      <c r="AL14" s="1">
        <v>0</v>
      </c>
      <c r="AM14" s="1">
        <v>0</v>
      </c>
      <c r="AN14" s="46">
        <v>0</v>
      </c>
      <c r="AO14" s="1">
        <v>0</v>
      </c>
      <c r="AP14" s="1">
        <v>0</v>
      </c>
      <c r="AQ14" s="46">
        <v>0</v>
      </c>
      <c r="AR14" s="1">
        <v>0</v>
      </c>
      <c r="AS14" s="1">
        <v>0</v>
      </c>
      <c r="AT14" s="46">
        <v>0</v>
      </c>
      <c r="AU14" s="1">
        <v>0</v>
      </c>
      <c r="AV14" s="1">
        <v>0</v>
      </c>
      <c r="AW14" s="46">
        <v>0</v>
      </c>
      <c r="AX14" s="1">
        <v>0</v>
      </c>
      <c r="AY14" s="1">
        <v>0</v>
      </c>
      <c r="AZ14" s="46">
        <v>0</v>
      </c>
      <c r="BA14" s="1">
        <v>0</v>
      </c>
      <c r="BB14" s="1">
        <v>0</v>
      </c>
      <c r="BC14" s="46">
        <v>0</v>
      </c>
      <c r="BD14" s="1">
        <v>0</v>
      </c>
      <c r="BE14" s="1">
        <v>0</v>
      </c>
      <c r="BF14" s="46">
        <v>0</v>
      </c>
      <c r="BG14" s="1">
        <v>0</v>
      </c>
      <c r="BH14" s="1">
        <v>0</v>
      </c>
      <c r="BI14" s="46">
        <v>0</v>
      </c>
      <c r="BJ14" s="1">
        <v>0</v>
      </c>
      <c r="BK14" s="1">
        <v>0</v>
      </c>
      <c r="BL14">
        <v>0</v>
      </c>
    </row>
    <row r="15" spans="1:64" ht="15.5" x14ac:dyDescent="0.35">
      <c r="A15" t="s">
        <v>77</v>
      </c>
      <c r="B15" s="1">
        <v>0</v>
      </c>
      <c r="C15" s="1">
        <v>94</v>
      </c>
      <c r="D15" s="46">
        <v>4</v>
      </c>
      <c r="E15" s="1">
        <v>10</v>
      </c>
      <c r="F15" s="1">
        <v>5</v>
      </c>
      <c r="G15" s="46">
        <v>1</v>
      </c>
      <c r="H15" s="1">
        <v>21</v>
      </c>
      <c r="I15" s="1">
        <v>6</v>
      </c>
      <c r="J15" s="46">
        <v>1</v>
      </c>
      <c r="K15" s="1">
        <v>2</v>
      </c>
      <c r="L15" s="1">
        <v>21</v>
      </c>
      <c r="M15" s="46">
        <v>13</v>
      </c>
      <c r="N15" s="1">
        <v>31</v>
      </c>
      <c r="O15" s="1">
        <v>11</v>
      </c>
      <c r="P15" s="46">
        <v>11</v>
      </c>
      <c r="Q15" s="1">
        <v>10</v>
      </c>
      <c r="R15" s="1">
        <v>17</v>
      </c>
      <c r="S15" s="46">
        <v>6</v>
      </c>
      <c r="T15" s="1">
        <v>10</v>
      </c>
      <c r="U15" s="1">
        <v>9</v>
      </c>
      <c r="V15" s="46">
        <v>7</v>
      </c>
      <c r="W15" s="1">
        <v>5</v>
      </c>
      <c r="X15" s="1">
        <v>9</v>
      </c>
      <c r="Y15" s="46">
        <v>5</v>
      </c>
      <c r="Z15" s="1">
        <v>6</v>
      </c>
      <c r="AA15" s="1">
        <v>2</v>
      </c>
      <c r="AB15" s="46">
        <v>6</v>
      </c>
      <c r="AC15" s="1">
        <v>10</v>
      </c>
      <c r="AD15" s="1">
        <v>3</v>
      </c>
      <c r="AE15" s="46">
        <v>11</v>
      </c>
      <c r="AF15" s="1">
        <v>2</v>
      </c>
      <c r="AG15" s="1">
        <v>1</v>
      </c>
      <c r="AH15" s="46">
        <v>0</v>
      </c>
      <c r="AI15" s="1">
        <v>4</v>
      </c>
      <c r="AJ15" s="1">
        <v>7</v>
      </c>
      <c r="AK15" s="46">
        <v>27</v>
      </c>
      <c r="AL15" s="1">
        <v>18</v>
      </c>
      <c r="AM15" s="1">
        <v>2</v>
      </c>
      <c r="AN15" s="46">
        <v>5</v>
      </c>
      <c r="AO15" s="1">
        <v>3</v>
      </c>
      <c r="AP15" s="1">
        <v>7</v>
      </c>
      <c r="AQ15" s="46">
        <v>4</v>
      </c>
      <c r="AR15" s="1">
        <v>8</v>
      </c>
      <c r="AS15" s="1">
        <v>0</v>
      </c>
      <c r="AT15" s="46">
        <v>3</v>
      </c>
      <c r="AU15" s="1">
        <v>4</v>
      </c>
      <c r="AV15" s="1">
        <v>3</v>
      </c>
      <c r="AW15" s="46">
        <v>1</v>
      </c>
      <c r="AX15" s="1">
        <v>3</v>
      </c>
      <c r="AY15" s="1">
        <v>1</v>
      </c>
      <c r="AZ15" s="46">
        <v>2</v>
      </c>
      <c r="BA15" s="1">
        <v>1</v>
      </c>
      <c r="BB15" s="1">
        <v>1</v>
      </c>
      <c r="BC15" s="46">
        <v>2</v>
      </c>
      <c r="BD15" s="1">
        <v>5</v>
      </c>
      <c r="BE15" s="1">
        <v>2</v>
      </c>
      <c r="BF15" s="46">
        <v>1</v>
      </c>
      <c r="BG15" s="1">
        <v>2</v>
      </c>
      <c r="BH15" s="1">
        <v>1</v>
      </c>
      <c r="BI15" s="46">
        <v>4</v>
      </c>
      <c r="BJ15" s="1">
        <v>4</v>
      </c>
      <c r="BK15" s="1">
        <v>0</v>
      </c>
      <c r="BL15">
        <v>0</v>
      </c>
    </row>
    <row r="16" spans="1:64" ht="15.5" x14ac:dyDescent="0.35">
      <c r="A16" t="s">
        <v>78</v>
      </c>
      <c r="B16" s="1">
        <v>0</v>
      </c>
      <c r="C16" s="1">
        <v>4</v>
      </c>
      <c r="D16" s="46">
        <v>0</v>
      </c>
      <c r="E16" s="1">
        <v>0</v>
      </c>
      <c r="F16" s="1">
        <v>1</v>
      </c>
      <c r="G16" s="46">
        <v>1</v>
      </c>
      <c r="H16" s="1">
        <v>1</v>
      </c>
      <c r="I16" s="1">
        <v>1</v>
      </c>
      <c r="J16" s="46">
        <v>0</v>
      </c>
      <c r="K16" s="1">
        <v>0</v>
      </c>
      <c r="L16" s="1">
        <v>1</v>
      </c>
      <c r="M16" s="46">
        <v>1</v>
      </c>
      <c r="N16" s="1">
        <v>0</v>
      </c>
      <c r="O16" s="1">
        <v>0</v>
      </c>
      <c r="P16" s="46">
        <v>0</v>
      </c>
      <c r="Q16" s="1">
        <v>0</v>
      </c>
      <c r="R16" s="1">
        <v>1</v>
      </c>
      <c r="S16" s="46">
        <v>0</v>
      </c>
      <c r="T16" s="1">
        <v>0</v>
      </c>
      <c r="U16" s="1">
        <v>0</v>
      </c>
      <c r="V16" s="46">
        <v>0</v>
      </c>
      <c r="W16" s="1">
        <v>1</v>
      </c>
      <c r="X16" s="1">
        <v>1</v>
      </c>
      <c r="Y16" s="46">
        <v>1</v>
      </c>
      <c r="Z16" s="1">
        <v>1</v>
      </c>
      <c r="AA16" s="1">
        <v>1</v>
      </c>
      <c r="AB16" s="46">
        <v>0</v>
      </c>
      <c r="AC16" s="1">
        <v>2</v>
      </c>
      <c r="AD16" s="1">
        <v>0</v>
      </c>
      <c r="AE16" s="46">
        <v>0</v>
      </c>
      <c r="AF16" s="1">
        <v>0</v>
      </c>
      <c r="AG16" s="1">
        <v>1</v>
      </c>
      <c r="AH16" s="46">
        <v>0</v>
      </c>
      <c r="AI16" s="1">
        <v>0</v>
      </c>
      <c r="AJ16" s="1">
        <v>1</v>
      </c>
      <c r="AK16" s="46">
        <v>0</v>
      </c>
      <c r="AL16" s="1">
        <v>0</v>
      </c>
      <c r="AM16" s="1">
        <v>0</v>
      </c>
      <c r="AN16" s="46">
        <v>1</v>
      </c>
      <c r="AO16" s="1">
        <v>1</v>
      </c>
      <c r="AP16" s="1">
        <v>0</v>
      </c>
      <c r="AQ16" s="46">
        <v>0</v>
      </c>
      <c r="AR16" s="1">
        <v>0</v>
      </c>
      <c r="AS16" s="1">
        <v>0</v>
      </c>
      <c r="AT16" s="46">
        <v>0</v>
      </c>
      <c r="AU16" s="1">
        <v>0</v>
      </c>
      <c r="AV16" s="1">
        <v>0</v>
      </c>
      <c r="AW16" s="46">
        <v>0</v>
      </c>
      <c r="AX16" s="1">
        <v>0</v>
      </c>
      <c r="AY16" s="1">
        <v>0</v>
      </c>
      <c r="AZ16" s="46">
        <v>0</v>
      </c>
      <c r="BA16" s="1">
        <v>0</v>
      </c>
      <c r="BB16" s="1">
        <v>1</v>
      </c>
      <c r="BC16" s="46">
        <v>0</v>
      </c>
      <c r="BD16" s="1">
        <v>0</v>
      </c>
      <c r="BE16" s="1">
        <v>0</v>
      </c>
      <c r="BF16" s="46">
        <v>0</v>
      </c>
      <c r="BG16" s="1">
        <v>1</v>
      </c>
      <c r="BH16" s="1">
        <v>0</v>
      </c>
      <c r="BI16" s="46">
        <v>0</v>
      </c>
      <c r="BJ16" s="1">
        <v>0</v>
      </c>
      <c r="BK16" s="1">
        <v>0</v>
      </c>
      <c r="BL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16"/>
  <sheetViews>
    <sheetView workbookViewId="0">
      <selection sqref="A1:XFD1048576"/>
    </sheetView>
  </sheetViews>
  <sheetFormatPr defaultRowHeight="14.5" x14ac:dyDescent="0.35"/>
  <cols>
    <col min="1" max="1" width="13" bestFit="1" customWidth="1"/>
    <col min="2" max="3" width="13" hidden="1" bestFit="1" customWidth="1"/>
    <col min="4" max="4" width="13" bestFit="1" customWidth="1"/>
    <col min="5" max="6" width="13" hidden="1" bestFit="1" customWidth="1"/>
    <col min="7" max="7" width="13" bestFit="1" customWidth="1"/>
    <col min="8" max="9" width="13" hidden="1" bestFit="1" customWidth="1"/>
    <col min="10" max="10" width="13" bestFit="1" customWidth="1"/>
    <col min="11" max="12" width="13" hidden="1" bestFit="1" customWidth="1"/>
    <col min="13" max="13" width="13" bestFit="1" customWidth="1"/>
    <col min="14" max="15" width="13" hidden="1" bestFit="1" customWidth="1"/>
    <col min="16" max="16" width="13" bestFit="1" customWidth="1"/>
    <col min="17" max="18" width="13" hidden="1" bestFit="1" customWidth="1"/>
    <col min="19" max="19" width="13" bestFit="1" customWidth="1"/>
    <col min="20" max="21" width="13" hidden="1" bestFit="1" customWidth="1"/>
    <col min="22" max="22" width="13" bestFit="1" customWidth="1"/>
    <col min="23" max="24" width="13" hidden="1" bestFit="1" customWidth="1"/>
    <col min="25" max="25" width="13" bestFit="1" customWidth="1"/>
    <col min="26" max="27" width="13" hidden="1" bestFit="1" customWidth="1"/>
    <col min="28" max="28" width="13" bestFit="1" customWidth="1"/>
    <col min="29" max="30" width="13" hidden="1" bestFit="1" customWidth="1"/>
    <col min="31" max="31" width="13" bestFit="1" customWidth="1"/>
    <col min="32" max="33" width="13" hidden="1" bestFit="1" customWidth="1"/>
    <col min="34" max="34" width="13" bestFit="1" customWidth="1"/>
    <col min="35" max="36" width="13" hidden="1" bestFit="1" customWidth="1"/>
    <col min="37" max="37" width="13" bestFit="1" customWidth="1"/>
    <col min="38" max="39" width="13" hidden="1" bestFit="1" customWidth="1"/>
    <col min="40" max="40" width="13" bestFit="1" customWidth="1"/>
    <col min="41" max="42" width="13" hidden="1" bestFit="1" customWidth="1"/>
    <col min="43" max="43" width="13" bestFit="1" customWidth="1"/>
    <col min="44" max="45" width="13" hidden="1" bestFit="1" customWidth="1"/>
    <col min="46" max="46" width="13" bestFit="1" customWidth="1"/>
    <col min="47" max="48" width="13" hidden="1" bestFit="1" customWidth="1"/>
    <col min="49" max="49" width="13" bestFit="1" customWidth="1"/>
    <col min="50" max="51" width="13" hidden="1" bestFit="1" customWidth="1"/>
    <col min="52" max="52" width="13" bestFit="1" customWidth="1"/>
    <col min="53" max="54" width="13" hidden="1" bestFit="1" customWidth="1"/>
    <col min="55" max="55" width="13" bestFit="1" customWidth="1"/>
    <col min="56" max="57" width="13" hidden="1" bestFit="1" customWidth="1"/>
    <col min="58" max="58" width="13" bestFit="1" customWidth="1"/>
    <col min="59" max="60" width="13" hidden="1" bestFit="1" customWidth="1"/>
    <col min="61" max="61" width="13" bestFit="1" customWidth="1"/>
    <col min="62" max="62" width="13" hidden="1" bestFit="1" customWidth="1"/>
  </cols>
  <sheetData>
    <row r="1" spans="1:64" x14ac:dyDescent="0.35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t="s">
        <v>5</v>
      </c>
      <c r="G1" s="16" t="s">
        <v>6</v>
      </c>
      <c r="H1" t="s">
        <v>7</v>
      </c>
      <c r="I1" t="s">
        <v>8</v>
      </c>
      <c r="J1" s="16" t="s">
        <v>9</v>
      </c>
      <c r="K1" t="s">
        <v>10</v>
      </c>
      <c r="L1" t="s">
        <v>11</v>
      </c>
      <c r="M1" s="16" t="s">
        <v>12</v>
      </c>
      <c r="N1" t="s">
        <v>13</v>
      </c>
      <c r="O1" t="s">
        <v>14</v>
      </c>
      <c r="P1" s="16" t="s">
        <v>15</v>
      </c>
      <c r="Q1" t="s">
        <v>16</v>
      </c>
      <c r="R1" t="s">
        <v>17</v>
      </c>
      <c r="S1" s="16" t="s">
        <v>18</v>
      </c>
      <c r="T1" t="s">
        <v>19</v>
      </c>
      <c r="U1" t="s">
        <v>20</v>
      </c>
      <c r="V1" s="16" t="s">
        <v>21</v>
      </c>
      <c r="W1" t="s">
        <v>22</v>
      </c>
      <c r="X1" t="s">
        <v>23</v>
      </c>
      <c r="Y1" s="16" t="s">
        <v>24</v>
      </c>
      <c r="Z1" t="s">
        <v>25</v>
      </c>
      <c r="AA1" t="s">
        <v>26</v>
      </c>
      <c r="AB1" s="16" t="s">
        <v>27</v>
      </c>
      <c r="AC1" t="s">
        <v>28</v>
      </c>
      <c r="AD1" t="s">
        <v>29</v>
      </c>
      <c r="AE1" s="16" t="s">
        <v>30</v>
      </c>
      <c r="AF1" t="s">
        <v>31</v>
      </c>
      <c r="AG1" t="s">
        <v>32</v>
      </c>
      <c r="AH1" s="16" t="s">
        <v>33</v>
      </c>
      <c r="AI1" t="s">
        <v>34</v>
      </c>
      <c r="AJ1" t="s">
        <v>35</v>
      </c>
      <c r="AK1" s="16" t="s">
        <v>36</v>
      </c>
      <c r="AL1" t="s">
        <v>37</v>
      </c>
      <c r="AM1" t="s">
        <v>38</v>
      </c>
      <c r="AN1" s="16" t="s">
        <v>39</v>
      </c>
      <c r="AO1" t="s">
        <v>40</v>
      </c>
      <c r="AP1" t="s">
        <v>41</v>
      </c>
      <c r="AQ1" s="16" t="s">
        <v>42</v>
      </c>
      <c r="AR1" t="s">
        <v>43</v>
      </c>
      <c r="AS1" t="s">
        <v>44</v>
      </c>
      <c r="AT1" s="16" t="s">
        <v>45</v>
      </c>
      <c r="AU1" t="s">
        <v>46</v>
      </c>
      <c r="AV1" t="s">
        <v>47</v>
      </c>
      <c r="AW1" s="16" t="s">
        <v>48</v>
      </c>
      <c r="AX1" t="s">
        <v>49</v>
      </c>
      <c r="AY1" t="s">
        <v>50</v>
      </c>
      <c r="AZ1" s="16" t="s">
        <v>51</v>
      </c>
      <c r="BA1" t="s">
        <v>52</v>
      </c>
      <c r="BB1" t="s">
        <v>53</v>
      </c>
      <c r="BC1" s="16" t="s">
        <v>54</v>
      </c>
      <c r="BD1" t="s">
        <v>55</v>
      </c>
      <c r="BE1" t="s">
        <v>56</v>
      </c>
      <c r="BF1" s="16" t="s">
        <v>57</v>
      </c>
      <c r="BG1" t="s">
        <v>58</v>
      </c>
      <c r="BH1" t="s">
        <v>59</v>
      </c>
      <c r="BI1" s="16" t="s">
        <v>60</v>
      </c>
      <c r="BJ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1">
        <v>11</v>
      </c>
      <c r="C2" s="1">
        <v>11</v>
      </c>
      <c r="D2" s="46">
        <v>11</v>
      </c>
      <c r="E2" s="1">
        <v>10</v>
      </c>
      <c r="F2" s="1">
        <v>4</v>
      </c>
      <c r="G2" s="46">
        <v>4</v>
      </c>
      <c r="H2" s="1">
        <v>4</v>
      </c>
      <c r="I2" s="1">
        <v>0</v>
      </c>
      <c r="J2" s="46">
        <v>0</v>
      </c>
      <c r="K2" s="1">
        <v>0</v>
      </c>
      <c r="L2" s="1">
        <v>0</v>
      </c>
      <c r="M2" s="46">
        <v>0</v>
      </c>
      <c r="N2" s="1">
        <v>0</v>
      </c>
      <c r="O2" s="1">
        <v>0</v>
      </c>
      <c r="P2" s="46">
        <v>0</v>
      </c>
      <c r="Q2" s="1">
        <v>0</v>
      </c>
      <c r="R2" s="1">
        <v>0</v>
      </c>
      <c r="S2" s="46">
        <v>0</v>
      </c>
      <c r="T2" s="1">
        <v>0</v>
      </c>
      <c r="U2" s="1">
        <v>0</v>
      </c>
      <c r="V2" s="46">
        <v>0</v>
      </c>
      <c r="W2" s="1">
        <v>0</v>
      </c>
      <c r="X2" s="1">
        <v>0</v>
      </c>
      <c r="Y2" s="46">
        <v>0</v>
      </c>
      <c r="Z2" s="1">
        <v>0</v>
      </c>
      <c r="AA2" s="1">
        <v>0</v>
      </c>
      <c r="AB2" s="46">
        <v>0</v>
      </c>
      <c r="AC2" s="1">
        <v>0</v>
      </c>
      <c r="AD2" s="1">
        <v>0</v>
      </c>
      <c r="AE2" s="46">
        <v>0</v>
      </c>
      <c r="AF2" s="1">
        <v>0</v>
      </c>
      <c r="AG2" s="1">
        <v>0</v>
      </c>
      <c r="AH2" s="46">
        <v>0</v>
      </c>
      <c r="AI2" s="1">
        <v>0</v>
      </c>
      <c r="AJ2" s="1">
        <v>0</v>
      </c>
      <c r="AK2" s="46">
        <v>0</v>
      </c>
      <c r="AL2" s="1">
        <v>0</v>
      </c>
      <c r="AM2" s="1">
        <v>0</v>
      </c>
      <c r="AN2" s="46">
        <v>0</v>
      </c>
      <c r="AO2" s="1">
        <v>0</v>
      </c>
      <c r="AP2" s="1">
        <v>0</v>
      </c>
      <c r="AQ2" s="46">
        <v>0</v>
      </c>
      <c r="AR2" s="1">
        <v>0</v>
      </c>
      <c r="AS2" s="1">
        <v>0</v>
      </c>
      <c r="AT2" s="46">
        <v>0</v>
      </c>
      <c r="AU2" s="1">
        <v>0</v>
      </c>
      <c r="AV2" s="1">
        <v>0</v>
      </c>
      <c r="AW2" s="46">
        <v>0</v>
      </c>
      <c r="AX2" s="1">
        <v>0</v>
      </c>
      <c r="AY2" s="1">
        <v>0</v>
      </c>
      <c r="AZ2" s="46">
        <v>0</v>
      </c>
      <c r="BA2" s="1">
        <v>0</v>
      </c>
      <c r="BB2" s="1">
        <v>0</v>
      </c>
      <c r="BC2" s="46">
        <v>0</v>
      </c>
      <c r="BD2" s="1">
        <v>0</v>
      </c>
      <c r="BE2" s="1">
        <v>0</v>
      </c>
      <c r="BF2" s="46">
        <v>0</v>
      </c>
      <c r="BG2" s="1">
        <v>0</v>
      </c>
      <c r="BH2" s="1">
        <v>0</v>
      </c>
      <c r="BI2" s="46">
        <v>0</v>
      </c>
      <c r="BJ2" s="1">
        <v>0</v>
      </c>
      <c r="BK2" s="1">
        <v>0</v>
      </c>
      <c r="BL2">
        <v>0</v>
      </c>
    </row>
    <row r="3" spans="1:64" ht="15.5" x14ac:dyDescent="0.35">
      <c r="A3" t="s">
        <v>65</v>
      </c>
      <c r="B3" s="1">
        <v>0</v>
      </c>
      <c r="C3" s="1">
        <v>0</v>
      </c>
      <c r="D3" s="46">
        <v>0</v>
      </c>
      <c r="E3" s="1">
        <v>0</v>
      </c>
      <c r="F3" s="1">
        <v>0</v>
      </c>
      <c r="G3" s="46">
        <v>0</v>
      </c>
      <c r="H3" s="1">
        <v>0</v>
      </c>
      <c r="I3" s="1">
        <v>0</v>
      </c>
      <c r="J3" s="46">
        <v>0</v>
      </c>
      <c r="K3" s="1">
        <v>0</v>
      </c>
      <c r="L3" s="1">
        <v>0</v>
      </c>
      <c r="M3" s="46">
        <v>0</v>
      </c>
      <c r="N3" s="1">
        <v>0</v>
      </c>
      <c r="O3" s="1">
        <v>0</v>
      </c>
      <c r="P3" s="46">
        <v>0</v>
      </c>
      <c r="Q3" s="1">
        <v>0</v>
      </c>
      <c r="R3" s="1">
        <v>0</v>
      </c>
      <c r="S3" s="46">
        <v>0</v>
      </c>
      <c r="T3" s="1">
        <v>0</v>
      </c>
      <c r="U3" s="1">
        <v>0</v>
      </c>
      <c r="V3" s="46">
        <v>0</v>
      </c>
      <c r="W3" s="1">
        <v>0</v>
      </c>
      <c r="X3" s="1">
        <v>0</v>
      </c>
      <c r="Y3" s="46">
        <v>0</v>
      </c>
      <c r="Z3" s="1">
        <v>0</v>
      </c>
      <c r="AA3" s="1">
        <v>0</v>
      </c>
      <c r="AB3" s="46">
        <v>0</v>
      </c>
      <c r="AC3" s="1">
        <v>0</v>
      </c>
      <c r="AD3" s="1">
        <v>0</v>
      </c>
      <c r="AE3" s="46">
        <v>0</v>
      </c>
      <c r="AF3" s="1">
        <v>0</v>
      </c>
      <c r="AG3" s="1">
        <v>0</v>
      </c>
      <c r="AH3" s="46">
        <v>0</v>
      </c>
      <c r="AI3" s="1">
        <v>0</v>
      </c>
      <c r="AJ3" s="1">
        <v>0</v>
      </c>
      <c r="AK3" s="46">
        <v>0</v>
      </c>
      <c r="AL3" s="1">
        <v>0</v>
      </c>
      <c r="AM3" s="1">
        <v>0</v>
      </c>
      <c r="AN3" s="46">
        <v>0</v>
      </c>
      <c r="AO3" s="1">
        <v>0</v>
      </c>
      <c r="AP3" s="1">
        <v>0</v>
      </c>
      <c r="AQ3" s="46">
        <v>0</v>
      </c>
      <c r="AR3" s="1">
        <v>0</v>
      </c>
      <c r="AS3" s="1">
        <v>0</v>
      </c>
      <c r="AT3" s="46">
        <v>0</v>
      </c>
      <c r="AU3" s="1">
        <v>0</v>
      </c>
      <c r="AV3" s="1">
        <v>0</v>
      </c>
      <c r="AW3" s="46">
        <v>0</v>
      </c>
      <c r="AX3" s="1">
        <v>0</v>
      </c>
      <c r="AY3" s="1">
        <v>0</v>
      </c>
      <c r="AZ3" s="46">
        <v>0</v>
      </c>
      <c r="BA3" s="1">
        <v>0</v>
      </c>
      <c r="BB3" s="1">
        <v>0</v>
      </c>
      <c r="BC3" s="46">
        <v>0</v>
      </c>
      <c r="BD3" s="1">
        <v>0</v>
      </c>
      <c r="BE3" s="1">
        <v>0</v>
      </c>
      <c r="BF3" s="46">
        <v>0</v>
      </c>
      <c r="BG3" s="1">
        <v>0</v>
      </c>
      <c r="BH3" s="1">
        <v>0</v>
      </c>
      <c r="BI3" s="46">
        <v>0</v>
      </c>
      <c r="BJ3" s="1">
        <v>0</v>
      </c>
      <c r="BK3" s="1">
        <v>0</v>
      </c>
      <c r="BL3">
        <v>0</v>
      </c>
    </row>
    <row r="4" spans="1:64" ht="15.5" x14ac:dyDescent="0.35">
      <c r="A4" t="s">
        <v>66</v>
      </c>
      <c r="B4" s="1">
        <v>0</v>
      </c>
      <c r="C4" s="1">
        <v>0</v>
      </c>
      <c r="D4" s="46">
        <v>0</v>
      </c>
      <c r="E4" s="1">
        <v>0</v>
      </c>
      <c r="F4" s="1">
        <v>0</v>
      </c>
      <c r="G4" s="46">
        <v>0</v>
      </c>
      <c r="H4" s="1">
        <v>0</v>
      </c>
      <c r="I4" s="1">
        <v>0</v>
      </c>
      <c r="J4" s="46">
        <v>0</v>
      </c>
      <c r="K4" s="1">
        <v>0</v>
      </c>
      <c r="L4" s="1">
        <v>0</v>
      </c>
      <c r="M4" s="46">
        <v>0</v>
      </c>
      <c r="N4" s="1">
        <v>0</v>
      </c>
      <c r="O4" s="1">
        <v>0</v>
      </c>
      <c r="P4" s="46">
        <v>0</v>
      </c>
      <c r="Q4" s="1">
        <v>0</v>
      </c>
      <c r="R4" s="1">
        <v>0</v>
      </c>
      <c r="S4" s="46">
        <v>0</v>
      </c>
      <c r="T4" s="1">
        <v>0</v>
      </c>
      <c r="U4" s="1">
        <v>0</v>
      </c>
      <c r="V4" s="46">
        <v>0</v>
      </c>
      <c r="W4" s="1">
        <v>0</v>
      </c>
      <c r="X4" s="1">
        <v>0</v>
      </c>
      <c r="Y4" s="46">
        <v>0</v>
      </c>
      <c r="Z4" s="1">
        <v>0</v>
      </c>
      <c r="AA4" s="1">
        <v>0</v>
      </c>
      <c r="AB4" s="46">
        <v>0</v>
      </c>
      <c r="AC4" s="1">
        <v>0</v>
      </c>
      <c r="AD4" s="1">
        <v>0</v>
      </c>
      <c r="AE4" s="46">
        <v>0</v>
      </c>
      <c r="AF4" s="1">
        <v>0</v>
      </c>
      <c r="AG4" s="1">
        <v>0</v>
      </c>
      <c r="AH4" s="46">
        <v>0</v>
      </c>
      <c r="AI4" s="1">
        <v>0</v>
      </c>
      <c r="AJ4" s="1">
        <v>0</v>
      </c>
      <c r="AK4" s="46">
        <v>0</v>
      </c>
      <c r="AL4" s="1">
        <v>0</v>
      </c>
      <c r="AM4" s="1">
        <v>0</v>
      </c>
      <c r="AN4" s="46">
        <v>0</v>
      </c>
      <c r="AO4" s="1">
        <v>0</v>
      </c>
      <c r="AP4" s="1">
        <v>0</v>
      </c>
      <c r="AQ4" s="46">
        <v>0</v>
      </c>
      <c r="AR4" s="1">
        <v>0</v>
      </c>
      <c r="AS4" s="1">
        <v>0</v>
      </c>
      <c r="AT4" s="46">
        <v>0</v>
      </c>
      <c r="AU4" s="1">
        <v>0</v>
      </c>
      <c r="AV4" s="1">
        <v>0</v>
      </c>
      <c r="AW4" s="46">
        <v>0</v>
      </c>
      <c r="AX4" s="1">
        <v>0</v>
      </c>
      <c r="AY4" s="1">
        <v>0</v>
      </c>
      <c r="AZ4" s="46">
        <v>0</v>
      </c>
      <c r="BA4" s="1">
        <v>0</v>
      </c>
      <c r="BB4" s="1">
        <v>0</v>
      </c>
      <c r="BC4" s="46">
        <v>0</v>
      </c>
      <c r="BD4" s="1">
        <v>0</v>
      </c>
      <c r="BE4" s="1">
        <v>0</v>
      </c>
      <c r="BF4" s="46">
        <v>0</v>
      </c>
      <c r="BG4" s="1">
        <v>0</v>
      </c>
      <c r="BH4" s="1">
        <v>0</v>
      </c>
      <c r="BI4" s="46">
        <v>0</v>
      </c>
      <c r="BJ4" s="1">
        <v>0</v>
      </c>
      <c r="BK4" s="1">
        <v>0</v>
      </c>
      <c r="BL4">
        <v>0</v>
      </c>
    </row>
    <row r="5" spans="1:64" ht="15.5" x14ac:dyDescent="0.35">
      <c r="A5" t="s">
        <v>67</v>
      </c>
      <c r="B5" s="1">
        <v>8735.23</v>
      </c>
      <c r="C5" s="1">
        <v>8735.23</v>
      </c>
      <c r="D5" s="46">
        <v>8735.23</v>
      </c>
      <c r="E5" s="1">
        <v>8340.19</v>
      </c>
      <c r="F5" s="1">
        <v>1804.33</v>
      </c>
      <c r="G5" s="46">
        <v>1804.33</v>
      </c>
      <c r="H5" s="1">
        <v>1804.33</v>
      </c>
      <c r="I5" s="1">
        <v>0</v>
      </c>
      <c r="J5" s="46">
        <v>0</v>
      </c>
      <c r="K5" s="1">
        <v>0</v>
      </c>
      <c r="L5" s="1">
        <v>0</v>
      </c>
      <c r="M5" s="46">
        <v>0</v>
      </c>
      <c r="N5" s="1">
        <v>0</v>
      </c>
      <c r="O5" s="1">
        <v>0</v>
      </c>
      <c r="P5" s="46">
        <v>0</v>
      </c>
      <c r="Q5" s="1">
        <v>0</v>
      </c>
      <c r="R5" s="1">
        <v>0</v>
      </c>
      <c r="S5" s="46">
        <v>0</v>
      </c>
      <c r="T5" s="1">
        <v>0</v>
      </c>
      <c r="U5" s="1">
        <v>0</v>
      </c>
      <c r="V5" s="46">
        <v>0</v>
      </c>
      <c r="W5" s="1">
        <v>0</v>
      </c>
      <c r="X5" s="1">
        <v>0</v>
      </c>
      <c r="Y5" s="46">
        <v>0</v>
      </c>
      <c r="Z5" s="1">
        <v>0</v>
      </c>
      <c r="AA5" s="1">
        <v>0</v>
      </c>
      <c r="AB5" s="46">
        <v>0</v>
      </c>
      <c r="AC5" s="1">
        <v>0</v>
      </c>
      <c r="AD5" s="1">
        <v>0</v>
      </c>
      <c r="AE5" s="46">
        <v>0</v>
      </c>
      <c r="AF5" s="1">
        <v>0</v>
      </c>
      <c r="AG5" s="1">
        <v>0</v>
      </c>
      <c r="AH5" s="46">
        <v>0</v>
      </c>
      <c r="AI5" s="1">
        <v>0</v>
      </c>
      <c r="AJ5" s="1">
        <v>0</v>
      </c>
      <c r="AK5" s="46">
        <v>0</v>
      </c>
      <c r="AL5" s="1">
        <v>0</v>
      </c>
      <c r="AM5" s="1">
        <v>0</v>
      </c>
      <c r="AN5" s="46">
        <v>0</v>
      </c>
      <c r="AO5" s="1">
        <v>0</v>
      </c>
      <c r="AP5" s="1">
        <v>0</v>
      </c>
      <c r="AQ5" s="46">
        <v>0</v>
      </c>
      <c r="AR5" s="1">
        <v>0</v>
      </c>
      <c r="AS5" s="1">
        <v>0</v>
      </c>
      <c r="AT5" s="46">
        <v>0</v>
      </c>
      <c r="AU5" s="1">
        <v>0</v>
      </c>
      <c r="AV5" s="1">
        <v>0</v>
      </c>
      <c r="AW5" s="46">
        <v>0</v>
      </c>
      <c r="AX5" s="1">
        <v>0</v>
      </c>
      <c r="AY5" s="1">
        <v>0</v>
      </c>
      <c r="AZ5" s="46">
        <v>0</v>
      </c>
      <c r="BA5" s="1">
        <v>0</v>
      </c>
      <c r="BB5" s="1">
        <v>0</v>
      </c>
      <c r="BC5" s="46">
        <v>0</v>
      </c>
      <c r="BD5" s="1">
        <v>0</v>
      </c>
      <c r="BE5" s="1">
        <v>0</v>
      </c>
      <c r="BF5" s="46">
        <v>0</v>
      </c>
      <c r="BG5" s="1">
        <v>0</v>
      </c>
      <c r="BH5" s="1">
        <v>0</v>
      </c>
      <c r="BI5" s="46">
        <v>0</v>
      </c>
      <c r="BJ5" s="1">
        <v>0</v>
      </c>
      <c r="BK5" s="1">
        <v>0</v>
      </c>
      <c r="BL5">
        <v>0</v>
      </c>
    </row>
    <row r="6" spans="1:64" ht="15.5" x14ac:dyDescent="0.35">
      <c r="A6" t="s">
        <v>68</v>
      </c>
      <c r="B6" s="1">
        <v>2927.43</v>
      </c>
      <c r="C6" s="1">
        <v>2927.43</v>
      </c>
      <c r="D6" s="46">
        <v>2927.43</v>
      </c>
      <c r="E6" s="1">
        <v>2860.57</v>
      </c>
      <c r="F6" s="1">
        <v>358.15</v>
      </c>
      <c r="G6" s="46">
        <v>358.15</v>
      </c>
      <c r="H6" s="1">
        <v>358.15</v>
      </c>
      <c r="I6" s="1">
        <v>0</v>
      </c>
      <c r="J6" s="46">
        <v>0</v>
      </c>
      <c r="K6" s="1">
        <v>0</v>
      </c>
      <c r="L6" s="1">
        <v>0</v>
      </c>
      <c r="M6" s="46">
        <v>0</v>
      </c>
      <c r="N6" s="1">
        <v>0</v>
      </c>
      <c r="O6" s="1">
        <v>0</v>
      </c>
      <c r="P6" s="46">
        <v>0</v>
      </c>
      <c r="Q6" s="1">
        <v>0</v>
      </c>
      <c r="R6" s="1">
        <v>0</v>
      </c>
      <c r="S6" s="46">
        <v>0</v>
      </c>
      <c r="T6" s="1">
        <v>0</v>
      </c>
      <c r="U6" s="1">
        <v>0</v>
      </c>
      <c r="V6" s="46">
        <v>0</v>
      </c>
      <c r="W6" s="1">
        <v>0</v>
      </c>
      <c r="X6" s="1">
        <v>0</v>
      </c>
      <c r="Y6" s="46">
        <v>0</v>
      </c>
      <c r="Z6" s="1">
        <v>0</v>
      </c>
      <c r="AA6" s="1">
        <v>0</v>
      </c>
      <c r="AB6" s="46">
        <v>0</v>
      </c>
      <c r="AC6" s="1">
        <v>0</v>
      </c>
      <c r="AD6" s="1">
        <v>0</v>
      </c>
      <c r="AE6" s="46">
        <v>0</v>
      </c>
      <c r="AF6" s="1">
        <v>0</v>
      </c>
      <c r="AG6" s="1">
        <v>0</v>
      </c>
      <c r="AH6" s="46">
        <v>0</v>
      </c>
      <c r="AI6" s="1">
        <v>0</v>
      </c>
      <c r="AJ6" s="1">
        <v>0</v>
      </c>
      <c r="AK6" s="46">
        <v>0</v>
      </c>
      <c r="AL6" s="1">
        <v>0</v>
      </c>
      <c r="AM6" s="1">
        <v>0</v>
      </c>
      <c r="AN6" s="46">
        <v>0</v>
      </c>
      <c r="AO6" s="1">
        <v>0</v>
      </c>
      <c r="AP6" s="1">
        <v>0</v>
      </c>
      <c r="AQ6" s="46">
        <v>0</v>
      </c>
      <c r="AR6" s="1">
        <v>0</v>
      </c>
      <c r="AS6" s="1">
        <v>0</v>
      </c>
      <c r="AT6" s="46">
        <v>0</v>
      </c>
      <c r="AU6" s="1">
        <v>0</v>
      </c>
      <c r="AV6" s="1">
        <v>0</v>
      </c>
      <c r="AW6" s="46">
        <v>0</v>
      </c>
      <c r="AX6" s="1">
        <v>0</v>
      </c>
      <c r="AY6" s="1">
        <v>0</v>
      </c>
      <c r="AZ6" s="46">
        <v>0</v>
      </c>
      <c r="BA6" s="1">
        <v>0</v>
      </c>
      <c r="BB6" s="1">
        <v>0</v>
      </c>
      <c r="BC6" s="46">
        <v>0</v>
      </c>
      <c r="BD6" s="1">
        <v>0</v>
      </c>
      <c r="BE6" s="1">
        <v>0</v>
      </c>
      <c r="BF6" s="46">
        <v>0</v>
      </c>
      <c r="BG6" s="1">
        <v>0</v>
      </c>
      <c r="BH6" s="1">
        <v>0</v>
      </c>
      <c r="BI6" s="46">
        <v>0</v>
      </c>
      <c r="BJ6" s="1">
        <v>0</v>
      </c>
      <c r="BK6" s="1">
        <v>0</v>
      </c>
      <c r="BL6">
        <v>0</v>
      </c>
    </row>
    <row r="7" spans="1:64" ht="15.5" x14ac:dyDescent="0.35">
      <c r="A7" t="s">
        <v>69</v>
      </c>
      <c r="B7" s="1">
        <v>1197.83</v>
      </c>
      <c r="C7" s="1">
        <v>1197.83</v>
      </c>
      <c r="D7" s="46">
        <v>1197.83</v>
      </c>
      <c r="E7" s="1">
        <v>1172.72</v>
      </c>
      <c r="F7" s="1">
        <v>316.52</v>
      </c>
      <c r="G7" s="46">
        <v>316.52</v>
      </c>
      <c r="H7" s="1">
        <v>316.52</v>
      </c>
      <c r="I7" s="1">
        <v>0</v>
      </c>
      <c r="J7" s="46">
        <v>0</v>
      </c>
      <c r="K7" s="1">
        <v>0</v>
      </c>
      <c r="L7" s="1">
        <v>0</v>
      </c>
      <c r="M7" s="46">
        <v>0</v>
      </c>
      <c r="N7" s="1">
        <v>0</v>
      </c>
      <c r="O7" s="1">
        <v>0</v>
      </c>
      <c r="P7" s="46">
        <v>0</v>
      </c>
      <c r="Q7" s="1">
        <v>0</v>
      </c>
      <c r="R7" s="1">
        <v>0</v>
      </c>
      <c r="S7" s="46">
        <v>0</v>
      </c>
      <c r="T7" s="1">
        <v>0</v>
      </c>
      <c r="U7" s="1">
        <v>0</v>
      </c>
      <c r="V7" s="46">
        <v>0</v>
      </c>
      <c r="W7" s="1">
        <v>0</v>
      </c>
      <c r="X7" s="1">
        <v>0</v>
      </c>
      <c r="Y7" s="46">
        <v>0</v>
      </c>
      <c r="Z7" s="1">
        <v>0</v>
      </c>
      <c r="AA7" s="1">
        <v>0</v>
      </c>
      <c r="AB7" s="46">
        <v>0</v>
      </c>
      <c r="AC7" s="1">
        <v>0</v>
      </c>
      <c r="AD7" s="1">
        <v>0</v>
      </c>
      <c r="AE7" s="46">
        <v>0</v>
      </c>
      <c r="AF7" s="1">
        <v>0</v>
      </c>
      <c r="AG7" s="1">
        <v>0</v>
      </c>
      <c r="AH7" s="46">
        <v>0</v>
      </c>
      <c r="AI7" s="1">
        <v>0</v>
      </c>
      <c r="AJ7" s="1">
        <v>0</v>
      </c>
      <c r="AK7" s="46">
        <v>0</v>
      </c>
      <c r="AL7" s="1">
        <v>0</v>
      </c>
      <c r="AM7" s="1">
        <v>0</v>
      </c>
      <c r="AN7" s="46">
        <v>0</v>
      </c>
      <c r="AO7" s="1">
        <v>0</v>
      </c>
      <c r="AP7" s="1">
        <v>0</v>
      </c>
      <c r="AQ7" s="46">
        <v>0</v>
      </c>
      <c r="AR7" s="1">
        <v>0</v>
      </c>
      <c r="AS7" s="1">
        <v>0</v>
      </c>
      <c r="AT7" s="46">
        <v>0</v>
      </c>
      <c r="AU7" s="1">
        <v>0</v>
      </c>
      <c r="AV7" s="1">
        <v>0</v>
      </c>
      <c r="AW7" s="46">
        <v>0</v>
      </c>
      <c r="AX7" s="1">
        <v>0</v>
      </c>
      <c r="AY7" s="1">
        <v>0</v>
      </c>
      <c r="AZ7" s="46">
        <v>0</v>
      </c>
      <c r="BA7" s="1">
        <v>0</v>
      </c>
      <c r="BB7" s="1">
        <v>0</v>
      </c>
      <c r="BC7" s="46">
        <v>0</v>
      </c>
      <c r="BD7" s="1">
        <v>0</v>
      </c>
      <c r="BE7" s="1">
        <v>0</v>
      </c>
      <c r="BF7" s="46">
        <v>0</v>
      </c>
      <c r="BG7" s="1">
        <v>0</v>
      </c>
      <c r="BH7" s="1">
        <v>0</v>
      </c>
      <c r="BI7" s="46">
        <v>0</v>
      </c>
      <c r="BJ7" s="1">
        <v>0</v>
      </c>
      <c r="BK7" s="1">
        <v>0</v>
      </c>
      <c r="BL7">
        <v>0</v>
      </c>
    </row>
    <row r="8" spans="1:64" ht="15.5" x14ac:dyDescent="0.35">
      <c r="A8" t="s">
        <v>70</v>
      </c>
      <c r="B8" s="1">
        <v>1129.54</v>
      </c>
      <c r="C8" s="1">
        <v>1129.54</v>
      </c>
      <c r="D8" s="46">
        <v>1129.54</v>
      </c>
      <c r="E8" s="1">
        <v>1049.54</v>
      </c>
      <c r="F8" s="1">
        <v>320</v>
      </c>
      <c r="G8" s="46">
        <v>320</v>
      </c>
      <c r="H8" s="1">
        <v>320</v>
      </c>
      <c r="I8" s="1">
        <v>0</v>
      </c>
      <c r="J8" s="46">
        <v>0</v>
      </c>
      <c r="K8" s="1">
        <v>0</v>
      </c>
      <c r="L8" s="1">
        <v>0</v>
      </c>
      <c r="M8" s="46">
        <v>0</v>
      </c>
      <c r="N8" s="1">
        <v>0</v>
      </c>
      <c r="O8" s="1">
        <v>0</v>
      </c>
      <c r="P8" s="46">
        <v>0</v>
      </c>
      <c r="Q8" s="1">
        <v>0</v>
      </c>
      <c r="R8" s="1">
        <v>0</v>
      </c>
      <c r="S8" s="46">
        <v>0</v>
      </c>
      <c r="T8" s="1">
        <v>0</v>
      </c>
      <c r="U8" s="1">
        <v>0</v>
      </c>
      <c r="V8" s="46">
        <v>0</v>
      </c>
      <c r="W8" s="1">
        <v>0</v>
      </c>
      <c r="X8" s="1">
        <v>0</v>
      </c>
      <c r="Y8" s="46">
        <v>0</v>
      </c>
      <c r="Z8" s="1">
        <v>0</v>
      </c>
      <c r="AA8" s="1">
        <v>0</v>
      </c>
      <c r="AB8" s="46">
        <v>0</v>
      </c>
      <c r="AC8" s="1">
        <v>0</v>
      </c>
      <c r="AD8" s="1">
        <v>0</v>
      </c>
      <c r="AE8" s="46">
        <v>0</v>
      </c>
      <c r="AF8" s="1">
        <v>0</v>
      </c>
      <c r="AG8" s="1">
        <v>0</v>
      </c>
      <c r="AH8" s="46">
        <v>0</v>
      </c>
      <c r="AI8" s="1">
        <v>0</v>
      </c>
      <c r="AJ8" s="1">
        <v>0</v>
      </c>
      <c r="AK8" s="46">
        <v>0</v>
      </c>
      <c r="AL8" s="1">
        <v>0</v>
      </c>
      <c r="AM8" s="1">
        <v>0</v>
      </c>
      <c r="AN8" s="46">
        <v>0</v>
      </c>
      <c r="AO8" s="1">
        <v>0</v>
      </c>
      <c r="AP8" s="1">
        <v>0</v>
      </c>
      <c r="AQ8" s="46">
        <v>0</v>
      </c>
      <c r="AR8" s="1">
        <v>0</v>
      </c>
      <c r="AS8" s="1">
        <v>0</v>
      </c>
      <c r="AT8" s="46">
        <v>0</v>
      </c>
      <c r="AU8" s="1">
        <v>0</v>
      </c>
      <c r="AV8" s="1">
        <v>0</v>
      </c>
      <c r="AW8" s="46">
        <v>0</v>
      </c>
      <c r="AX8" s="1">
        <v>0</v>
      </c>
      <c r="AY8" s="1">
        <v>0</v>
      </c>
      <c r="AZ8" s="46">
        <v>0</v>
      </c>
      <c r="BA8" s="1">
        <v>0</v>
      </c>
      <c r="BB8" s="1">
        <v>0</v>
      </c>
      <c r="BC8" s="46">
        <v>0</v>
      </c>
      <c r="BD8" s="1">
        <v>0</v>
      </c>
      <c r="BE8" s="1">
        <v>0</v>
      </c>
      <c r="BF8" s="46">
        <v>0</v>
      </c>
      <c r="BG8" s="1">
        <v>0</v>
      </c>
      <c r="BH8" s="1">
        <v>0</v>
      </c>
      <c r="BI8" s="46">
        <v>0</v>
      </c>
      <c r="BJ8" s="1">
        <v>0</v>
      </c>
      <c r="BK8" s="1">
        <v>0</v>
      </c>
      <c r="BL8">
        <v>0</v>
      </c>
    </row>
    <row r="9" spans="1:64" ht="15.5" x14ac:dyDescent="0.35">
      <c r="A9" t="s">
        <v>71</v>
      </c>
      <c r="B9" s="1">
        <v>89467.930000000037</v>
      </c>
      <c r="C9" s="1">
        <v>89467.930000000037</v>
      </c>
      <c r="D9" s="46">
        <v>89467.930000000037</v>
      </c>
      <c r="E9" s="1">
        <v>83784.47000000003</v>
      </c>
      <c r="F9" s="1">
        <v>21412.670000000031</v>
      </c>
      <c r="G9" s="46">
        <v>21412.670000000031</v>
      </c>
      <c r="H9" s="1">
        <v>21412.670000000031</v>
      </c>
      <c r="I9" s="1">
        <v>0</v>
      </c>
      <c r="J9" s="46">
        <v>0</v>
      </c>
      <c r="K9" s="1">
        <v>0</v>
      </c>
      <c r="L9" s="1">
        <v>0</v>
      </c>
      <c r="M9" s="46">
        <v>0</v>
      </c>
      <c r="N9" s="1">
        <v>0</v>
      </c>
      <c r="O9" s="1">
        <v>0</v>
      </c>
      <c r="P9" s="46">
        <v>0</v>
      </c>
      <c r="Q9" s="1">
        <v>0</v>
      </c>
      <c r="R9" s="1">
        <v>0</v>
      </c>
      <c r="S9" s="46">
        <v>0</v>
      </c>
      <c r="T9" s="1">
        <v>0</v>
      </c>
      <c r="U9" s="1">
        <v>0</v>
      </c>
      <c r="V9" s="46">
        <v>0</v>
      </c>
      <c r="W9" s="1">
        <v>0</v>
      </c>
      <c r="X9" s="1">
        <v>0</v>
      </c>
      <c r="Y9" s="46">
        <v>0</v>
      </c>
      <c r="Z9" s="1">
        <v>0</v>
      </c>
      <c r="AA9" s="1">
        <v>0</v>
      </c>
      <c r="AB9" s="46">
        <v>0</v>
      </c>
      <c r="AC9" s="1">
        <v>0</v>
      </c>
      <c r="AD9" s="1">
        <v>0</v>
      </c>
      <c r="AE9" s="46">
        <v>0</v>
      </c>
      <c r="AF9" s="1">
        <v>0</v>
      </c>
      <c r="AG9" s="1">
        <v>0</v>
      </c>
      <c r="AH9" s="46">
        <v>0</v>
      </c>
      <c r="AI9" s="1">
        <v>0</v>
      </c>
      <c r="AJ9" s="1">
        <v>0</v>
      </c>
      <c r="AK9" s="46">
        <v>0</v>
      </c>
      <c r="AL9" s="1">
        <v>0</v>
      </c>
      <c r="AM9" s="1">
        <v>0</v>
      </c>
      <c r="AN9" s="46">
        <v>0</v>
      </c>
      <c r="AO9" s="1">
        <v>0</v>
      </c>
      <c r="AP9" s="1">
        <v>0</v>
      </c>
      <c r="AQ9" s="46">
        <v>0</v>
      </c>
      <c r="AR9" s="1">
        <v>0</v>
      </c>
      <c r="AS9" s="1">
        <v>0</v>
      </c>
      <c r="AT9" s="46">
        <v>0</v>
      </c>
      <c r="AU9" s="1">
        <v>0</v>
      </c>
      <c r="AV9" s="1">
        <v>0</v>
      </c>
      <c r="AW9" s="46">
        <v>0</v>
      </c>
      <c r="AX9" s="1">
        <v>0</v>
      </c>
      <c r="AY9" s="1">
        <v>0</v>
      </c>
      <c r="AZ9" s="46">
        <v>0</v>
      </c>
      <c r="BA9" s="1">
        <v>0</v>
      </c>
      <c r="BB9" s="1">
        <v>0</v>
      </c>
      <c r="BC9" s="46">
        <v>0</v>
      </c>
      <c r="BD9" s="1">
        <v>0</v>
      </c>
      <c r="BE9" s="1">
        <v>0</v>
      </c>
      <c r="BF9" s="46">
        <v>0</v>
      </c>
      <c r="BG9" s="1">
        <v>0</v>
      </c>
      <c r="BH9" s="1">
        <v>0</v>
      </c>
      <c r="BI9" s="46">
        <v>0</v>
      </c>
      <c r="BJ9" s="1">
        <v>0</v>
      </c>
      <c r="BK9" s="1">
        <v>0</v>
      </c>
      <c r="BL9">
        <v>0</v>
      </c>
    </row>
    <row r="10" spans="1:64" ht="15.5" x14ac:dyDescent="0.35">
      <c r="A10" t="s">
        <v>72</v>
      </c>
      <c r="B10" s="1">
        <v>50104.000000000022</v>
      </c>
      <c r="C10" s="1">
        <v>50104.000000000022</v>
      </c>
      <c r="D10" s="46">
        <v>50104.000000000022</v>
      </c>
      <c r="E10" s="1">
        <v>46766.110000000022</v>
      </c>
      <c r="F10" s="1">
        <v>5594.1200000000281</v>
      </c>
      <c r="G10" s="46">
        <v>5594.1200000000281</v>
      </c>
      <c r="H10" s="1">
        <v>5594.1200000000281</v>
      </c>
      <c r="I10" s="1">
        <v>0</v>
      </c>
      <c r="J10" s="46">
        <v>0</v>
      </c>
      <c r="K10" s="1">
        <v>0</v>
      </c>
      <c r="L10" s="1">
        <v>0</v>
      </c>
      <c r="M10" s="46">
        <v>0</v>
      </c>
      <c r="N10" s="1">
        <v>0</v>
      </c>
      <c r="O10" s="1">
        <v>0</v>
      </c>
      <c r="P10" s="46">
        <v>0</v>
      </c>
      <c r="Q10" s="1">
        <v>0</v>
      </c>
      <c r="R10" s="1">
        <v>0</v>
      </c>
      <c r="S10" s="46">
        <v>0</v>
      </c>
      <c r="T10" s="1">
        <v>0</v>
      </c>
      <c r="U10" s="1">
        <v>0</v>
      </c>
      <c r="V10" s="46">
        <v>0</v>
      </c>
      <c r="W10" s="1">
        <v>0</v>
      </c>
      <c r="X10" s="1">
        <v>0</v>
      </c>
      <c r="Y10" s="46">
        <v>0</v>
      </c>
      <c r="Z10" s="1">
        <v>0</v>
      </c>
      <c r="AA10" s="1">
        <v>0</v>
      </c>
      <c r="AB10" s="46">
        <v>0</v>
      </c>
      <c r="AC10" s="1">
        <v>0</v>
      </c>
      <c r="AD10" s="1">
        <v>0</v>
      </c>
      <c r="AE10" s="46">
        <v>0</v>
      </c>
      <c r="AF10" s="1">
        <v>0</v>
      </c>
      <c r="AG10" s="1">
        <v>0</v>
      </c>
      <c r="AH10" s="46">
        <v>0</v>
      </c>
      <c r="AI10" s="1">
        <v>0</v>
      </c>
      <c r="AJ10" s="1">
        <v>0</v>
      </c>
      <c r="AK10" s="46">
        <v>0</v>
      </c>
      <c r="AL10" s="1">
        <v>0</v>
      </c>
      <c r="AM10" s="1">
        <v>0</v>
      </c>
      <c r="AN10" s="46">
        <v>0</v>
      </c>
      <c r="AO10" s="1">
        <v>0</v>
      </c>
      <c r="AP10" s="1">
        <v>0</v>
      </c>
      <c r="AQ10" s="46">
        <v>0</v>
      </c>
      <c r="AR10" s="1">
        <v>0</v>
      </c>
      <c r="AS10" s="1">
        <v>0</v>
      </c>
      <c r="AT10" s="46">
        <v>0</v>
      </c>
      <c r="AU10" s="1">
        <v>0</v>
      </c>
      <c r="AV10" s="1">
        <v>0</v>
      </c>
      <c r="AW10" s="46">
        <v>0</v>
      </c>
      <c r="AX10" s="1">
        <v>0</v>
      </c>
      <c r="AY10" s="1">
        <v>0</v>
      </c>
      <c r="AZ10" s="46">
        <v>0</v>
      </c>
      <c r="BA10" s="1">
        <v>0</v>
      </c>
      <c r="BB10" s="1">
        <v>0</v>
      </c>
      <c r="BC10" s="46">
        <v>0</v>
      </c>
      <c r="BD10" s="1">
        <v>0</v>
      </c>
      <c r="BE10" s="1">
        <v>0</v>
      </c>
      <c r="BF10" s="46">
        <v>0</v>
      </c>
      <c r="BG10" s="1">
        <v>0</v>
      </c>
      <c r="BH10" s="1">
        <v>0</v>
      </c>
      <c r="BI10" s="46">
        <v>0</v>
      </c>
      <c r="BJ10" s="1">
        <v>0</v>
      </c>
      <c r="BK10" s="1">
        <v>0</v>
      </c>
      <c r="BL10">
        <v>0</v>
      </c>
    </row>
    <row r="11" spans="1:64" ht="15.5" x14ac:dyDescent="0.35">
      <c r="A11" t="s">
        <v>73</v>
      </c>
      <c r="B11" s="1">
        <v>2003.25</v>
      </c>
      <c r="C11" s="1">
        <v>2003.25</v>
      </c>
      <c r="D11" s="46">
        <v>2003.25</v>
      </c>
      <c r="E11" s="1">
        <v>1894.52</v>
      </c>
      <c r="F11" s="1">
        <v>434.84</v>
      </c>
      <c r="G11" s="46">
        <v>434.84</v>
      </c>
      <c r="H11" s="1">
        <v>434.84</v>
      </c>
      <c r="I11" s="1">
        <v>0</v>
      </c>
      <c r="J11" s="46">
        <v>0</v>
      </c>
      <c r="K11" s="1">
        <v>0</v>
      </c>
      <c r="L11" s="1">
        <v>0</v>
      </c>
      <c r="M11" s="46">
        <v>0</v>
      </c>
      <c r="N11" s="1">
        <v>0</v>
      </c>
      <c r="O11" s="1">
        <v>0</v>
      </c>
      <c r="P11" s="46">
        <v>0</v>
      </c>
      <c r="Q11" s="1">
        <v>0</v>
      </c>
      <c r="R11" s="1">
        <v>0</v>
      </c>
      <c r="S11" s="46">
        <v>0</v>
      </c>
      <c r="T11" s="1">
        <v>0</v>
      </c>
      <c r="U11" s="1">
        <v>0</v>
      </c>
      <c r="V11" s="46">
        <v>0</v>
      </c>
      <c r="W11" s="1">
        <v>0</v>
      </c>
      <c r="X11" s="1">
        <v>0</v>
      </c>
      <c r="Y11" s="46">
        <v>0</v>
      </c>
      <c r="Z11" s="1">
        <v>0</v>
      </c>
      <c r="AA11" s="1">
        <v>0</v>
      </c>
      <c r="AB11" s="46">
        <v>0</v>
      </c>
      <c r="AC11" s="1">
        <v>0</v>
      </c>
      <c r="AD11" s="1">
        <v>0</v>
      </c>
      <c r="AE11" s="46">
        <v>0</v>
      </c>
      <c r="AF11" s="1">
        <v>0</v>
      </c>
      <c r="AG11" s="1">
        <v>0</v>
      </c>
      <c r="AH11" s="46">
        <v>0</v>
      </c>
      <c r="AI11" s="1">
        <v>0</v>
      </c>
      <c r="AJ11" s="1">
        <v>0</v>
      </c>
      <c r="AK11" s="46">
        <v>0</v>
      </c>
      <c r="AL11" s="1">
        <v>0</v>
      </c>
      <c r="AM11" s="1">
        <v>0</v>
      </c>
      <c r="AN11" s="46">
        <v>0</v>
      </c>
      <c r="AO11" s="1">
        <v>0</v>
      </c>
      <c r="AP11" s="1">
        <v>0</v>
      </c>
      <c r="AQ11" s="46">
        <v>0</v>
      </c>
      <c r="AR11" s="1">
        <v>0</v>
      </c>
      <c r="AS11" s="1">
        <v>0</v>
      </c>
      <c r="AT11" s="46">
        <v>0</v>
      </c>
      <c r="AU11" s="1">
        <v>0</v>
      </c>
      <c r="AV11" s="1">
        <v>0</v>
      </c>
      <c r="AW11" s="46">
        <v>0</v>
      </c>
      <c r="AX11" s="1">
        <v>0</v>
      </c>
      <c r="AY11" s="1">
        <v>0</v>
      </c>
      <c r="AZ11" s="46">
        <v>0</v>
      </c>
      <c r="BA11" s="1">
        <v>0</v>
      </c>
      <c r="BB11" s="1">
        <v>0</v>
      </c>
      <c r="BC11" s="46">
        <v>0</v>
      </c>
      <c r="BD11" s="1">
        <v>0</v>
      </c>
      <c r="BE11" s="1">
        <v>0</v>
      </c>
      <c r="BF11" s="46">
        <v>0</v>
      </c>
      <c r="BG11" s="1">
        <v>0</v>
      </c>
      <c r="BH11" s="1">
        <v>0</v>
      </c>
      <c r="BI11" s="46">
        <v>0</v>
      </c>
      <c r="BJ11" s="1">
        <v>0</v>
      </c>
      <c r="BK11" s="1">
        <v>0</v>
      </c>
      <c r="BL11">
        <v>0</v>
      </c>
    </row>
    <row r="12" spans="1:64" ht="15.5" x14ac:dyDescent="0.35">
      <c r="A12" t="s">
        <v>74</v>
      </c>
      <c r="B12" s="1">
        <v>245056.84</v>
      </c>
      <c r="C12" s="1">
        <v>245056.84</v>
      </c>
      <c r="D12" s="46">
        <v>245056.84</v>
      </c>
      <c r="E12" s="1">
        <v>231755.14</v>
      </c>
      <c r="F12" s="1">
        <v>53197</v>
      </c>
      <c r="G12" s="46">
        <v>53197</v>
      </c>
      <c r="H12" s="1">
        <v>53197</v>
      </c>
      <c r="I12" s="1">
        <v>0</v>
      </c>
      <c r="J12" s="46">
        <v>0</v>
      </c>
      <c r="K12" s="1">
        <v>0</v>
      </c>
      <c r="L12" s="1">
        <v>0</v>
      </c>
      <c r="M12" s="46">
        <v>0</v>
      </c>
      <c r="N12" s="1">
        <v>0</v>
      </c>
      <c r="O12" s="1">
        <v>0</v>
      </c>
      <c r="P12" s="46">
        <v>0</v>
      </c>
      <c r="Q12" s="1">
        <v>0</v>
      </c>
      <c r="R12" s="1">
        <v>0</v>
      </c>
      <c r="S12" s="46">
        <v>0</v>
      </c>
      <c r="T12" s="1">
        <v>0</v>
      </c>
      <c r="U12" s="1">
        <v>0</v>
      </c>
      <c r="V12" s="46">
        <v>0</v>
      </c>
      <c r="W12" s="1">
        <v>0</v>
      </c>
      <c r="X12" s="1">
        <v>0</v>
      </c>
      <c r="Y12" s="46">
        <v>0</v>
      </c>
      <c r="Z12" s="1">
        <v>0</v>
      </c>
      <c r="AA12" s="1">
        <v>0</v>
      </c>
      <c r="AB12" s="46">
        <v>0</v>
      </c>
      <c r="AC12" s="1">
        <v>0</v>
      </c>
      <c r="AD12" s="1">
        <v>0</v>
      </c>
      <c r="AE12" s="46">
        <v>0</v>
      </c>
      <c r="AF12" s="1">
        <v>0</v>
      </c>
      <c r="AG12" s="1">
        <v>0</v>
      </c>
      <c r="AH12" s="46">
        <v>0</v>
      </c>
      <c r="AI12" s="1">
        <v>0</v>
      </c>
      <c r="AJ12" s="1">
        <v>0</v>
      </c>
      <c r="AK12" s="46">
        <v>0</v>
      </c>
      <c r="AL12" s="1">
        <v>0</v>
      </c>
      <c r="AM12" s="1">
        <v>0</v>
      </c>
      <c r="AN12" s="46">
        <v>0</v>
      </c>
      <c r="AO12" s="1">
        <v>0</v>
      </c>
      <c r="AP12" s="1">
        <v>0</v>
      </c>
      <c r="AQ12" s="46">
        <v>0</v>
      </c>
      <c r="AR12" s="1">
        <v>0</v>
      </c>
      <c r="AS12" s="1">
        <v>0</v>
      </c>
      <c r="AT12" s="46">
        <v>0</v>
      </c>
      <c r="AU12" s="1">
        <v>0</v>
      </c>
      <c r="AV12" s="1">
        <v>0</v>
      </c>
      <c r="AW12" s="46">
        <v>0</v>
      </c>
      <c r="AX12" s="1">
        <v>0</v>
      </c>
      <c r="AY12" s="1">
        <v>0</v>
      </c>
      <c r="AZ12" s="46">
        <v>0</v>
      </c>
      <c r="BA12" s="1">
        <v>0</v>
      </c>
      <c r="BB12" s="1">
        <v>0</v>
      </c>
      <c r="BC12" s="46">
        <v>0</v>
      </c>
      <c r="BD12" s="1">
        <v>0</v>
      </c>
      <c r="BE12" s="1">
        <v>0</v>
      </c>
      <c r="BF12" s="46">
        <v>0</v>
      </c>
      <c r="BG12" s="1">
        <v>0</v>
      </c>
      <c r="BH12" s="1">
        <v>0</v>
      </c>
      <c r="BI12" s="46">
        <v>0</v>
      </c>
      <c r="BJ12" s="1">
        <v>0</v>
      </c>
      <c r="BK12" s="1">
        <v>0</v>
      </c>
      <c r="BL12">
        <v>0</v>
      </c>
    </row>
    <row r="13" spans="1:64" ht="15.5" x14ac:dyDescent="0.35">
      <c r="A13" t="s">
        <v>75</v>
      </c>
      <c r="B13" s="1">
        <v>87189.01</v>
      </c>
      <c r="C13" s="1">
        <v>87189.01</v>
      </c>
      <c r="D13" s="46">
        <v>84261.58</v>
      </c>
      <c r="E13" s="1">
        <v>79450.09</v>
      </c>
      <c r="F13" s="1">
        <v>15643.02</v>
      </c>
      <c r="G13" s="46">
        <v>15284.87</v>
      </c>
      <c r="H13" s="1">
        <v>14926.72</v>
      </c>
      <c r="I13" s="1">
        <v>0</v>
      </c>
      <c r="J13" s="46">
        <v>0</v>
      </c>
      <c r="K13" s="1">
        <v>0</v>
      </c>
      <c r="L13" s="1">
        <v>0</v>
      </c>
      <c r="M13" s="46">
        <v>0</v>
      </c>
      <c r="N13" s="1">
        <v>0</v>
      </c>
      <c r="O13" s="1">
        <v>0</v>
      </c>
      <c r="P13" s="46">
        <v>0</v>
      </c>
      <c r="Q13" s="1">
        <v>0</v>
      </c>
      <c r="R13" s="1">
        <v>0</v>
      </c>
      <c r="S13" s="46">
        <v>0</v>
      </c>
      <c r="T13" s="1">
        <v>0</v>
      </c>
      <c r="U13" s="1">
        <v>0</v>
      </c>
      <c r="V13" s="46">
        <v>0</v>
      </c>
      <c r="W13" s="1">
        <v>0</v>
      </c>
      <c r="X13" s="1">
        <v>0</v>
      </c>
      <c r="Y13" s="46">
        <v>0</v>
      </c>
      <c r="Z13" s="1">
        <v>0</v>
      </c>
      <c r="AA13" s="1">
        <v>0</v>
      </c>
      <c r="AB13" s="46">
        <v>0</v>
      </c>
      <c r="AC13" s="1">
        <v>0</v>
      </c>
      <c r="AD13" s="1">
        <v>0</v>
      </c>
      <c r="AE13" s="46">
        <v>0</v>
      </c>
      <c r="AF13" s="1">
        <v>0</v>
      </c>
      <c r="AG13" s="1">
        <v>0</v>
      </c>
      <c r="AH13" s="46">
        <v>0</v>
      </c>
      <c r="AI13" s="1">
        <v>0</v>
      </c>
      <c r="AJ13" s="1">
        <v>0</v>
      </c>
      <c r="AK13" s="46">
        <v>0</v>
      </c>
      <c r="AL13" s="1">
        <v>0</v>
      </c>
      <c r="AM13" s="1">
        <v>0</v>
      </c>
      <c r="AN13" s="46">
        <v>0</v>
      </c>
      <c r="AO13" s="1">
        <v>0</v>
      </c>
      <c r="AP13" s="1">
        <v>0</v>
      </c>
      <c r="AQ13" s="46">
        <v>0</v>
      </c>
      <c r="AR13" s="1">
        <v>0</v>
      </c>
      <c r="AS13" s="1">
        <v>0</v>
      </c>
      <c r="AT13" s="46">
        <v>0</v>
      </c>
      <c r="AU13" s="1">
        <v>0</v>
      </c>
      <c r="AV13" s="1">
        <v>0</v>
      </c>
      <c r="AW13" s="46">
        <v>0</v>
      </c>
      <c r="AX13" s="1">
        <v>0</v>
      </c>
      <c r="AY13" s="1">
        <v>0</v>
      </c>
      <c r="AZ13" s="46">
        <v>0</v>
      </c>
      <c r="BA13" s="1">
        <v>0</v>
      </c>
      <c r="BB13" s="1">
        <v>0</v>
      </c>
      <c r="BC13" s="46">
        <v>0</v>
      </c>
      <c r="BD13" s="1">
        <v>0</v>
      </c>
      <c r="BE13" s="1">
        <v>0</v>
      </c>
      <c r="BF13" s="46">
        <v>0</v>
      </c>
      <c r="BG13" s="1">
        <v>0</v>
      </c>
      <c r="BH13" s="1">
        <v>0</v>
      </c>
      <c r="BI13" s="46">
        <v>0</v>
      </c>
      <c r="BJ13" s="1">
        <v>0</v>
      </c>
      <c r="BK13" s="1">
        <v>0</v>
      </c>
      <c r="BL13">
        <v>0</v>
      </c>
    </row>
    <row r="14" spans="1:64" ht="15.5" x14ac:dyDescent="0.35">
      <c r="A14" t="s">
        <v>76</v>
      </c>
      <c r="B14" s="1">
        <v>0</v>
      </c>
      <c r="C14" s="1">
        <v>0</v>
      </c>
      <c r="D14" s="46">
        <v>0</v>
      </c>
      <c r="E14" s="1">
        <v>0</v>
      </c>
      <c r="F14" s="1">
        <v>0</v>
      </c>
      <c r="G14" s="46">
        <v>0</v>
      </c>
      <c r="H14" s="1">
        <v>0</v>
      </c>
      <c r="I14" s="1">
        <v>0</v>
      </c>
      <c r="J14" s="46">
        <v>0</v>
      </c>
      <c r="K14" s="1">
        <v>0</v>
      </c>
      <c r="L14" s="1">
        <v>0</v>
      </c>
      <c r="M14" s="46">
        <v>0</v>
      </c>
      <c r="N14" s="1">
        <v>0</v>
      </c>
      <c r="O14" s="1">
        <v>0</v>
      </c>
      <c r="P14" s="46">
        <v>0</v>
      </c>
      <c r="Q14" s="1">
        <v>0</v>
      </c>
      <c r="R14" s="1">
        <v>0</v>
      </c>
      <c r="S14" s="46">
        <v>0</v>
      </c>
      <c r="T14" s="1">
        <v>0</v>
      </c>
      <c r="U14" s="1">
        <v>0</v>
      </c>
      <c r="V14" s="46">
        <v>0</v>
      </c>
      <c r="W14" s="1">
        <v>0</v>
      </c>
      <c r="X14" s="1">
        <v>0</v>
      </c>
      <c r="Y14" s="46">
        <v>0</v>
      </c>
      <c r="Z14" s="1">
        <v>0</v>
      </c>
      <c r="AA14" s="1">
        <v>0</v>
      </c>
      <c r="AB14" s="46">
        <v>0</v>
      </c>
      <c r="AC14" s="1">
        <v>0</v>
      </c>
      <c r="AD14" s="1">
        <v>0</v>
      </c>
      <c r="AE14" s="46">
        <v>0</v>
      </c>
      <c r="AF14" s="1">
        <v>0</v>
      </c>
      <c r="AG14" s="1">
        <v>0</v>
      </c>
      <c r="AH14" s="46">
        <v>0</v>
      </c>
      <c r="AI14" s="1">
        <v>0</v>
      </c>
      <c r="AJ14" s="1">
        <v>0</v>
      </c>
      <c r="AK14" s="46">
        <v>0</v>
      </c>
      <c r="AL14" s="1">
        <v>0</v>
      </c>
      <c r="AM14" s="1">
        <v>0</v>
      </c>
      <c r="AN14" s="46">
        <v>0</v>
      </c>
      <c r="AO14" s="1">
        <v>0</v>
      </c>
      <c r="AP14" s="1">
        <v>0</v>
      </c>
      <c r="AQ14" s="46">
        <v>0</v>
      </c>
      <c r="AR14" s="1">
        <v>0</v>
      </c>
      <c r="AS14" s="1">
        <v>0</v>
      </c>
      <c r="AT14" s="46">
        <v>0</v>
      </c>
      <c r="AU14" s="1">
        <v>0</v>
      </c>
      <c r="AV14" s="1">
        <v>0</v>
      </c>
      <c r="AW14" s="46">
        <v>0</v>
      </c>
      <c r="AX14" s="1">
        <v>0</v>
      </c>
      <c r="AY14" s="1">
        <v>0</v>
      </c>
      <c r="AZ14" s="46">
        <v>0</v>
      </c>
      <c r="BA14" s="1">
        <v>0</v>
      </c>
      <c r="BB14" s="1">
        <v>0</v>
      </c>
      <c r="BC14" s="46">
        <v>0</v>
      </c>
      <c r="BD14" s="1">
        <v>0</v>
      </c>
      <c r="BE14" s="1">
        <v>0</v>
      </c>
      <c r="BF14" s="46">
        <v>0</v>
      </c>
      <c r="BG14" s="1">
        <v>0</v>
      </c>
      <c r="BH14" s="1">
        <v>0</v>
      </c>
      <c r="BI14" s="46">
        <v>0</v>
      </c>
      <c r="BJ14" s="1">
        <v>0</v>
      </c>
      <c r="BK14" s="1">
        <v>0</v>
      </c>
      <c r="BL14">
        <v>0</v>
      </c>
    </row>
    <row r="15" spans="1:64" ht="15.5" x14ac:dyDescent="0.35">
      <c r="A15" t="s">
        <v>77</v>
      </c>
      <c r="B15" s="1">
        <v>0</v>
      </c>
      <c r="C15" s="1">
        <v>0</v>
      </c>
      <c r="D15" s="46">
        <v>0</v>
      </c>
      <c r="E15" s="1">
        <v>1</v>
      </c>
      <c r="F15" s="1">
        <v>6</v>
      </c>
      <c r="G15" s="46">
        <v>0</v>
      </c>
      <c r="H15" s="1">
        <v>0</v>
      </c>
      <c r="I15" s="1">
        <v>4</v>
      </c>
      <c r="J15" s="46">
        <v>0</v>
      </c>
      <c r="K15" s="1">
        <v>0</v>
      </c>
      <c r="L15" s="1">
        <v>0</v>
      </c>
      <c r="M15" s="46">
        <v>0</v>
      </c>
      <c r="N15" s="1">
        <v>0</v>
      </c>
      <c r="O15" s="1">
        <v>0</v>
      </c>
      <c r="P15" s="46">
        <v>0</v>
      </c>
      <c r="Q15" s="1">
        <v>0</v>
      </c>
      <c r="R15" s="1">
        <v>0</v>
      </c>
      <c r="S15" s="46">
        <v>0</v>
      </c>
      <c r="T15" s="1">
        <v>0</v>
      </c>
      <c r="U15" s="1">
        <v>0</v>
      </c>
      <c r="V15" s="46">
        <v>0</v>
      </c>
      <c r="W15" s="1">
        <v>0</v>
      </c>
      <c r="X15" s="1">
        <v>0</v>
      </c>
      <c r="Y15" s="46">
        <v>0</v>
      </c>
      <c r="Z15" s="1">
        <v>0</v>
      </c>
      <c r="AA15" s="1">
        <v>0</v>
      </c>
      <c r="AB15" s="46">
        <v>0</v>
      </c>
      <c r="AC15" s="1">
        <v>0</v>
      </c>
      <c r="AD15" s="1">
        <v>0</v>
      </c>
      <c r="AE15" s="46">
        <v>0</v>
      </c>
      <c r="AF15" s="1">
        <v>0</v>
      </c>
      <c r="AG15" s="1">
        <v>0</v>
      </c>
      <c r="AH15" s="46">
        <v>0</v>
      </c>
      <c r="AI15" s="1">
        <v>0</v>
      </c>
      <c r="AJ15" s="1">
        <v>0</v>
      </c>
      <c r="AK15" s="46">
        <v>0</v>
      </c>
      <c r="AL15" s="1">
        <v>0</v>
      </c>
      <c r="AM15" s="1">
        <v>0</v>
      </c>
      <c r="AN15" s="46">
        <v>0</v>
      </c>
      <c r="AO15" s="1">
        <v>0</v>
      </c>
      <c r="AP15" s="1">
        <v>0</v>
      </c>
      <c r="AQ15" s="46">
        <v>0</v>
      </c>
      <c r="AR15" s="1">
        <v>0</v>
      </c>
      <c r="AS15" s="1">
        <v>0</v>
      </c>
      <c r="AT15" s="46">
        <v>0</v>
      </c>
      <c r="AU15" s="1">
        <v>0</v>
      </c>
      <c r="AV15" s="1">
        <v>0</v>
      </c>
      <c r="AW15" s="46">
        <v>0</v>
      </c>
      <c r="AX15" s="1">
        <v>0</v>
      </c>
      <c r="AY15" s="1">
        <v>0</v>
      </c>
      <c r="AZ15" s="46">
        <v>0</v>
      </c>
      <c r="BA15" s="1">
        <v>0</v>
      </c>
      <c r="BB15" s="1">
        <v>0</v>
      </c>
      <c r="BC15" s="46">
        <v>0</v>
      </c>
      <c r="BD15" s="1">
        <v>0</v>
      </c>
      <c r="BE15" s="1">
        <v>0</v>
      </c>
      <c r="BF15" s="46">
        <v>0</v>
      </c>
      <c r="BG15" s="1">
        <v>0</v>
      </c>
      <c r="BH15" s="1">
        <v>0</v>
      </c>
      <c r="BI15" s="46">
        <v>0</v>
      </c>
      <c r="BJ15" s="1">
        <v>0</v>
      </c>
      <c r="BK15" s="1">
        <v>0</v>
      </c>
      <c r="BL15">
        <v>0</v>
      </c>
    </row>
    <row r="16" spans="1:64" ht="15.5" x14ac:dyDescent="0.35">
      <c r="A16" t="s">
        <v>78</v>
      </c>
      <c r="B16" s="1">
        <v>0</v>
      </c>
      <c r="C16" s="1">
        <v>0</v>
      </c>
      <c r="D16" s="46">
        <v>0</v>
      </c>
      <c r="E16" s="1">
        <v>0</v>
      </c>
      <c r="F16" s="1">
        <v>0</v>
      </c>
      <c r="G16" s="46">
        <v>0</v>
      </c>
      <c r="H16" s="1">
        <v>0</v>
      </c>
      <c r="I16" s="1">
        <v>0</v>
      </c>
      <c r="J16" s="46">
        <v>0</v>
      </c>
      <c r="K16" s="1">
        <v>0</v>
      </c>
      <c r="L16" s="1">
        <v>0</v>
      </c>
      <c r="M16" s="46">
        <v>0</v>
      </c>
      <c r="N16" s="1">
        <v>0</v>
      </c>
      <c r="O16" s="1">
        <v>0</v>
      </c>
      <c r="P16" s="46">
        <v>0</v>
      </c>
      <c r="Q16" s="1">
        <v>0</v>
      </c>
      <c r="R16" s="1">
        <v>0</v>
      </c>
      <c r="S16" s="46">
        <v>0</v>
      </c>
      <c r="T16" s="1">
        <v>0</v>
      </c>
      <c r="U16" s="1">
        <v>0</v>
      </c>
      <c r="V16" s="46">
        <v>0</v>
      </c>
      <c r="W16" s="1">
        <v>0</v>
      </c>
      <c r="X16" s="1">
        <v>0</v>
      </c>
      <c r="Y16" s="46">
        <v>0</v>
      </c>
      <c r="Z16" s="1">
        <v>0</v>
      </c>
      <c r="AA16" s="1">
        <v>0</v>
      </c>
      <c r="AB16" s="46">
        <v>0</v>
      </c>
      <c r="AC16" s="1">
        <v>0</v>
      </c>
      <c r="AD16" s="1">
        <v>0</v>
      </c>
      <c r="AE16" s="46">
        <v>0</v>
      </c>
      <c r="AF16" s="1">
        <v>0</v>
      </c>
      <c r="AG16" s="1">
        <v>0</v>
      </c>
      <c r="AH16" s="46">
        <v>0</v>
      </c>
      <c r="AI16" s="1">
        <v>0</v>
      </c>
      <c r="AJ16" s="1">
        <v>0</v>
      </c>
      <c r="AK16" s="46">
        <v>0</v>
      </c>
      <c r="AL16" s="1">
        <v>0</v>
      </c>
      <c r="AM16" s="1">
        <v>0</v>
      </c>
      <c r="AN16" s="46">
        <v>0</v>
      </c>
      <c r="AO16" s="1">
        <v>0</v>
      </c>
      <c r="AP16" s="1">
        <v>0</v>
      </c>
      <c r="AQ16" s="46">
        <v>0</v>
      </c>
      <c r="AR16" s="1">
        <v>0</v>
      </c>
      <c r="AS16" s="1">
        <v>0</v>
      </c>
      <c r="AT16" s="46">
        <v>0</v>
      </c>
      <c r="AU16" s="1">
        <v>0</v>
      </c>
      <c r="AV16" s="1">
        <v>0</v>
      </c>
      <c r="AW16" s="46">
        <v>0</v>
      </c>
      <c r="AX16" s="1">
        <v>0</v>
      </c>
      <c r="AY16" s="1">
        <v>0</v>
      </c>
      <c r="AZ16" s="46">
        <v>0</v>
      </c>
      <c r="BA16" s="1">
        <v>0</v>
      </c>
      <c r="BB16" s="1">
        <v>0</v>
      </c>
      <c r="BC16" s="46">
        <v>0</v>
      </c>
      <c r="BD16" s="1">
        <v>0</v>
      </c>
      <c r="BE16" s="1">
        <v>0</v>
      </c>
      <c r="BF16" s="46">
        <v>0</v>
      </c>
      <c r="BG16" s="1">
        <v>0</v>
      </c>
      <c r="BH16" s="1">
        <v>0</v>
      </c>
      <c r="BI16" s="46">
        <v>0</v>
      </c>
      <c r="BJ16" s="1">
        <v>0</v>
      </c>
      <c r="BK16" s="1">
        <v>0</v>
      </c>
      <c r="BL1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16"/>
  <sheetViews>
    <sheetView workbookViewId="0">
      <selection sqref="A1:XFD1048576"/>
    </sheetView>
  </sheetViews>
  <sheetFormatPr defaultRowHeight="14.5" x14ac:dyDescent="0.35"/>
  <cols>
    <col min="1" max="1" width="13" bestFit="1" customWidth="1"/>
    <col min="2" max="3" width="13" hidden="1" bestFit="1" customWidth="1"/>
    <col min="4" max="4" width="13" bestFit="1" customWidth="1"/>
    <col min="5" max="6" width="13" hidden="1" bestFit="1" customWidth="1"/>
    <col min="7" max="7" width="13" bestFit="1" customWidth="1"/>
    <col min="8" max="9" width="13" hidden="1" bestFit="1" customWidth="1"/>
    <col min="10" max="10" width="13" bestFit="1" customWidth="1"/>
    <col min="11" max="12" width="13" hidden="1" bestFit="1" customWidth="1"/>
    <col min="13" max="13" width="13" bestFit="1" customWidth="1"/>
    <col min="14" max="15" width="13" hidden="1" bestFit="1" customWidth="1"/>
    <col min="16" max="16" width="13" bestFit="1" customWidth="1"/>
    <col min="17" max="18" width="13" hidden="1" bestFit="1" customWidth="1"/>
    <col min="19" max="19" width="13" bestFit="1" customWidth="1"/>
    <col min="20" max="21" width="13" hidden="1" bestFit="1" customWidth="1"/>
    <col min="22" max="22" width="13" bestFit="1" customWidth="1"/>
    <col min="23" max="24" width="13" hidden="1" bestFit="1" customWidth="1"/>
    <col min="25" max="25" width="13" bestFit="1" customWidth="1"/>
    <col min="26" max="27" width="13" hidden="1" bestFit="1" customWidth="1"/>
    <col min="28" max="28" width="13" bestFit="1" customWidth="1"/>
    <col min="29" max="30" width="13" hidden="1" bestFit="1" customWidth="1"/>
    <col min="31" max="31" width="13" bestFit="1" customWidth="1"/>
    <col min="32" max="33" width="13" hidden="1" bestFit="1" customWidth="1"/>
    <col min="34" max="34" width="13" bestFit="1" customWidth="1"/>
    <col min="35" max="36" width="13" hidden="1" bestFit="1" customWidth="1"/>
    <col min="37" max="37" width="13" bestFit="1" customWidth="1"/>
    <col min="38" max="39" width="13" hidden="1" bestFit="1" customWidth="1"/>
    <col min="40" max="40" width="13" bestFit="1" customWidth="1"/>
    <col min="41" max="42" width="13" hidden="1" bestFit="1" customWidth="1"/>
    <col min="43" max="43" width="13" bestFit="1" customWidth="1"/>
    <col min="44" max="45" width="13" hidden="1" bestFit="1" customWidth="1"/>
    <col min="46" max="46" width="13" bestFit="1" customWidth="1"/>
    <col min="47" max="48" width="13" hidden="1" bestFit="1" customWidth="1"/>
    <col min="49" max="49" width="13" bestFit="1" customWidth="1"/>
    <col min="50" max="51" width="13" hidden="1" bestFit="1" customWidth="1"/>
    <col min="52" max="52" width="13" bestFit="1" customWidth="1"/>
    <col min="53" max="54" width="13" hidden="1" bestFit="1" customWidth="1"/>
    <col min="55" max="55" width="13" bestFit="1" customWidth="1"/>
    <col min="56" max="57" width="13" hidden="1" bestFit="1" customWidth="1"/>
    <col min="58" max="58" width="13" bestFit="1" customWidth="1"/>
    <col min="59" max="60" width="13" hidden="1" bestFit="1" customWidth="1"/>
    <col min="61" max="61" width="13" bestFit="1" customWidth="1"/>
    <col min="62" max="62" width="13" hidden="1" bestFit="1" customWidth="1"/>
  </cols>
  <sheetData>
    <row r="1" spans="1:64" x14ac:dyDescent="0.35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t="s">
        <v>5</v>
      </c>
      <c r="G1" s="16" t="s">
        <v>6</v>
      </c>
      <c r="H1" t="s">
        <v>7</v>
      </c>
      <c r="I1" t="s">
        <v>8</v>
      </c>
      <c r="J1" s="16" t="s">
        <v>9</v>
      </c>
      <c r="K1" t="s">
        <v>10</v>
      </c>
      <c r="L1" t="s">
        <v>11</v>
      </c>
      <c r="M1" s="16" t="s">
        <v>12</v>
      </c>
      <c r="N1" t="s">
        <v>13</v>
      </c>
      <c r="O1" t="s">
        <v>14</v>
      </c>
      <c r="P1" s="16" t="s">
        <v>15</v>
      </c>
      <c r="Q1" t="s">
        <v>16</v>
      </c>
      <c r="R1" t="s">
        <v>17</v>
      </c>
      <c r="S1" s="16" t="s">
        <v>18</v>
      </c>
      <c r="T1" t="s">
        <v>19</v>
      </c>
      <c r="U1" t="s">
        <v>20</v>
      </c>
      <c r="V1" s="16" t="s">
        <v>21</v>
      </c>
      <c r="W1" t="s">
        <v>22</v>
      </c>
      <c r="X1" t="s">
        <v>23</v>
      </c>
      <c r="Y1" s="16" t="s">
        <v>24</v>
      </c>
      <c r="Z1" t="s">
        <v>25</v>
      </c>
      <c r="AA1" t="s">
        <v>26</v>
      </c>
      <c r="AB1" s="16" t="s">
        <v>27</v>
      </c>
      <c r="AC1" t="s">
        <v>28</v>
      </c>
      <c r="AD1" t="s">
        <v>29</v>
      </c>
      <c r="AE1" s="16" t="s">
        <v>30</v>
      </c>
      <c r="AF1" t="s">
        <v>31</v>
      </c>
      <c r="AG1" t="s">
        <v>32</v>
      </c>
      <c r="AH1" s="16" t="s">
        <v>33</v>
      </c>
      <c r="AI1" t="s">
        <v>34</v>
      </c>
      <c r="AJ1" t="s">
        <v>35</v>
      </c>
      <c r="AK1" s="16" t="s">
        <v>36</v>
      </c>
      <c r="AL1" t="s">
        <v>37</v>
      </c>
      <c r="AM1" t="s">
        <v>38</v>
      </c>
      <c r="AN1" s="16" t="s">
        <v>39</v>
      </c>
      <c r="AO1" t="s">
        <v>40</v>
      </c>
      <c r="AP1" t="s">
        <v>41</v>
      </c>
      <c r="AQ1" s="16" t="s">
        <v>42</v>
      </c>
      <c r="AR1" t="s">
        <v>43</v>
      </c>
      <c r="AS1" t="s">
        <v>44</v>
      </c>
      <c r="AT1" s="16" t="s">
        <v>45</v>
      </c>
      <c r="AU1" t="s">
        <v>46</v>
      </c>
      <c r="AV1" t="s">
        <v>47</v>
      </c>
      <c r="AW1" s="16" t="s">
        <v>48</v>
      </c>
      <c r="AX1" t="s">
        <v>49</v>
      </c>
      <c r="AY1" t="s">
        <v>50</v>
      </c>
      <c r="AZ1" s="16" t="s">
        <v>51</v>
      </c>
      <c r="BA1" t="s">
        <v>52</v>
      </c>
      <c r="BB1" t="s">
        <v>53</v>
      </c>
      <c r="BC1" s="16" t="s">
        <v>54</v>
      </c>
      <c r="BD1" t="s">
        <v>55</v>
      </c>
      <c r="BE1" t="s">
        <v>56</v>
      </c>
      <c r="BF1" s="16" t="s">
        <v>57</v>
      </c>
      <c r="BG1" t="s">
        <v>58</v>
      </c>
      <c r="BH1" t="s">
        <v>59</v>
      </c>
      <c r="BI1" s="16" t="s">
        <v>60</v>
      </c>
      <c r="BJ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1">
        <v>163</v>
      </c>
      <c r="C2" s="1">
        <v>139</v>
      </c>
      <c r="D2" s="46">
        <v>137</v>
      </c>
      <c r="E2" s="1">
        <v>136</v>
      </c>
      <c r="F2" s="1">
        <v>135</v>
      </c>
      <c r="G2" s="46">
        <v>135</v>
      </c>
      <c r="H2" s="1">
        <v>135</v>
      </c>
      <c r="I2" s="1">
        <v>134</v>
      </c>
      <c r="J2" s="46">
        <v>133</v>
      </c>
      <c r="K2" s="1">
        <v>128</v>
      </c>
      <c r="L2" s="1">
        <v>120</v>
      </c>
      <c r="M2" s="46">
        <v>119</v>
      </c>
      <c r="N2" s="1">
        <v>107</v>
      </c>
      <c r="O2" s="1">
        <v>104</v>
      </c>
      <c r="P2" s="46">
        <v>103</v>
      </c>
      <c r="Q2" s="1">
        <v>67</v>
      </c>
      <c r="R2" s="1">
        <v>65</v>
      </c>
      <c r="S2" s="46">
        <v>65</v>
      </c>
      <c r="T2" s="1">
        <v>65</v>
      </c>
      <c r="U2" s="1">
        <v>65</v>
      </c>
      <c r="V2" s="46">
        <v>64</v>
      </c>
      <c r="W2" s="1">
        <v>63</v>
      </c>
      <c r="X2" s="1">
        <v>58</v>
      </c>
      <c r="Y2" s="46">
        <v>57</v>
      </c>
      <c r="Z2" s="1">
        <v>57</v>
      </c>
      <c r="AA2" s="1">
        <v>46</v>
      </c>
      <c r="AB2" s="46">
        <v>46</v>
      </c>
      <c r="AC2" s="1">
        <v>46</v>
      </c>
      <c r="AD2" s="1">
        <v>46</v>
      </c>
      <c r="AE2" s="46">
        <v>46</v>
      </c>
      <c r="AF2" s="1">
        <v>46</v>
      </c>
      <c r="AG2" s="1">
        <v>46</v>
      </c>
      <c r="AH2" s="46">
        <v>44</v>
      </c>
      <c r="AI2" s="1">
        <v>44</v>
      </c>
      <c r="AJ2" s="1">
        <v>44</v>
      </c>
      <c r="AK2" s="46">
        <v>44</v>
      </c>
      <c r="AL2" s="1">
        <v>44</v>
      </c>
      <c r="AM2" s="1">
        <v>44</v>
      </c>
      <c r="AN2" s="46">
        <v>43</v>
      </c>
      <c r="AO2" s="1">
        <v>43</v>
      </c>
      <c r="AP2" s="1">
        <v>42</v>
      </c>
      <c r="AQ2" s="46">
        <v>42</v>
      </c>
      <c r="AR2" s="1">
        <v>42</v>
      </c>
      <c r="AS2" s="1">
        <v>42</v>
      </c>
      <c r="AT2" s="46">
        <v>42</v>
      </c>
      <c r="AU2" s="1">
        <v>42</v>
      </c>
      <c r="AV2" s="1">
        <v>42</v>
      </c>
      <c r="AW2" s="46">
        <v>42</v>
      </c>
      <c r="AX2" s="1">
        <v>41</v>
      </c>
      <c r="AY2" s="1">
        <v>1</v>
      </c>
      <c r="AZ2" s="46">
        <v>1</v>
      </c>
      <c r="BA2" s="1">
        <v>1</v>
      </c>
      <c r="BB2" s="1">
        <v>0</v>
      </c>
      <c r="BC2" s="46">
        <v>0</v>
      </c>
      <c r="BD2" s="1">
        <v>0</v>
      </c>
      <c r="BE2" s="1">
        <v>0</v>
      </c>
      <c r="BF2" s="46">
        <v>0</v>
      </c>
      <c r="BG2" s="1">
        <v>0</v>
      </c>
      <c r="BH2" s="1">
        <v>0</v>
      </c>
      <c r="BI2" s="46">
        <v>0</v>
      </c>
      <c r="BJ2" s="1">
        <v>0</v>
      </c>
      <c r="BK2" s="1">
        <v>0</v>
      </c>
      <c r="BL2">
        <v>0</v>
      </c>
    </row>
    <row r="3" spans="1:64" ht="15.5" x14ac:dyDescent="0.35">
      <c r="A3" t="s">
        <v>65</v>
      </c>
      <c r="B3" s="1">
        <v>0</v>
      </c>
      <c r="C3" s="1">
        <v>0</v>
      </c>
      <c r="D3" s="46">
        <v>0</v>
      </c>
      <c r="E3" s="1">
        <v>0</v>
      </c>
      <c r="F3" s="1">
        <v>0</v>
      </c>
      <c r="G3" s="46">
        <v>0</v>
      </c>
      <c r="H3" s="1">
        <v>0</v>
      </c>
      <c r="I3" s="1">
        <v>0</v>
      </c>
      <c r="J3" s="46">
        <v>0</v>
      </c>
      <c r="K3" s="1">
        <v>0</v>
      </c>
      <c r="L3" s="1">
        <v>0</v>
      </c>
      <c r="M3" s="46">
        <v>0</v>
      </c>
      <c r="N3" s="1">
        <v>0</v>
      </c>
      <c r="O3" s="1">
        <v>0</v>
      </c>
      <c r="P3" s="46">
        <v>0</v>
      </c>
      <c r="Q3" s="1">
        <v>0</v>
      </c>
      <c r="R3" s="1">
        <v>0</v>
      </c>
      <c r="S3" s="46">
        <v>0</v>
      </c>
      <c r="T3" s="1">
        <v>0</v>
      </c>
      <c r="U3" s="1">
        <v>0</v>
      </c>
      <c r="V3" s="46">
        <v>0</v>
      </c>
      <c r="W3" s="1">
        <v>0</v>
      </c>
      <c r="X3" s="1">
        <v>0</v>
      </c>
      <c r="Y3" s="46">
        <v>0</v>
      </c>
      <c r="Z3" s="1">
        <v>0</v>
      </c>
      <c r="AA3" s="1">
        <v>0</v>
      </c>
      <c r="AB3" s="46">
        <v>0</v>
      </c>
      <c r="AC3" s="1">
        <v>0</v>
      </c>
      <c r="AD3" s="1">
        <v>0</v>
      </c>
      <c r="AE3" s="46">
        <v>0</v>
      </c>
      <c r="AF3" s="1">
        <v>0</v>
      </c>
      <c r="AG3" s="1">
        <v>0</v>
      </c>
      <c r="AH3" s="46">
        <v>0</v>
      </c>
      <c r="AI3" s="1">
        <v>0</v>
      </c>
      <c r="AJ3" s="1">
        <v>0</v>
      </c>
      <c r="AK3" s="46">
        <v>0</v>
      </c>
      <c r="AL3" s="1">
        <v>0</v>
      </c>
      <c r="AM3" s="1">
        <v>0</v>
      </c>
      <c r="AN3" s="46">
        <v>0</v>
      </c>
      <c r="AO3" s="1">
        <v>0</v>
      </c>
      <c r="AP3" s="1">
        <v>0</v>
      </c>
      <c r="AQ3" s="46">
        <v>0</v>
      </c>
      <c r="AR3" s="1">
        <v>0</v>
      </c>
      <c r="AS3" s="1">
        <v>0</v>
      </c>
      <c r="AT3" s="46">
        <v>0</v>
      </c>
      <c r="AU3" s="1">
        <v>0</v>
      </c>
      <c r="AV3" s="1">
        <v>0</v>
      </c>
      <c r="AW3" s="46">
        <v>0</v>
      </c>
      <c r="AX3" s="1">
        <v>0</v>
      </c>
      <c r="AY3" s="1">
        <v>0</v>
      </c>
      <c r="AZ3" s="46">
        <v>0</v>
      </c>
      <c r="BA3" s="1">
        <v>0</v>
      </c>
      <c r="BB3" s="1">
        <v>0</v>
      </c>
      <c r="BC3" s="46">
        <v>0</v>
      </c>
      <c r="BD3" s="1">
        <v>0</v>
      </c>
      <c r="BE3" s="1">
        <v>0</v>
      </c>
      <c r="BF3" s="46">
        <v>0</v>
      </c>
      <c r="BG3" s="1">
        <v>0</v>
      </c>
      <c r="BH3" s="1">
        <v>0</v>
      </c>
      <c r="BI3" s="46">
        <v>0</v>
      </c>
      <c r="BJ3" s="1">
        <v>0</v>
      </c>
      <c r="BK3" s="1">
        <v>0</v>
      </c>
      <c r="BL3">
        <v>0</v>
      </c>
    </row>
    <row r="4" spans="1:64" ht="15.5" x14ac:dyDescent="0.35">
      <c r="A4" t="s">
        <v>66</v>
      </c>
      <c r="B4" s="1">
        <v>0</v>
      </c>
      <c r="C4" s="1">
        <v>0</v>
      </c>
      <c r="D4" s="46">
        <v>0</v>
      </c>
      <c r="E4" s="1">
        <v>0</v>
      </c>
      <c r="F4" s="1">
        <v>0</v>
      </c>
      <c r="G4" s="46">
        <v>0</v>
      </c>
      <c r="H4" s="1">
        <v>0</v>
      </c>
      <c r="I4" s="1">
        <v>0</v>
      </c>
      <c r="J4" s="46">
        <v>0</v>
      </c>
      <c r="K4" s="1">
        <v>0</v>
      </c>
      <c r="L4" s="1">
        <v>0</v>
      </c>
      <c r="M4" s="46">
        <v>0</v>
      </c>
      <c r="N4" s="1">
        <v>0</v>
      </c>
      <c r="O4" s="1">
        <v>0</v>
      </c>
      <c r="P4" s="46">
        <v>0</v>
      </c>
      <c r="Q4" s="1">
        <v>0</v>
      </c>
      <c r="R4" s="1">
        <v>0</v>
      </c>
      <c r="S4" s="46">
        <v>0</v>
      </c>
      <c r="T4" s="1">
        <v>0</v>
      </c>
      <c r="U4" s="1">
        <v>0</v>
      </c>
      <c r="V4" s="46">
        <v>0</v>
      </c>
      <c r="W4" s="1">
        <v>0</v>
      </c>
      <c r="X4" s="1">
        <v>0</v>
      </c>
      <c r="Y4" s="46">
        <v>0</v>
      </c>
      <c r="Z4" s="1">
        <v>0</v>
      </c>
      <c r="AA4" s="1">
        <v>0</v>
      </c>
      <c r="AB4" s="46">
        <v>0</v>
      </c>
      <c r="AC4" s="1">
        <v>0</v>
      </c>
      <c r="AD4" s="1">
        <v>0</v>
      </c>
      <c r="AE4" s="46">
        <v>0</v>
      </c>
      <c r="AF4" s="1">
        <v>0</v>
      </c>
      <c r="AG4" s="1">
        <v>0</v>
      </c>
      <c r="AH4" s="46">
        <v>0</v>
      </c>
      <c r="AI4" s="1">
        <v>0</v>
      </c>
      <c r="AJ4" s="1">
        <v>0</v>
      </c>
      <c r="AK4" s="46">
        <v>0</v>
      </c>
      <c r="AL4" s="1">
        <v>0</v>
      </c>
      <c r="AM4" s="1">
        <v>0</v>
      </c>
      <c r="AN4" s="46">
        <v>0</v>
      </c>
      <c r="AO4" s="1">
        <v>0</v>
      </c>
      <c r="AP4" s="1">
        <v>0</v>
      </c>
      <c r="AQ4" s="46">
        <v>0</v>
      </c>
      <c r="AR4" s="1">
        <v>0</v>
      </c>
      <c r="AS4" s="1">
        <v>0</v>
      </c>
      <c r="AT4" s="46">
        <v>0</v>
      </c>
      <c r="AU4" s="1">
        <v>0</v>
      </c>
      <c r="AV4" s="1">
        <v>0</v>
      </c>
      <c r="AW4" s="46">
        <v>0</v>
      </c>
      <c r="AX4" s="1">
        <v>0</v>
      </c>
      <c r="AY4" s="1">
        <v>0</v>
      </c>
      <c r="AZ4" s="46">
        <v>0</v>
      </c>
      <c r="BA4" s="1">
        <v>0</v>
      </c>
      <c r="BB4" s="1">
        <v>0</v>
      </c>
      <c r="BC4" s="46">
        <v>0</v>
      </c>
      <c r="BD4" s="1">
        <v>0</v>
      </c>
      <c r="BE4" s="1">
        <v>0</v>
      </c>
      <c r="BF4" s="46">
        <v>0</v>
      </c>
      <c r="BG4" s="1">
        <v>0</v>
      </c>
      <c r="BH4" s="1">
        <v>0</v>
      </c>
      <c r="BI4" s="46">
        <v>0</v>
      </c>
      <c r="BJ4" s="1">
        <v>0</v>
      </c>
      <c r="BK4" s="1">
        <v>0</v>
      </c>
      <c r="BL4">
        <v>0</v>
      </c>
    </row>
    <row r="5" spans="1:64" ht="15.5" x14ac:dyDescent="0.35">
      <c r="A5" t="s">
        <v>67</v>
      </c>
      <c r="B5" s="1">
        <v>2648488.9700000002</v>
      </c>
      <c r="C5" s="1">
        <v>2464196.91</v>
      </c>
      <c r="D5" s="46">
        <v>2456677.19</v>
      </c>
      <c r="E5" s="1">
        <v>2450630.2599999998</v>
      </c>
      <c r="F5" s="1">
        <v>2439276.62</v>
      </c>
      <c r="G5" s="46">
        <v>2439276.62</v>
      </c>
      <c r="H5" s="1">
        <v>2439276.62</v>
      </c>
      <c r="I5" s="1">
        <v>2428596.7999999998</v>
      </c>
      <c r="J5" s="46">
        <v>2423689.91</v>
      </c>
      <c r="K5" s="1">
        <v>2377064.2799999989</v>
      </c>
      <c r="L5" s="1">
        <v>2310233.71</v>
      </c>
      <c r="M5" s="46">
        <v>2298084.83</v>
      </c>
      <c r="N5" s="1">
        <v>2187806.419999999</v>
      </c>
      <c r="O5" s="1">
        <v>2136713.89</v>
      </c>
      <c r="P5" s="46">
        <v>2128615.9500000002</v>
      </c>
      <c r="Q5" s="1">
        <v>1770250.17</v>
      </c>
      <c r="R5" s="1">
        <v>1739046.33</v>
      </c>
      <c r="S5" s="46">
        <v>1739046.33</v>
      </c>
      <c r="T5" s="1">
        <v>1739046.33</v>
      </c>
      <c r="U5" s="1">
        <v>1739046.33</v>
      </c>
      <c r="V5" s="46">
        <v>1711860.85</v>
      </c>
      <c r="W5" s="1">
        <v>1700335.23</v>
      </c>
      <c r="X5" s="1">
        <v>1649701.56</v>
      </c>
      <c r="Y5" s="46">
        <v>1639720.27</v>
      </c>
      <c r="Z5" s="1">
        <v>1639720.27</v>
      </c>
      <c r="AA5" s="1">
        <v>1307002.3899999999</v>
      </c>
      <c r="AB5" s="46">
        <v>1307002.3899999999</v>
      </c>
      <c r="AC5" s="1">
        <v>1307002.3899999999</v>
      </c>
      <c r="AD5" s="1">
        <v>1307002.3899999999</v>
      </c>
      <c r="AE5" s="46">
        <v>1307002.3899999999</v>
      </c>
      <c r="AF5" s="1">
        <v>1307002.3899999999</v>
      </c>
      <c r="AG5" s="1">
        <v>1307002.3899999999</v>
      </c>
      <c r="AH5" s="46">
        <v>1261301.6100000001</v>
      </c>
      <c r="AI5" s="1">
        <v>1261301.6100000001</v>
      </c>
      <c r="AJ5" s="1">
        <v>1261301.6100000001</v>
      </c>
      <c r="AK5" s="46">
        <v>1261301.6100000001</v>
      </c>
      <c r="AL5" s="1">
        <v>1261301.6100000001</v>
      </c>
      <c r="AM5" s="1">
        <v>1261301.6100000001</v>
      </c>
      <c r="AN5" s="46">
        <v>1242826.42</v>
      </c>
      <c r="AO5" s="1">
        <v>1242826.42</v>
      </c>
      <c r="AP5" s="1">
        <v>1222232.92</v>
      </c>
      <c r="AQ5" s="46">
        <v>1222232.92</v>
      </c>
      <c r="AR5" s="1">
        <v>1222232.92</v>
      </c>
      <c r="AS5" s="1">
        <v>1222232.92</v>
      </c>
      <c r="AT5" s="46">
        <v>1222232.92</v>
      </c>
      <c r="AU5" s="1">
        <v>1222232.92</v>
      </c>
      <c r="AV5" s="1">
        <v>1222232.92</v>
      </c>
      <c r="AW5" s="46">
        <v>1222232.92</v>
      </c>
      <c r="AX5" s="1">
        <v>1170874.23</v>
      </c>
      <c r="AY5" s="1">
        <v>53283.12</v>
      </c>
      <c r="AZ5" s="46">
        <v>53283.12</v>
      </c>
      <c r="BA5" s="1">
        <v>53283.12</v>
      </c>
      <c r="BB5" s="1">
        <v>0</v>
      </c>
      <c r="BC5" s="46">
        <v>0</v>
      </c>
      <c r="BD5" s="1">
        <v>0</v>
      </c>
      <c r="BE5" s="1">
        <v>0</v>
      </c>
      <c r="BF5" s="46">
        <v>0</v>
      </c>
      <c r="BG5" s="1">
        <v>0</v>
      </c>
      <c r="BH5" s="1">
        <v>0</v>
      </c>
      <c r="BI5" s="46">
        <v>0</v>
      </c>
      <c r="BJ5" s="1">
        <v>0</v>
      </c>
      <c r="BK5" s="1">
        <v>0</v>
      </c>
      <c r="BL5">
        <v>0</v>
      </c>
    </row>
    <row r="6" spans="1:64" ht="15.5" x14ac:dyDescent="0.35">
      <c r="A6" t="s">
        <v>68</v>
      </c>
      <c r="B6" s="1">
        <v>711918.8</v>
      </c>
      <c r="C6" s="1">
        <v>664816.9</v>
      </c>
      <c r="D6" s="46">
        <v>664816.9</v>
      </c>
      <c r="E6" s="1">
        <v>664259.79</v>
      </c>
      <c r="F6" s="1">
        <v>662888.39000000013</v>
      </c>
      <c r="G6" s="46">
        <v>662888.39000000013</v>
      </c>
      <c r="H6" s="1">
        <v>662888.39000000013</v>
      </c>
      <c r="I6" s="1">
        <v>661902.26</v>
      </c>
      <c r="J6" s="46">
        <v>661324.82000000007</v>
      </c>
      <c r="K6" s="1">
        <v>656122.09</v>
      </c>
      <c r="L6" s="1">
        <v>645828.81000000006</v>
      </c>
      <c r="M6" s="46">
        <v>643622.99999999988</v>
      </c>
      <c r="N6" s="1">
        <v>609016.92000000004</v>
      </c>
      <c r="O6" s="1">
        <v>595603.6</v>
      </c>
      <c r="P6" s="46">
        <v>593708.85999999987</v>
      </c>
      <c r="Q6" s="1">
        <v>527237.59000000008</v>
      </c>
      <c r="R6" s="1">
        <v>519042.58</v>
      </c>
      <c r="S6" s="46">
        <v>519042.58</v>
      </c>
      <c r="T6" s="1">
        <v>519042.58</v>
      </c>
      <c r="U6" s="1">
        <v>519042.58</v>
      </c>
      <c r="V6" s="46">
        <v>512261.4</v>
      </c>
      <c r="W6" s="1">
        <v>508659.36</v>
      </c>
      <c r="X6" s="1">
        <v>495130.56000000011</v>
      </c>
      <c r="Y6" s="46">
        <v>492127.29</v>
      </c>
      <c r="Z6" s="1">
        <v>492127.29</v>
      </c>
      <c r="AA6" s="1">
        <v>370437.75</v>
      </c>
      <c r="AB6" s="46">
        <v>370437.75</v>
      </c>
      <c r="AC6" s="1">
        <v>370437.75</v>
      </c>
      <c r="AD6" s="1">
        <v>370437.75</v>
      </c>
      <c r="AE6" s="46">
        <v>370437.75</v>
      </c>
      <c r="AF6" s="1">
        <v>370437.75</v>
      </c>
      <c r="AG6" s="1">
        <v>370437.75</v>
      </c>
      <c r="AH6" s="46">
        <v>358295.09000000008</v>
      </c>
      <c r="AI6" s="1">
        <v>358295.09000000008</v>
      </c>
      <c r="AJ6" s="1">
        <v>358295.09000000008</v>
      </c>
      <c r="AK6" s="46">
        <v>358295.09000000008</v>
      </c>
      <c r="AL6" s="1">
        <v>358295.09000000008</v>
      </c>
      <c r="AM6" s="1">
        <v>358295.09000000008</v>
      </c>
      <c r="AN6" s="46">
        <v>353041.51000000013</v>
      </c>
      <c r="AO6" s="1">
        <v>353041.51000000013</v>
      </c>
      <c r="AP6" s="1">
        <v>347492.57</v>
      </c>
      <c r="AQ6" s="46">
        <v>347492.57</v>
      </c>
      <c r="AR6" s="1">
        <v>347492.57</v>
      </c>
      <c r="AS6" s="1">
        <v>347492.57</v>
      </c>
      <c r="AT6" s="46">
        <v>347492.57</v>
      </c>
      <c r="AU6" s="1">
        <v>347492.57</v>
      </c>
      <c r="AV6" s="1">
        <v>347492.57</v>
      </c>
      <c r="AW6" s="46">
        <v>347492.57</v>
      </c>
      <c r="AX6" s="1">
        <v>332726.37</v>
      </c>
      <c r="AY6" s="1">
        <v>17606.189999999999</v>
      </c>
      <c r="AZ6" s="46">
        <v>17606.189999999999</v>
      </c>
      <c r="BA6" s="1">
        <v>17606.189999999999</v>
      </c>
      <c r="BB6" s="1">
        <v>0</v>
      </c>
      <c r="BC6" s="46">
        <v>0</v>
      </c>
      <c r="BD6" s="1">
        <v>0</v>
      </c>
      <c r="BE6" s="1">
        <v>0</v>
      </c>
      <c r="BF6" s="46">
        <v>0</v>
      </c>
      <c r="BG6" s="1">
        <v>0</v>
      </c>
      <c r="BH6" s="1">
        <v>0</v>
      </c>
      <c r="BI6" s="46">
        <v>0</v>
      </c>
      <c r="BJ6" s="1">
        <v>0</v>
      </c>
      <c r="BK6" s="1">
        <v>0</v>
      </c>
      <c r="BL6">
        <v>0</v>
      </c>
    </row>
    <row r="7" spans="1:64" ht="15.5" x14ac:dyDescent="0.35">
      <c r="A7" t="s">
        <v>69</v>
      </c>
      <c r="B7" s="1">
        <v>812546.68000000017</v>
      </c>
      <c r="C7" s="1">
        <v>795400.15</v>
      </c>
      <c r="D7" s="46">
        <v>794218.02</v>
      </c>
      <c r="E7" s="1">
        <v>794491.4</v>
      </c>
      <c r="F7" s="1">
        <v>792434.67</v>
      </c>
      <c r="G7" s="46">
        <v>792434.67</v>
      </c>
      <c r="H7" s="1">
        <v>792434.67</v>
      </c>
      <c r="I7" s="1">
        <v>791160.36</v>
      </c>
      <c r="J7" s="46">
        <v>789958.74</v>
      </c>
      <c r="K7" s="1">
        <v>783205.84000000008</v>
      </c>
      <c r="L7" s="1">
        <v>763649.5</v>
      </c>
      <c r="M7" s="46">
        <v>760768.62999999989</v>
      </c>
      <c r="N7" s="1">
        <v>732240.85000000009</v>
      </c>
      <c r="O7" s="1">
        <v>711861.7300000001</v>
      </c>
      <c r="P7" s="46">
        <v>708871.39999999979</v>
      </c>
      <c r="Q7" s="1">
        <v>612349.68999999983</v>
      </c>
      <c r="R7" s="1">
        <v>601957.72</v>
      </c>
      <c r="S7" s="46">
        <v>601957.72</v>
      </c>
      <c r="T7" s="1">
        <v>601957.72</v>
      </c>
      <c r="U7" s="1">
        <v>601957.72</v>
      </c>
      <c r="V7" s="46">
        <v>590185.74</v>
      </c>
      <c r="W7" s="1">
        <v>587066.80999999982</v>
      </c>
      <c r="X7" s="1">
        <v>574022.85</v>
      </c>
      <c r="Y7" s="46">
        <v>571345.16999999993</v>
      </c>
      <c r="Z7" s="1">
        <v>571345.16999999993</v>
      </c>
      <c r="AA7" s="1">
        <v>464310.5</v>
      </c>
      <c r="AB7" s="46">
        <v>464310.5</v>
      </c>
      <c r="AC7" s="1">
        <v>464310.5</v>
      </c>
      <c r="AD7" s="1">
        <v>464310.5</v>
      </c>
      <c r="AE7" s="46">
        <v>464310.5</v>
      </c>
      <c r="AF7" s="1">
        <v>464310.5</v>
      </c>
      <c r="AG7" s="1">
        <v>464310.5</v>
      </c>
      <c r="AH7" s="46">
        <v>449171.74</v>
      </c>
      <c r="AI7" s="1">
        <v>449171.74</v>
      </c>
      <c r="AJ7" s="1">
        <v>449171.74</v>
      </c>
      <c r="AK7" s="46">
        <v>449171.74</v>
      </c>
      <c r="AL7" s="1">
        <v>449171.74</v>
      </c>
      <c r="AM7" s="1">
        <v>449171.74</v>
      </c>
      <c r="AN7" s="46">
        <v>442712.32000000001</v>
      </c>
      <c r="AO7" s="1">
        <v>442712.32000000001</v>
      </c>
      <c r="AP7" s="1">
        <v>435084.11</v>
      </c>
      <c r="AQ7" s="46">
        <v>435084.11</v>
      </c>
      <c r="AR7" s="1">
        <v>435084.11</v>
      </c>
      <c r="AS7" s="1">
        <v>435084.11</v>
      </c>
      <c r="AT7" s="46">
        <v>435084.11</v>
      </c>
      <c r="AU7" s="1">
        <v>435084.11</v>
      </c>
      <c r="AV7" s="1">
        <v>435084.11</v>
      </c>
      <c r="AW7" s="46">
        <v>435084.11</v>
      </c>
      <c r="AX7" s="1">
        <v>412867.42</v>
      </c>
      <c r="AY7" s="1">
        <v>23615.34</v>
      </c>
      <c r="AZ7" s="46">
        <v>23615.34</v>
      </c>
      <c r="BA7" s="1">
        <v>23615.34</v>
      </c>
      <c r="BB7" s="1">
        <v>0</v>
      </c>
      <c r="BC7" s="46">
        <v>0</v>
      </c>
      <c r="BD7" s="1">
        <v>0</v>
      </c>
      <c r="BE7" s="1">
        <v>0</v>
      </c>
      <c r="BF7" s="46">
        <v>0</v>
      </c>
      <c r="BG7" s="1">
        <v>0</v>
      </c>
      <c r="BH7" s="1">
        <v>0</v>
      </c>
      <c r="BI7" s="46">
        <v>0</v>
      </c>
      <c r="BJ7" s="1">
        <v>0</v>
      </c>
      <c r="BK7" s="1">
        <v>0</v>
      </c>
      <c r="BL7">
        <v>0</v>
      </c>
    </row>
    <row r="8" spans="1:64" ht="15.5" x14ac:dyDescent="0.35">
      <c r="A8" t="s">
        <v>70</v>
      </c>
      <c r="B8" s="1">
        <v>213363.24</v>
      </c>
      <c r="C8" s="1">
        <v>184478.92</v>
      </c>
      <c r="D8" s="46">
        <v>182845.42</v>
      </c>
      <c r="E8" s="1">
        <v>182133.53</v>
      </c>
      <c r="F8" s="1">
        <v>181111.15</v>
      </c>
      <c r="G8" s="46">
        <v>181111.15</v>
      </c>
      <c r="H8" s="1">
        <v>181111.15</v>
      </c>
      <c r="I8" s="1">
        <v>179143.96</v>
      </c>
      <c r="J8" s="46">
        <v>177894.13</v>
      </c>
      <c r="K8" s="1">
        <v>173074.48</v>
      </c>
      <c r="L8" s="1">
        <v>164649.03</v>
      </c>
      <c r="M8" s="46">
        <v>163195.96</v>
      </c>
      <c r="N8" s="1">
        <v>155134.60999999999</v>
      </c>
      <c r="O8" s="1">
        <v>151750.04999999999</v>
      </c>
      <c r="P8" s="46">
        <v>150648.85</v>
      </c>
      <c r="Q8" s="1">
        <v>108943.49</v>
      </c>
      <c r="R8" s="1">
        <v>105219.94</v>
      </c>
      <c r="S8" s="46">
        <v>105219.94</v>
      </c>
      <c r="T8" s="1">
        <v>105219.94</v>
      </c>
      <c r="U8" s="1">
        <v>105219.94</v>
      </c>
      <c r="V8" s="46">
        <v>102986.56</v>
      </c>
      <c r="W8" s="1">
        <v>101792.73</v>
      </c>
      <c r="X8" s="1">
        <v>97011.14</v>
      </c>
      <c r="Y8" s="46">
        <v>95691.569999999992</v>
      </c>
      <c r="Z8" s="1">
        <v>95691.569999999992</v>
      </c>
      <c r="AA8" s="1">
        <v>68504.510000000009</v>
      </c>
      <c r="AB8" s="46">
        <v>68504.510000000009</v>
      </c>
      <c r="AC8" s="1">
        <v>68504.510000000009</v>
      </c>
      <c r="AD8" s="1">
        <v>68504.510000000009</v>
      </c>
      <c r="AE8" s="46">
        <v>68504.510000000009</v>
      </c>
      <c r="AF8" s="1">
        <v>68504.510000000009</v>
      </c>
      <c r="AG8" s="1">
        <v>68504.510000000009</v>
      </c>
      <c r="AH8" s="46">
        <v>64995.610000000008</v>
      </c>
      <c r="AI8" s="1">
        <v>64995.610000000008</v>
      </c>
      <c r="AJ8" s="1">
        <v>64995.610000000008</v>
      </c>
      <c r="AK8" s="46">
        <v>64995.610000000008</v>
      </c>
      <c r="AL8" s="1">
        <v>64995.610000000008</v>
      </c>
      <c r="AM8" s="1">
        <v>64995.610000000008</v>
      </c>
      <c r="AN8" s="46">
        <v>63594.850000000013</v>
      </c>
      <c r="AO8" s="1">
        <v>63594.850000000013</v>
      </c>
      <c r="AP8" s="1">
        <v>62533.850000000013</v>
      </c>
      <c r="AQ8" s="46">
        <v>62533.850000000013</v>
      </c>
      <c r="AR8" s="1">
        <v>62533.850000000013</v>
      </c>
      <c r="AS8" s="1">
        <v>62533.850000000013</v>
      </c>
      <c r="AT8" s="46">
        <v>62533.850000000013</v>
      </c>
      <c r="AU8" s="1">
        <v>62533.850000000013</v>
      </c>
      <c r="AV8" s="1">
        <v>62533.850000000013</v>
      </c>
      <c r="AW8" s="46">
        <v>62533.850000000013</v>
      </c>
      <c r="AX8" s="1">
        <v>58842.3</v>
      </c>
      <c r="AY8" s="1">
        <v>3619.07</v>
      </c>
      <c r="AZ8" s="46">
        <v>3619.07</v>
      </c>
      <c r="BA8" s="1">
        <v>3619.07</v>
      </c>
      <c r="BB8" s="1">
        <v>0</v>
      </c>
      <c r="BC8" s="46">
        <v>0</v>
      </c>
      <c r="BD8" s="1">
        <v>0</v>
      </c>
      <c r="BE8" s="1">
        <v>0</v>
      </c>
      <c r="BF8" s="46">
        <v>0</v>
      </c>
      <c r="BG8" s="1">
        <v>0</v>
      </c>
      <c r="BH8" s="1">
        <v>0</v>
      </c>
      <c r="BI8" s="46">
        <v>0</v>
      </c>
      <c r="BJ8" s="1">
        <v>0</v>
      </c>
      <c r="BK8" s="1">
        <v>0</v>
      </c>
      <c r="BL8">
        <v>0</v>
      </c>
    </row>
    <row r="9" spans="1:64" ht="15.5" x14ac:dyDescent="0.35">
      <c r="A9" t="s">
        <v>71</v>
      </c>
      <c r="B9" s="1">
        <v>10083547.24</v>
      </c>
      <c r="C9" s="1">
        <v>7754269.0099999998</v>
      </c>
      <c r="D9" s="46">
        <v>7622820.5800000001</v>
      </c>
      <c r="E9" s="1">
        <v>7497335.0899999999</v>
      </c>
      <c r="F9" s="1">
        <v>7426166.21</v>
      </c>
      <c r="G9" s="46">
        <v>7426166.21</v>
      </c>
      <c r="H9" s="1">
        <v>7426166.21</v>
      </c>
      <c r="I9" s="1">
        <v>7370039.0099999998</v>
      </c>
      <c r="J9" s="46">
        <v>7271505.8599999994</v>
      </c>
      <c r="K9" s="1">
        <v>6598221.1599999992</v>
      </c>
      <c r="L9" s="1">
        <v>5902196.7300000004</v>
      </c>
      <c r="M9" s="46">
        <v>5823477.4499999993</v>
      </c>
      <c r="N9" s="1">
        <v>5191872.47</v>
      </c>
      <c r="O9" s="1">
        <v>5053904.01</v>
      </c>
      <c r="P9" s="46">
        <v>5035454.04</v>
      </c>
      <c r="Q9" s="1">
        <v>2648744.92</v>
      </c>
      <c r="R9" s="1">
        <v>2540937.2999999998</v>
      </c>
      <c r="S9" s="46">
        <v>2540937.2999999998</v>
      </c>
      <c r="T9" s="1">
        <v>2540937.2999999998</v>
      </c>
      <c r="U9" s="1">
        <v>2540937.2999999998</v>
      </c>
      <c r="V9" s="46">
        <v>2494870.48</v>
      </c>
      <c r="W9" s="1">
        <v>2437587.6800000011</v>
      </c>
      <c r="X9" s="1">
        <v>2157796.87</v>
      </c>
      <c r="Y9" s="46">
        <v>2123868.8199999998</v>
      </c>
      <c r="Z9" s="1">
        <v>2123868.8199999998</v>
      </c>
      <c r="AA9" s="1">
        <v>1786208</v>
      </c>
      <c r="AB9" s="46">
        <v>1786208</v>
      </c>
      <c r="AC9" s="1">
        <v>1786208</v>
      </c>
      <c r="AD9" s="1">
        <v>1786208</v>
      </c>
      <c r="AE9" s="46">
        <v>1786208</v>
      </c>
      <c r="AF9" s="1">
        <v>1786208</v>
      </c>
      <c r="AG9" s="1">
        <v>1786208</v>
      </c>
      <c r="AH9" s="46">
        <v>1625088</v>
      </c>
      <c r="AI9" s="1">
        <v>1625088</v>
      </c>
      <c r="AJ9" s="1">
        <v>1625088</v>
      </c>
      <c r="AK9" s="46">
        <v>1625088</v>
      </c>
      <c r="AL9" s="1">
        <v>1625088</v>
      </c>
      <c r="AM9" s="1">
        <v>1625088</v>
      </c>
      <c r="AN9" s="46">
        <v>1576501.68</v>
      </c>
      <c r="AO9" s="1">
        <v>1576501.68</v>
      </c>
      <c r="AP9" s="1">
        <v>1548330.36</v>
      </c>
      <c r="AQ9" s="46">
        <v>1548330.36</v>
      </c>
      <c r="AR9" s="1">
        <v>1548330.36</v>
      </c>
      <c r="AS9" s="1">
        <v>1548330.36</v>
      </c>
      <c r="AT9" s="46">
        <v>1548330.36</v>
      </c>
      <c r="AU9" s="1">
        <v>1548330.36</v>
      </c>
      <c r="AV9" s="1">
        <v>1548330.36</v>
      </c>
      <c r="AW9" s="46">
        <v>1548330.36</v>
      </c>
      <c r="AX9" s="1">
        <v>1543434.36</v>
      </c>
      <c r="AY9" s="1">
        <v>70701.929999999993</v>
      </c>
      <c r="AZ9" s="46">
        <v>70701.929999999993</v>
      </c>
      <c r="BA9" s="1">
        <v>70701.929999999993</v>
      </c>
      <c r="BB9" s="1">
        <v>0</v>
      </c>
      <c r="BC9" s="46">
        <v>0</v>
      </c>
      <c r="BD9" s="1">
        <v>0</v>
      </c>
      <c r="BE9" s="1">
        <v>0</v>
      </c>
      <c r="BF9" s="46">
        <v>0</v>
      </c>
      <c r="BG9" s="1">
        <v>0</v>
      </c>
      <c r="BH9" s="1">
        <v>0</v>
      </c>
      <c r="BI9" s="46">
        <v>0</v>
      </c>
      <c r="BJ9" s="1">
        <v>0</v>
      </c>
      <c r="BK9" s="1">
        <v>0</v>
      </c>
      <c r="BL9">
        <v>0</v>
      </c>
    </row>
    <row r="10" spans="1:64" ht="15.5" x14ac:dyDescent="0.35">
      <c r="A10" t="s">
        <v>72</v>
      </c>
      <c r="B10" s="1">
        <v>5057825.7000000011</v>
      </c>
      <c r="C10" s="1">
        <v>3704786.73</v>
      </c>
      <c r="D10" s="46">
        <v>3666380.7100000009</v>
      </c>
      <c r="E10" s="1">
        <v>3615064.69</v>
      </c>
      <c r="F10" s="1">
        <v>3602028.9</v>
      </c>
      <c r="G10" s="46">
        <v>3602028.9</v>
      </c>
      <c r="H10" s="1">
        <v>3602028.9</v>
      </c>
      <c r="I10" s="1">
        <v>3591239.36</v>
      </c>
      <c r="J10" s="46">
        <v>3515106.4700000011</v>
      </c>
      <c r="K10" s="1">
        <v>3371320.88</v>
      </c>
      <c r="L10" s="1">
        <v>3092609.99</v>
      </c>
      <c r="M10" s="46">
        <v>3033504.77</v>
      </c>
      <c r="N10" s="1">
        <v>2817811.810000001</v>
      </c>
      <c r="O10" s="1">
        <v>2758063.54</v>
      </c>
      <c r="P10" s="46">
        <v>2744143.560000001</v>
      </c>
      <c r="Q10" s="1">
        <v>1882781.52</v>
      </c>
      <c r="R10" s="1">
        <v>1855500.5</v>
      </c>
      <c r="S10" s="46">
        <v>1855500.5</v>
      </c>
      <c r="T10" s="1">
        <v>1855500.5</v>
      </c>
      <c r="U10" s="1">
        <v>1855500.5</v>
      </c>
      <c r="V10" s="46">
        <v>1823861.08</v>
      </c>
      <c r="W10" s="1">
        <v>1795684.43</v>
      </c>
      <c r="X10" s="1">
        <v>1762163.02</v>
      </c>
      <c r="Y10" s="46">
        <v>1757438.06</v>
      </c>
      <c r="Z10" s="1">
        <v>1757438.06</v>
      </c>
      <c r="AA10" s="1">
        <v>1540826.21</v>
      </c>
      <c r="AB10" s="46">
        <v>1540826.21</v>
      </c>
      <c r="AC10" s="1">
        <v>1540826.21</v>
      </c>
      <c r="AD10" s="1">
        <v>1540826.21</v>
      </c>
      <c r="AE10" s="46">
        <v>1540826.21</v>
      </c>
      <c r="AF10" s="1">
        <v>1540826.21</v>
      </c>
      <c r="AG10" s="1">
        <v>1540826.21</v>
      </c>
      <c r="AH10" s="46">
        <v>1433503.47</v>
      </c>
      <c r="AI10" s="1">
        <v>1433503.47</v>
      </c>
      <c r="AJ10" s="1">
        <v>1433503.47</v>
      </c>
      <c r="AK10" s="46">
        <v>1433503.47</v>
      </c>
      <c r="AL10" s="1">
        <v>1433503.47</v>
      </c>
      <c r="AM10" s="1">
        <v>1433503.47</v>
      </c>
      <c r="AN10" s="46">
        <v>1420212.3</v>
      </c>
      <c r="AO10" s="1">
        <v>1420212.3</v>
      </c>
      <c r="AP10" s="1">
        <v>1432083.15</v>
      </c>
      <c r="AQ10" s="46">
        <v>1432083.15</v>
      </c>
      <c r="AR10" s="1">
        <v>1432083.15</v>
      </c>
      <c r="AS10" s="1">
        <v>1432083.15</v>
      </c>
      <c r="AT10" s="46">
        <v>1432083.15</v>
      </c>
      <c r="AU10" s="1">
        <v>1432083.15</v>
      </c>
      <c r="AV10" s="1">
        <v>1432083.15</v>
      </c>
      <c r="AW10" s="46">
        <v>1432083.15</v>
      </c>
      <c r="AX10" s="1">
        <v>1427187.15</v>
      </c>
      <c r="AY10" s="1">
        <v>68281.91</v>
      </c>
      <c r="AZ10" s="46">
        <v>68281.91</v>
      </c>
      <c r="BA10" s="1">
        <v>68281.91</v>
      </c>
      <c r="BB10" s="1">
        <v>0</v>
      </c>
      <c r="BC10" s="46">
        <v>0</v>
      </c>
      <c r="BD10" s="1">
        <v>0</v>
      </c>
      <c r="BE10" s="1">
        <v>0</v>
      </c>
      <c r="BF10" s="46">
        <v>0</v>
      </c>
      <c r="BG10" s="1">
        <v>0</v>
      </c>
      <c r="BH10" s="1">
        <v>0</v>
      </c>
      <c r="BI10" s="46">
        <v>0</v>
      </c>
      <c r="BJ10" s="1">
        <v>0</v>
      </c>
      <c r="BK10" s="1">
        <v>0</v>
      </c>
      <c r="BL10">
        <v>0</v>
      </c>
    </row>
    <row r="11" spans="1:64" ht="15.5" x14ac:dyDescent="0.35">
      <c r="A11" t="s">
        <v>73</v>
      </c>
      <c r="B11" s="1">
        <v>489053.09999999992</v>
      </c>
      <c r="C11" s="1">
        <v>463262.08</v>
      </c>
      <c r="D11" s="46">
        <v>461939.74</v>
      </c>
      <c r="E11" s="1">
        <v>461074.36</v>
      </c>
      <c r="F11" s="1">
        <v>459171.24</v>
      </c>
      <c r="G11" s="46">
        <v>459171.24</v>
      </c>
      <c r="H11" s="1">
        <v>459171.24</v>
      </c>
      <c r="I11" s="1">
        <v>457219.04999999987</v>
      </c>
      <c r="J11" s="46">
        <v>457091.04999999987</v>
      </c>
      <c r="K11" s="1">
        <v>452544.59000000008</v>
      </c>
      <c r="L11" s="1">
        <v>447060.99</v>
      </c>
      <c r="M11" s="46">
        <v>444451.86</v>
      </c>
      <c r="N11" s="1">
        <v>426024.95000000013</v>
      </c>
      <c r="O11" s="1">
        <v>416965.32000000012</v>
      </c>
      <c r="P11" s="46">
        <v>415075.86</v>
      </c>
      <c r="Q11" s="1">
        <v>353246.17</v>
      </c>
      <c r="R11" s="1">
        <v>348247.31</v>
      </c>
      <c r="S11" s="46">
        <v>348247.31</v>
      </c>
      <c r="T11" s="1">
        <v>348247.31</v>
      </c>
      <c r="U11" s="1">
        <v>348247.31</v>
      </c>
      <c r="V11" s="46">
        <v>343308.95</v>
      </c>
      <c r="W11" s="1">
        <v>341130.2</v>
      </c>
      <c r="X11" s="1">
        <v>333531.96999999997</v>
      </c>
      <c r="Y11" s="46">
        <v>331503.96999999997</v>
      </c>
      <c r="Z11" s="1">
        <v>331503.96999999997</v>
      </c>
      <c r="AA11" s="1">
        <v>267287.94000000012</v>
      </c>
      <c r="AB11" s="46">
        <v>267287.94000000012</v>
      </c>
      <c r="AC11" s="1">
        <v>267287.94000000012</v>
      </c>
      <c r="AD11" s="1">
        <v>267287.94000000012</v>
      </c>
      <c r="AE11" s="46">
        <v>267287.94000000012</v>
      </c>
      <c r="AF11" s="1">
        <v>267287.94000000012</v>
      </c>
      <c r="AG11" s="1">
        <v>267287.94000000012</v>
      </c>
      <c r="AH11" s="46">
        <v>260433.48</v>
      </c>
      <c r="AI11" s="1">
        <v>260433.48</v>
      </c>
      <c r="AJ11" s="1">
        <v>260433.48</v>
      </c>
      <c r="AK11" s="46">
        <v>260433.48</v>
      </c>
      <c r="AL11" s="1">
        <v>260433.48</v>
      </c>
      <c r="AM11" s="1">
        <v>260433.48</v>
      </c>
      <c r="AN11" s="46">
        <v>257096.48</v>
      </c>
      <c r="AO11" s="1">
        <v>257096.48</v>
      </c>
      <c r="AP11" s="1">
        <v>253531.51</v>
      </c>
      <c r="AQ11" s="46">
        <v>253531.51</v>
      </c>
      <c r="AR11" s="1">
        <v>253531.51</v>
      </c>
      <c r="AS11" s="1">
        <v>253531.51</v>
      </c>
      <c r="AT11" s="46">
        <v>253531.51</v>
      </c>
      <c r="AU11" s="1">
        <v>253531.51</v>
      </c>
      <c r="AV11" s="1">
        <v>253531.51</v>
      </c>
      <c r="AW11" s="46">
        <v>253531.51</v>
      </c>
      <c r="AX11" s="1">
        <v>245295.26</v>
      </c>
      <c r="AY11" s="1">
        <v>586.75</v>
      </c>
      <c r="AZ11" s="46">
        <v>586.75</v>
      </c>
      <c r="BA11" s="1">
        <v>586.75</v>
      </c>
      <c r="BB11" s="1">
        <v>0</v>
      </c>
      <c r="BC11" s="46">
        <v>0</v>
      </c>
      <c r="BD11" s="1">
        <v>0</v>
      </c>
      <c r="BE11" s="1">
        <v>0</v>
      </c>
      <c r="BF11" s="46">
        <v>0</v>
      </c>
      <c r="BG11" s="1">
        <v>0</v>
      </c>
      <c r="BH11" s="1">
        <v>0</v>
      </c>
      <c r="BI11" s="46">
        <v>0</v>
      </c>
      <c r="BJ11" s="1">
        <v>0</v>
      </c>
      <c r="BK11" s="1">
        <v>0</v>
      </c>
      <c r="BL11">
        <v>0</v>
      </c>
    </row>
    <row r="12" spans="1:64" ht="15.5" x14ac:dyDescent="0.35">
      <c r="A12" t="s">
        <v>74</v>
      </c>
      <c r="B12" s="1">
        <v>59843146.990000002</v>
      </c>
      <c r="C12" s="1">
        <v>54954461.490000002</v>
      </c>
      <c r="D12" s="46">
        <v>54718417.490000002</v>
      </c>
      <c r="E12" s="1">
        <v>54616038.850000001</v>
      </c>
      <c r="F12" s="1">
        <v>54339323.850000009</v>
      </c>
      <c r="G12" s="46">
        <v>54339323.850000009</v>
      </c>
      <c r="H12" s="1">
        <v>54339323.850000009</v>
      </c>
      <c r="I12" s="1">
        <v>54033254.619999997</v>
      </c>
      <c r="J12" s="46">
        <v>53839760.479999997</v>
      </c>
      <c r="K12" s="1">
        <v>52955105.739999987</v>
      </c>
      <c r="L12" s="1">
        <v>51231636.049999997</v>
      </c>
      <c r="M12" s="46">
        <v>50906898.24000001</v>
      </c>
      <c r="N12" s="1">
        <v>48168953.5</v>
      </c>
      <c r="O12" s="1">
        <v>46864941.069999993</v>
      </c>
      <c r="P12" s="46">
        <v>46578883.38000001</v>
      </c>
      <c r="Q12" s="1">
        <v>37525395.580000013</v>
      </c>
      <c r="R12" s="1">
        <v>36797369.590000004</v>
      </c>
      <c r="S12" s="46">
        <v>36797369.590000004</v>
      </c>
      <c r="T12" s="1">
        <v>36797369.590000004</v>
      </c>
      <c r="U12" s="1">
        <v>36797369.590000004</v>
      </c>
      <c r="V12" s="46">
        <v>36142353.340000004</v>
      </c>
      <c r="W12" s="1">
        <v>35855832.590000004</v>
      </c>
      <c r="X12" s="1">
        <v>34732243.939999998</v>
      </c>
      <c r="Y12" s="46">
        <v>34478328.939999998</v>
      </c>
      <c r="Z12" s="1">
        <v>34478328.939999998</v>
      </c>
      <c r="AA12" s="1">
        <v>25214041.48</v>
      </c>
      <c r="AB12" s="46">
        <v>25214041.48</v>
      </c>
      <c r="AC12" s="1">
        <v>25214041.48</v>
      </c>
      <c r="AD12" s="1">
        <v>25214041.48</v>
      </c>
      <c r="AE12" s="46">
        <v>25214041.48</v>
      </c>
      <c r="AF12" s="1">
        <v>25214041.48</v>
      </c>
      <c r="AG12" s="1">
        <v>25214041.48</v>
      </c>
      <c r="AH12" s="46">
        <v>24371905.32</v>
      </c>
      <c r="AI12" s="1">
        <v>24371905.32</v>
      </c>
      <c r="AJ12" s="1">
        <v>24371905.32</v>
      </c>
      <c r="AK12" s="46">
        <v>24371905.32</v>
      </c>
      <c r="AL12" s="1">
        <v>24371905.32</v>
      </c>
      <c r="AM12" s="1">
        <v>24371905.32</v>
      </c>
      <c r="AN12" s="46">
        <v>23951674.800000001</v>
      </c>
      <c r="AO12" s="1">
        <v>23951674.800000001</v>
      </c>
      <c r="AP12" s="1">
        <v>23547274.800000001</v>
      </c>
      <c r="AQ12" s="46">
        <v>23547274.800000001</v>
      </c>
      <c r="AR12" s="1">
        <v>23547274.800000001</v>
      </c>
      <c r="AS12" s="1">
        <v>23547274.800000001</v>
      </c>
      <c r="AT12" s="46">
        <v>23547274.800000001</v>
      </c>
      <c r="AU12" s="1">
        <v>23547274.800000001</v>
      </c>
      <c r="AV12" s="1">
        <v>23547274.800000001</v>
      </c>
      <c r="AW12" s="46">
        <v>23547274.800000001</v>
      </c>
      <c r="AX12" s="1">
        <v>22439809.66</v>
      </c>
      <c r="AY12" s="1">
        <v>1240825</v>
      </c>
      <c r="AZ12" s="46">
        <v>1240825</v>
      </c>
      <c r="BA12" s="1">
        <v>1240825</v>
      </c>
      <c r="BB12" s="1">
        <v>0</v>
      </c>
      <c r="BC12" s="46">
        <v>0</v>
      </c>
      <c r="BD12" s="1">
        <v>0</v>
      </c>
      <c r="BE12" s="1">
        <v>0</v>
      </c>
      <c r="BF12" s="46">
        <v>0</v>
      </c>
      <c r="BG12" s="1">
        <v>0</v>
      </c>
      <c r="BH12" s="1">
        <v>0</v>
      </c>
      <c r="BI12" s="46">
        <v>0</v>
      </c>
      <c r="BJ12" s="1">
        <v>0</v>
      </c>
      <c r="BK12" s="1">
        <v>0</v>
      </c>
      <c r="BL12">
        <v>0</v>
      </c>
    </row>
    <row r="13" spans="1:64" ht="15.5" x14ac:dyDescent="0.35">
      <c r="A13" t="s">
        <v>75</v>
      </c>
      <c r="B13" s="1">
        <v>36089297.780000001</v>
      </c>
      <c r="C13" s="1">
        <v>35101273.010000013</v>
      </c>
      <c r="D13" s="46">
        <v>34393458.670000002</v>
      </c>
      <c r="E13" s="1">
        <v>33717294.479999997</v>
      </c>
      <c r="F13" s="1">
        <v>32971035.469999991</v>
      </c>
      <c r="G13" s="46">
        <v>32308147.079999991</v>
      </c>
      <c r="H13" s="1">
        <v>31645258.68999999</v>
      </c>
      <c r="I13" s="1">
        <v>30904865.989999998</v>
      </c>
      <c r="J13" s="46">
        <v>30198052.52999999</v>
      </c>
      <c r="K13" s="1">
        <v>29344047.609999988</v>
      </c>
      <c r="L13" s="1">
        <v>28145644.809999991</v>
      </c>
      <c r="M13" s="46">
        <v>27407260.95999999</v>
      </c>
      <c r="N13" s="1">
        <v>26000359.269999988</v>
      </c>
      <c r="O13" s="1">
        <v>24896712.140000001</v>
      </c>
      <c r="P13" s="46">
        <v>24193550.629999999</v>
      </c>
      <c r="Q13" s="1">
        <v>21271758.59</v>
      </c>
      <c r="R13" s="1">
        <v>20550333.780000001</v>
      </c>
      <c r="S13" s="46">
        <v>20031291.199999999</v>
      </c>
      <c r="T13" s="1">
        <v>19512248.620000001</v>
      </c>
      <c r="U13" s="1">
        <v>18993206.039999999</v>
      </c>
      <c r="V13" s="46">
        <v>18204962.669999991</v>
      </c>
      <c r="W13" s="1">
        <v>17618700.879999999</v>
      </c>
      <c r="X13" s="1">
        <v>16819881.550000001</v>
      </c>
      <c r="Y13" s="46">
        <v>16256854.880000001</v>
      </c>
      <c r="Z13" s="1">
        <v>15764727.59</v>
      </c>
      <c r="AA13" s="1">
        <v>11935273.24</v>
      </c>
      <c r="AB13" s="46">
        <v>11564835.49</v>
      </c>
      <c r="AC13" s="1">
        <v>11194397.74</v>
      </c>
      <c r="AD13" s="1">
        <v>10823959.99</v>
      </c>
      <c r="AE13" s="46">
        <v>10453522.24</v>
      </c>
      <c r="AF13" s="1">
        <v>10083084.49</v>
      </c>
      <c r="AG13" s="1">
        <v>9712646.7399999984</v>
      </c>
      <c r="AH13" s="46">
        <v>9107205.8299999945</v>
      </c>
      <c r="AI13" s="1">
        <v>8748910.7399999946</v>
      </c>
      <c r="AJ13" s="1">
        <v>8390615.6499999948</v>
      </c>
      <c r="AK13" s="46">
        <v>8032320.5599999949</v>
      </c>
      <c r="AL13" s="1">
        <v>7674025.4699999951</v>
      </c>
      <c r="AM13" s="1">
        <v>7315730.3799999952</v>
      </c>
      <c r="AN13" s="46">
        <v>6852419.5699999984</v>
      </c>
      <c r="AO13" s="1">
        <v>6499378.0599999987</v>
      </c>
      <c r="AP13" s="1">
        <v>6058006.6900000013</v>
      </c>
      <c r="AQ13" s="46">
        <v>5710514.120000001</v>
      </c>
      <c r="AR13" s="1">
        <v>5363021.5500000007</v>
      </c>
      <c r="AS13" s="1">
        <v>5015528.9800000023</v>
      </c>
      <c r="AT13" s="46">
        <v>4668036.410000002</v>
      </c>
      <c r="AU13" s="1">
        <v>4320543.8400000017</v>
      </c>
      <c r="AV13" s="1">
        <v>3973051.2700000009</v>
      </c>
      <c r="AW13" s="46">
        <v>3625558.7000000011</v>
      </c>
      <c r="AX13" s="1">
        <v>2879378.59</v>
      </c>
      <c r="AY13" s="1">
        <v>254878.3600000001</v>
      </c>
      <c r="AZ13" s="46">
        <v>237272.17</v>
      </c>
      <c r="BA13" s="1">
        <v>219665.9800000001</v>
      </c>
      <c r="BB13" s="1">
        <v>0</v>
      </c>
      <c r="BC13" s="46">
        <v>0</v>
      </c>
      <c r="BD13" s="1">
        <v>0</v>
      </c>
      <c r="BE13" s="1">
        <v>0</v>
      </c>
      <c r="BF13" s="46">
        <v>0</v>
      </c>
      <c r="BG13" s="1">
        <v>0</v>
      </c>
      <c r="BH13" s="1">
        <v>0</v>
      </c>
      <c r="BI13" s="46">
        <v>0</v>
      </c>
      <c r="BJ13" s="1">
        <v>0</v>
      </c>
      <c r="BK13" s="1">
        <v>0</v>
      </c>
      <c r="BL13">
        <v>0</v>
      </c>
    </row>
    <row r="14" spans="1:64" ht="15.5" x14ac:dyDescent="0.35">
      <c r="A14" t="s">
        <v>76</v>
      </c>
      <c r="B14" s="1">
        <v>0</v>
      </c>
      <c r="C14" s="1">
        <v>0</v>
      </c>
      <c r="D14" s="46">
        <v>0</v>
      </c>
      <c r="E14" s="1">
        <v>0</v>
      </c>
      <c r="F14" s="1">
        <v>0</v>
      </c>
      <c r="G14" s="46">
        <v>0</v>
      </c>
      <c r="H14" s="1">
        <v>0</v>
      </c>
      <c r="I14" s="1">
        <v>0</v>
      </c>
      <c r="J14" s="46">
        <v>0</v>
      </c>
      <c r="K14" s="1">
        <v>0</v>
      </c>
      <c r="L14" s="1">
        <v>0</v>
      </c>
      <c r="M14" s="46">
        <v>0</v>
      </c>
      <c r="N14" s="1">
        <v>0</v>
      </c>
      <c r="O14" s="1">
        <v>0</v>
      </c>
      <c r="P14" s="46">
        <v>0</v>
      </c>
      <c r="Q14" s="1">
        <v>0</v>
      </c>
      <c r="R14" s="1">
        <v>0</v>
      </c>
      <c r="S14" s="46">
        <v>0</v>
      </c>
      <c r="T14" s="1">
        <v>0</v>
      </c>
      <c r="U14" s="1">
        <v>0</v>
      </c>
      <c r="V14" s="46">
        <v>0</v>
      </c>
      <c r="W14" s="1">
        <v>0</v>
      </c>
      <c r="X14" s="1">
        <v>0</v>
      </c>
      <c r="Y14" s="46">
        <v>0</v>
      </c>
      <c r="Z14" s="1">
        <v>0</v>
      </c>
      <c r="AA14" s="1">
        <v>0</v>
      </c>
      <c r="AB14" s="46">
        <v>0</v>
      </c>
      <c r="AC14" s="1">
        <v>0</v>
      </c>
      <c r="AD14" s="1">
        <v>0</v>
      </c>
      <c r="AE14" s="46">
        <v>0</v>
      </c>
      <c r="AF14" s="1">
        <v>0</v>
      </c>
      <c r="AG14" s="1">
        <v>0</v>
      </c>
      <c r="AH14" s="46">
        <v>0</v>
      </c>
      <c r="AI14" s="1">
        <v>0</v>
      </c>
      <c r="AJ14" s="1">
        <v>0</v>
      </c>
      <c r="AK14" s="46">
        <v>0</v>
      </c>
      <c r="AL14" s="1">
        <v>0</v>
      </c>
      <c r="AM14" s="1">
        <v>0</v>
      </c>
      <c r="AN14" s="46">
        <v>0</v>
      </c>
      <c r="AO14" s="1">
        <v>0</v>
      </c>
      <c r="AP14" s="1">
        <v>0</v>
      </c>
      <c r="AQ14" s="46">
        <v>0</v>
      </c>
      <c r="AR14" s="1">
        <v>0</v>
      </c>
      <c r="AS14" s="1">
        <v>0</v>
      </c>
      <c r="AT14" s="46">
        <v>0</v>
      </c>
      <c r="AU14" s="1">
        <v>0</v>
      </c>
      <c r="AV14" s="1">
        <v>0</v>
      </c>
      <c r="AW14" s="46">
        <v>0</v>
      </c>
      <c r="AX14" s="1">
        <v>0</v>
      </c>
      <c r="AY14" s="1">
        <v>0</v>
      </c>
      <c r="AZ14" s="46">
        <v>0</v>
      </c>
      <c r="BA14" s="1">
        <v>0</v>
      </c>
      <c r="BB14" s="1">
        <v>0</v>
      </c>
      <c r="BC14" s="46">
        <v>0</v>
      </c>
      <c r="BD14" s="1">
        <v>0</v>
      </c>
      <c r="BE14" s="1">
        <v>0</v>
      </c>
      <c r="BF14" s="46">
        <v>0</v>
      </c>
      <c r="BG14" s="1">
        <v>0</v>
      </c>
      <c r="BH14" s="1">
        <v>0</v>
      </c>
      <c r="BI14" s="46">
        <v>0</v>
      </c>
      <c r="BJ14" s="1">
        <v>0</v>
      </c>
      <c r="BK14" s="1">
        <v>0</v>
      </c>
      <c r="BL14">
        <v>0</v>
      </c>
    </row>
    <row r="15" spans="1:64" ht="15.5" x14ac:dyDescent="0.35">
      <c r="A15" t="s">
        <v>77</v>
      </c>
      <c r="B15" s="1">
        <v>0</v>
      </c>
      <c r="C15" s="1">
        <v>24</v>
      </c>
      <c r="D15" s="46">
        <v>2</v>
      </c>
      <c r="E15" s="1">
        <v>1</v>
      </c>
      <c r="F15" s="1">
        <v>1</v>
      </c>
      <c r="G15" s="46">
        <v>0</v>
      </c>
      <c r="H15" s="1">
        <v>0</v>
      </c>
      <c r="I15" s="1">
        <v>1</v>
      </c>
      <c r="J15" s="46">
        <v>1</v>
      </c>
      <c r="K15" s="1">
        <v>5</v>
      </c>
      <c r="L15" s="1">
        <v>8</v>
      </c>
      <c r="M15" s="46">
        <v>1</v>
      </c>
      <c r="N15" s="1">
        <v>12</v>
      </c>
      <c r="O15" s="1">
        <v>3</v>
      </c>
      <c r="P15" s="46">
        <v>1</v>
      </c>
      <c r="Q15" s="1">
        <v>36</v>
      </c>
      <c r="R15" s="1">
        <v>2</v>
      </c>
      <c r="S15" s="46">
        <v>0</v>
      </c>
      <c r="T15" s="1">
        <v>0</v>
      </c>
      <c r="U15" s="1">
        <v>0</v>
      </c>
      <c r="V15" s="46">
        <v>1</v>
      </c>
      <c r="W15" s="1">
        <v>1</v>
      </c>
      <c r="X15" s="1">
        <v>5</v>
      </c>
      <c r="Y15" s="46">
        <v>1</v>
      </c>
      <c r="Z15" s="1">
        <v>0</v>
      </c>
      <c r="AA15" s="1">
        <v>11</v>
      </c>
      <c r="AB15" s="46">
        <v>0</v>
      </c>
      <c r="AC15" s="1">
        <v>0</v>
      </c>
      <c r="AD15" s="1">
        <v>0</v>
      </c>
      <c r="AE15" s="46">
        <v>0</v>
      </c>
      <c r="AF15" s="1">
        <v>0</v>
      </c>
      <c r="AG15" s="1">
        <v>0</v>
      </c>
      <c r="AH15" s="46">
        <v>2</v>
      </c>
      <c r="AI15" s="1">
        <v>0</v>
      </c>
      <c r="AJ15" s="1">
        <v>0</v>
      </c>
      <c r="AK15" s="46">
        <v>0</v>
      </c>
      <c r="AL15" s="1">
        <v>0</v>
      </c>
      <c r="AM15" s="1">
        <v>0</v>
      </c>
      <c r="AN15" s="46">
        <v>1</v>
      </c>
      <c r="AO15" s="1">
        <v>0</v>
      </c>
      <c r="AP15" s="1">
        <v>1</v>
      </c>
      <c r="AQ15" s="46">
        <v>0</v>
      </c>
      <c r="AR15" s="1">
        <v>0</v>
      </c>
      <c r="AS15" s="1">
        <v>0</v>
      </c>
      <c r="AT15" s="46">
        <v>0</v>
      </c>
      <c r="AU15" s="1">
        <v>0</v>
      </c>
      <c r="AV15" s="1">
        <v>0</v>
      </c>
      <c r="AW15" s="46">
        <v>0</v>
      </c>
      <c r="AX15" s="1">
        <v>1</v>
      </c>
      <c r="AY15" s="1">
        <v>40</v>
      </c>
      <c r="AZ15" s="46">
        <v>0</v>
      </c>
      <c r="BA15" s="1">
        <v>0</v>
      </c>
      <c r="BB15" s="1">
        <v>1</v>
      </c>
      <c r="BC15" s="46">
        <v>0</v>
      </c>
      <c r="BD15" s="1">
        <v>0</v>
      </c>
      <c r="BE15" s="1">
        <v>0</v>
      </c>
      <c r="BF15" s="46">
        <v>0</v>
      </c>
      <c r="BG15" s="1">
        <v>0</v>
      </c>
      <c r="BH15" s="1">
        <v>0</v>
      </c>
      <c r="BI15" s="46">
        <v>0</v>
      </c>
      <c r="BJ15" s="1">
        <v>0</v>
      </c>
      <c r="BK15" s="1">
        <v>0</v>
      </c>
      <c r="BL15">
        <v>0</v>
      </c>
    </row>
    <row r="16" spans="1:64" ht="15.5" x14ac:dyDescent="0.35">
      <c r="A16" t="s">
        <v>78</v>
      </c>
      <c r="B16" s="1">
        <v>0</v>
      </c>
      <c r="C16" s="1">
        <v>0</v>
      </c>
      <c r="D16" s="46">
        <v>0</v>
      </c>
      <c r="E16" s="1">
        <v>0</v>
      </c>
      <c r="F16" s="1">
        <v>0</v>
      </c>
      <c r="G16" s="46">
        <v>0</v>
      </c>
      <c r="H16" s="1">
        <v>0</v>
      </c>
      <c r="I16" s="1">
        <v>0</v>
      </c>
      <c r="J16" s="46">
        <v>0</v>
      </c>
      <c r="K16" s="1">
        <v>0</v>
      </c>
      <c r="L16" s="1">
        <v>0</v>
      </c>
      <c r="M16" s="46">
        <v>0</v>
      </c>
      <c r="N16" s="1">
        <v>0</v>
      </c>
      <c r="O16" s="1">
        <v>0</v>
      </c>
      <c r="P16" s="46">
        <v>0</v>
      </c>
      <c r="Q16" s="1">
        <v>0</v>
      </c>
      <c r="R16" s="1">
        <v>0</v>
      </c>
      <c r="S16" s="46">
        <v>0</v>
      </c>
      <c r="T16" s="1">
        <v>0</v>
      </c>
      <c r="U16" s="1">
        <v>0</v>
      </c>
      <c r="V16" s="46">
        <v>0</v>
      </c>
      <c r="W16" s="1">
        <v>0</v>
      </c>
      <c r="X16" s="1">
        <v>0</v>
      </c>
      <c r="Y16" s="46">
        <v>0</v>
      </c>
      <c r="Z16" s="1">
        <v>0</v>
      </c>
      <c r="AA16" s="1">
        <v>0</v>
      </c>
      <c r="AB16" s="46">
        <v>0</v>
      </c>
      <c r="AC16" s="1">
        <v>0</v>
      </c>
      <c r="AD16" s="1">
        <v>0</v>
      </c>
      <c r="AE16" s="46">
        <v>0</v>
      </c>
      <c r="AF16" s="1">
        <v>0</v>
      </c>
      <c r="AG16" s="1">
        <v>0</v>
      </c>
      <c r="AH16" s="46">
        <v>0</v>
      </c>
      <c r="AI16" s="1">
        <v>0</v>
      </c>
      <c r="AJ16" s="1">
        <v>0</v>
      </c>
      <c r="AK16" s="46">
        <v>0</v>
      </c>
      <c r="AL16" s="1">
        <v>0</v>
      </c>
      <c r="AM16" s="1">
        <v>0</v>
      </c>
      <c r="AN16" s="46">
        <v>0</v>
      </c>
      <c r="AO16" s="1">
        <v>0</v>
      </c>
      <c r="AP16" s="1">
        <v>0</v>
      </c>
      <c r="AQ16" s="46">
        <v>0</v>
      </c>
      <c r="AR16" s="1">
        <v>0</v>
      </c>
      <c r="AS16" s="1">
        <v>0</v>
      </c>
      <c r="AT16" s="46">
        <v>0</v>
      </c>
      <c r="AU16" s="1">
        <v>0</v>
      </c>
      <c r="AV16" s="1">
        <v>0</v>
      </c>
      <c r="AW16" s="46">
        <v>0</v>
      </c>
      <c r="AX16" s="1">
        <v>0</v>
      </c>
      <c r="AY16" s="1">
        <v>0</v>
      </c>
      <c r="AZ16" s="46">
        <v>0</v>
      </c>
      <c r="BA16" s="1">
        <v>0</v>
      </c>
      <c r="BB16" s="1">
        <v>0</v>
      </c>
      <c r="BC16" s="46">
        <v>0</v>
      </c>
      <c r="BD16" s="1">
        <v>0</v>
      </c>
      <c r="BE16" s="1">
        <v>0</v>
      </c>
      <c r="BF16" s="46">
        <v>0</v>
      </c>
      <c r="BG16" s="1">
        <v>0</v>
      </c>
      <c r="BH16" s="1">
        <v>0</v>
      </c>
      <c r="BI16" s="46">
        <v>0</v>
      </c>
      <c r="BJ16" s="1">
        <v>0</v>
      </c>
      <c r="BK16" s="1">
        <v>0</v>
      </c>
      <c r="BL1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16"/>
  <sheetViews>
    <sheetView workbookViewId="0">
      <selection sqref="A1:XFD1048576"/>
    </sheetView>
  </sheetViews>
  <sheetFormatPr defaultRowHeight="14.5" x14ac:dyDescent="0.35"/>
  <cols>
    <col min="1" max="1" width="13" bestFit="1" customWidth="1"/>
    <col min="2" max="3" width="13" hidden="1" bestFit="1" customWidth="1"/>
    <col min="4" max="4" width="13" bestFit="1" customWidth="1"/>
    <col min="5" max="6" width="13" hidden="1" bestFit="1" customWidth="1"/>
    <col min="7" max="7" width="13" bestFit="1" customWidth="1"/>
    <col min="8" max="9" width="13" hidden="1" bestFit="1" customWidth="1"/>
    <col min="10" max="10" width="13" bestFit="1" customWidth="1"/>
    <col min="11" max="12" width="13" hidden="1" bestFit="1" customWidth="1"/>
    <col min="13" max="13" width="13" bestFit="1" customWidth="1"/>
    <col min="14" max="15" width="13" hidden="1" bestFit="1" customWidth="1"/>
    <col min="16" max="16" width="13" bestFit="1" customWidth="1"/>
    <col min="17" max="18" width="13" hidden="1" bestFit="1" customWidth="1"/>
    <col min="19" max="19" width="13" bestFit="1" customWidth="1"/>
    <col min="20" max="21" width="13" hidden="1" bestFit="1" customWidth="1"/>
    <col min="22" max="22" width="13" bestFit="1" customWidth="1"/>
    <col min="23" max="24" width="13" hidden="1" bestFit="1" customWidth="1"/>
    <col min="25" max="25" width="13" bestFit="1" customWidth="1"/>
    <col min="26" max="27" width="13" hidden="1" bestFit="1" customWidth="1"/>
    <col min="28" max="28" width="13" bestFit="1" customWidth="1"/>
    <col min="29" max="30" width="13" hidden="1" bestFit="1" customWidth="1"/>
    <col min="31" max="31" width="13" bestFit="1" customWidth="1"/>
    <col min="32" max="33" width="13" hidden="1" bestFit="1" customWidth="1"/>
    <col min="34" max="34" width="13" bestFit="1" customWidth="1"/>
    <col min="35" max="36" width="13" hidden="1" bestFit="1" customWidth="1"/>
    <col min="37" max="37" width="13" bestFit="1" customWidth="1"/>
    <col min="38" max="39" width="13" hidden="1" bestFit="1" customWidth="1"/>
    <col min="40" max="40" width="13" bestFit="1" customWidth="1"/>
    <col min="41" max="42" width="13" hidden="1" bestFit="1" customWidth="1"/>
    <col min="43" max="43" width="13" bestFit="1" customWidth="1"/>
    <col min="44" max="45" width="13" hidden="1" bestFit="1" customWidth="1"/>
    <col min="46" max="46" width="13" bestFit="1" customWidth="1"/>
    <col min="47" max="48" width="13" hidden="1" bestFit="1" customWidth="1"/>
    <col min="49" max="49" width="13" bestFit="1" customWidth="1"/>
    <col min="50" max="51" width="13" hidden="1" bestFit="1" customWidth="1"/>
    <col min="52" max="52" width="13" bestFit="1" customWidth="1"/>
    <col min="53" max="54" width="13" hidden="1" bestFit="1" customWidth="1"/>
    <col min="55" max="55" width="13" bestFit="1" customWidth="1"/>
    <col min="56" max="57" width="13" hidden="1" bestFit="1" customWidth="1"/>
    <col min="58" max="58" width="13" bestFit="1" customWidth="1"/>
    <col min="59" max="60" width="13" hidden="1" bestFit="1" customWidth="1"/>
    <col min="61" max="61" width="13" bestFit="1" customWidth="1"/>
    <col min="62" max="62" width="13" hidden="1" bestFit="1" customWidth="1"/>
  </cols>
  <sheetData>
    <row r="1" spans="1:64" x14ac:dyDescent="0.35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t="s">
        <v>5</v>
      </c>
      <c r="G1" s="16" t="s">
        <v>6</v>
      </c>
      <c r="H1" t="s">
        <v>7</v>
      </c>
      <c r="I1" t="s">
        <v>8</v>
      </c>
      <c r="J1" s="16" t="s">
        <v>9</v>
      </c>
      <c r="K1" t="s">
        <v>10</v>
      </c>
      <c r="L1" t="s">
        <v>11</v>
      </c>
      <c r="M1" s="16" t="s">
        <v>12</v>
      </c>
      <c r="N1" t="s">
        <v>13</v>
      </c>
      <c r="O1" t="s">
        <v>14</v>
      </c>
      <c r="P1" s="16" t="s">
        <v>15</v>
      </c>
      <c r="Q1" t="s">
        <v>16</v>
      </c>
      <c r="R1" t="s">
        <v>17</v>
      </c>
      <c r="S1" s="16" t="s">
        <v>18</v>
      </c>
      <c r="T1" t="s">
        <v>19</v>
      </c>
      <c r="U1" t="s">
        <v>20</v>
      </c>
      <c r="V1" s="16" t="s">
        <v>21</v>
      </c>
      <c r="W1" t="s">
        <v>22</v>
      </c>
      <c r="X1" t="s">
        <v>23</v>
      </c>
      <c r="Y1" s="16" t="s">
        <v>24</v>
      </c>
      <c r="Z1" t="s">
        <v>25</v>
      </c>
      <c r="AA1" t="s">
        <v>26</v>
      </c>
      <c r="AB1" s="16" t="s">
        <v>27</v>
      </c>
      <c r="AC1" t="s">
        <v>28</v>
      </c>
      <c r="AD1" t="s">
        <v>29</v>
      </c>
      <c r="AE1" s="16" t="s">
        <v>30</v>
      </c>
      <c r="AF1" t="s">
        <v>31</v>
      </c>
      <c r="AG1" t="s">
        <v>32</v>
      </c>
      <c r="AH1" s="16" t="s">
        <v>33</v>
      </c>
      <c r="AI1" t="s">
        <v>34</v>
      </c>
      <c r="AJ1" t="s">
        <v>35</v>
      </c>
      <c r="AK1" s="16" t="s">
        <v>36</v>
      </c>
      <c r="AL1" t="s">
        <v>37</v>
      </c>
      <c r="AM1" t="s">
        <v>38</v>
      </c>
      <c r="AN1" s="16" t="s">
        <v>39</v>
      </c>
      <c r="AO1" t="s">
        <v>40</v>
      </c>
      <c r="AP1" t="s">
        <v>41</v>
      </c>
      <c r="AQ1" s="16" t="s">
        <v>42</v>
      </c>
      <c r="AR1" t="s">
        <v>43</v>
      </c>
      <c r="AS1" t="s">
        <v>44</v>
      </c>
      <c r="AT1" s="16" t="s">
        <v>45</v>
      </c>
      <c r="AU1" t="s">
        <v>46</v>
      </c>
      <c r="AV1" t="s">
        <v>47</v>
      </c>
      <c r="AW1" s="16" t="s">
        <v>48</v>
      </c>
      <c r="AX1" t="s">
        <v>49</v>
      </c>
      <c r="AY1" t="s">
        <v>50</v>
      </c>
      <c r="AZ1" s="16" t="s">
        <v>51</v>
      </c>
      <c r="BA1" t="s">
        <v>52</v>
      </c>
      <c r="BB1" t="s">
        <v>53</v>
      </c>
      <c r="BC1" s="16" t="s">
        <v>54</v>
      </c>
      <c r="BD1" t="s">
        <v>55</v>
      </c>
      <c r="BE1" t="s">
        <v>56</v>
      </c>
      <c r="BF1" s="16" t="s">
        <v>57</v>
      </c>
      <c r="BG1" t="s">
        <v>58</v>
      </c>
      <c r="BH1" t="s">
        <v>59</v>
      </c>
      <c r="BI1" s="16" t="s">
        <v>60</v>
      </c>
      <c r="BJ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1">
        <v>259</v>
      </c>
      <c r="C2" s="1">
        <v>224</v>
      </c>
      <c r="D2" s="46">
        <v>222</v>
      </c>
      <c r="E2" s="1">
        <v>222</v>
      </c>
      <c r="F2" s="1">
        <v>222</v>
      </c>
      <c r="G2" s="46">
        <v>215</v>
      </c>
      <c r="H2" s="1">
        <v>213</v>
      </c>
      <c r="I2" s="1">
        <v>212</v>
      </c>
      <c r="J2" s="46">
        <v>207</v>
      </c>
      <c r="K2" s="1">
        <v>206</v>
      </c>
      <c r="L2" s="1">
        <v>199</v>
      </c>
      <c r="M2" s="46">
        <v>197</v>
      </c>
      <c r="N2" s="1">
        <v>195</v>
      </c>
      <c r="O2" s="1">
        <v>193</v>
      </c>
      <c r="P2" s="46">
        <v>193</v>
      </c>
      <c r="Q2" s="1">
        <v>184</v>
      </c>
      <c r="R2" s="1">
        <v>184</v>
      </c>
      <c r="S2" s="46">
        <v>182</v>
      </c>
      <c r="T2" s="1">
        <v>181</v>
      </c>
      <c r="U2" s="1">
        <v>180</v>
      </c>
      <c r="V2" s="46">
        <v>180</v>
      </c>
      <c r="W2" s="1">
        <v>179</v>
      </c>
      <c r="X2" s="1">
        <v>179</v>
      </c>
      <c r="Y2" s="46">
        <v>170</v>
      </c>
      <c r="Z2" s="1">
        <v>157</v>
      </c>
      <c r="AA2" s="1">
        <v>156</v>
      </c>
      <c r="AB2" s="46">
        <v>129</v>
      </c>
      <c r="AC2" s="1">
        <v>116</v>
      </c>
      <c r="AD2" s="1">
        <v>98</v>
      </c>
      <c r="AE2" s="46">
        <v>98</v>
      </c>
      <c r="AF2" s="1">
        <v>90</v>
      </c>
      <c r="AG2" s="1">
        <v>84</v>
      </c>
      <c r="AH2" s="46">
        <v>82</v>
      </c>
      <c r="AI2" s="1">
        <v>78</v>
      </c>
      <c r="AJ2" s="1">
        <v>74</v>
      </c>
      <c r="AK2" s="46">
        <v>69</v>
      </c>
      <c r="AL2" s="1">
        <v>69</v>
      </c>
      <c r="AM2" s="1">
        <v>69</v>
      </c>
      <c r="AN2" s="46">
        <v>56</v>
      </c>
      <c r="AO2" s="1">
        <v>45</v>
      </c>
      <c r="AP2" s="1">
        <v>44</v>
      </c>
      <c r="AQ2" s="46">
        <v>39</v>
      </c>
      <c r="AR2" s="1">
        <v>35</v>
      </c>
      <c r="AS2" s="1">
        <v>34</v>
      </c>
      <c r="AT2" s="46">
        <v>34</v>
      </c>
      <c r="AU2" s="1">
        <v>34</v>
      </c>
      <c r="AV2" s="1">
        <v>32</v>
      </c>
      <c r="AW2" s="46">
        <v>28</v>
      </c>
      <c r="AX2" s="1">
        <v>26</v>
      </c>
      <c r="AY2" s="1">
        <v>15</v>
      </c>
      <c r="AZ2" s="46">
        <v>8</v>
      </c>
      <c r="BA2" s="1">
        <v>7</v>
      </c>
      <c r="BB2" s="1">
        <v>7</v>
      </c>
      <c r="BC2" s="46">
        <v>5</v>
      </c>
      <c r="BD2" s="1">
        <v>5</v>
      </c>
      <c r="BE2" s="1">
        <v>3</v>
      </c>
      <c r="BF2" s="46">
        <v>1</v>
      </c>
      <c r="BG2" s="1">
        <v>1</v>
      </c>
      <c r="BH2" s="1">
        <v>0</v>
      </c>
      <c r="BI2" s="46">
        <v>0</v>
      </c>
      <c r="BJ2" s="1">
        <v>0</v>
      </c>
      <c r="BK2" s="1">
        <v>0</v>
      </c>
      <c r="BL2">
        <v>0</v>
      </c>
    </row>
    <row r="3" spans="1:64" ht="15.5" x14ac:dyDescent="0.35">
      <c r="A3" t="s">
        <v>65</v>
      </c>
      <c r="B3" s="1">
        <v>43</v>
      </c>
      <c r="C3" s="1">
        <v>41</v>
      </c>
      <c r="D3" s="46">
        <v>41</v>
      </c>
      <c r="E3" s="1">
        <v>40</v>
      </c>
      <c r="F3" s="1">
        <v>40</v>
      </c>
      <c r="G3" s="46">
        <v>40</v>
      </c>
      <c r="H3" s="1">
        <v>40</v>
      </c>
      <c r="I3" s="1">
        <v>38</v>
      </c>
      <c r="J3" s="46">
        <v>38</v>
      </c>
      <c r="K3" s="1">
        <v>37</v>
      </c>
      <c r="L3" s="1">
        <v>37</v>
      </c>
      <c r="M3" s="46">
        <v>36</v>
      </c>
      <c r="N3" s="1">
        <v>34</v>
      </c>
      <c r="O3" s="1">
        <v>34</v>
      </c>
      <c r="P3" s="46">
        <v>32</v>
      </c>
      <c r="Q3" s="1">
        <v>32</v>
      </c>
      <c r="R3" s="1">
        <v>22</v>
      </c>
      <c r="S3" s="46">
        <v>22</v>
      </c>
      <c r="T3" s="1">
        <v>22</v>
      </c>
      <c r="U3" s="1">
        <v>22</v>
      </c>
      <c r="V3" s="46">
        <v>22</v>
      </c>
      <c r="W3" s="1">
        <v>22</v>
      </c>
      <c r="X3" s="1">
        <v>22</v>
      </c>
      <c r="Y3" s="46">
        <v>22</v>
      </c>
      <c r="Z3" s="1">
        <v>20</v>
      </c>
      <c r="AA3" s="1">
        <v>20</v>
      </c>
      <c r="AB3" s="46">
        <v>20</v>
      </c>
      <c r="AC3" s="1">
        <v>20</v>
      </c>
      <c r="AD3" s="1">
        <v>20</v>
      </c>
      <c r="AE3" s="46">
        <v>20</v>
      </c>
      <c r="AF3" s="1">
        <v>18</v>
      </c>
      <c r="AG3" s="1">
        <v>14</v>
      </c>
      <c r="AH3" s="46">
        <v>13</v>
      </c>
      <c r="AI3" s="1">
        <v>13</v>
      </c>
      <c r="AJ3" s="1">
        <v>13</v>
      </c>
      <c r="AK3" s="46">
        <v>13</v>
      </c>
      <c r="AL3" s="1">
        <v>11</v>
      </c>
      <c r="AM3" s="1">
        <v>11</v>
      </c>
      <c r="AN3" s="46">
        <v>5</v>
      </c>
      <c r="AO3" s="1">
        <v>4</v>
      </c>
      <c r="AP3" s="1">
        <v>1</v>
      </c>
      <c r="AQ3" s="46">
        <v>1</v>
      </c>
      <c r="AR3" s="1">
        <v>1</v>
      </c>
      <c r="AS3" s="1">
        <v>1</v>
      </c>
      <c r="AT3" s="46">
        <v>0</v>
      </c>
      <c r="AU3" s="1">
        <v>0</v>
      </c>
      <c r="AV3" s="1">
        <v>0</v>
      </c>
      <c r="AW3" s="46">
        <v>0</v>
      </c>
      <c r="AX3" s="1">
        <v>0</v>
      </c>
      <c r="AY3" s="1">
        <v>0</v>
      </c>
      <c r="AZ3" s="46">
        <v>0</v>
      </c>
      <c r="BA3" s="1">
        <v>0</v>
      </c>
      <c r="BB3" s="1">
        <v>0</v>
      </c>
      <c r="BC3" s="46">
        <v>0</v>
      </c>
      <c r="BD3" s="1">
        <v>0</v>
      </c>
      <c r="BE3" s="1">
        <v>0</v>
      </c>
      <c r="BF3" s="46">
        <v>0</v>
      </c>
      <c r="BG3" s="1">
        <v>0</v>
      </c>
      <c r="BH3" s="1">
        <v>0</v>
      </c>
      <c r="BI3" s="46">
        <v>0</v>
      </c>
      <c r="BJ3" s="1">
        <v>0</v>
      </c>
      <c r="BK3" s="1">
        <v>0</v>
      </c>
      <c r="BL3">
        <v>0</v>
      </c>
    </row>
    <row r="4" spans="1:64" ht="15.5" x14ac:dyDescent="0.35">
      <c r="A4" t="s">
        <v>66</v>
      </c>
      <c r="B4" s="1">
        <v>0</v>
      </c>
      <c r="C4" s="1">
        <v>0</v>
      </c>
      <c r="D4" s="46">
        <v>0</v>
      </c>
      <c r="E4" s="1">
        <v>0</v>
      </c>
      <c r="F4" s="1">
        <v>0</v>
      </c>
      <c r="G4" s="46">
        <v>0</v>
      </c>
      <c r="H4" s="1">
        <v>0</v>
      </c>
      <c r="I4" s="1">
        <v>0</v>
      </c>
      <c r="J4" s="46">
        <v>0</v>
      </c>
      <c r="K4" s="1">
        <v>0</v>
      </c>
      <c r="L4" s="1">
        <v>0</v>
      </c>
      <c r="M4" s="46">
        <v>0</v>
      </c>
      <c r="N4" s="1">
        <v>0</v>
      </c>
      <c r="O4" s="1">
        <v>0</v>
      </c>
      <c r="P4" s="46">
        <v>0</v>
      </c>
      <c r="Q4" s="1">
        <v>0</v>
      </c>
      <c r="R4" s="1">
        <v>0</v>
      </c>
      <c r="S4" s="46">
        <v>0</v>
      </c>
      <c r="T4" s="1">
        <v>0</v>
      </c>
      <c r="U4" s="1">
        <v>0</v>
      </c>
      <c r="V4" s="46">
        <v>0</v>
      </c>
      <c r="W4" s="1">
        <v>0</v>
      </c>
      <c r="X4" s="1">
        <v>0</v>
      </c>
      <c r="Y4" s="46">
        <v>0</v>
      </c>
      <c r="Z4" s="1">
        <v>0</v>
      </c>
      <c r="AA4" s="1">
        <v>0</v>
      </c>
      <c r="AB4" s="46">
        <v>0</v>
      </c>
      <c r="AC4" s="1">
        <v>0</v>
      </c>
      <c r="AD4" s="1">
        <v>0</v>
      </c>
      <c r="AE4" s="46">
        <v>0</v>
      </c>
      <c r="AF4" s="1">
        <v>0</v>
      </c>
      <c r="AG4" s="1">
        <v>0</v>
      </c>
      <c r="AH4" s="46">
        <v>0</v>
      </c>
      <c r="AI4" s="1">
        <v>0</v>
      </c>
      <c r="AJ4" s="1">
        <v>0</v>
      </c>
      <c r="AK4" s="46">
        <v>0</v>
      </c>
      <c r="AL4" s="1">
        <v>0</v>
      </c>
      <c r="AM4" s="1">
        <v>0</v>
      </c>
      <c r="AN4" s="46">
        <v>0</v>
      </c>
      <c r="AO4" s="1">
        <v>0</v>
      </c>
      <c r="AP4" s="1">
        <v>0</v>
      </c>
      <c r="AQ4" s="46">
        <v>0</v>
      </c>
      <c r="AR4" s="1">
        <v>0</v>
      </c>
      <c r="AS4" s="1">
        <v>0</v>
      </c>
      <c r="AT4" s="46">
        <v>0</v>
      </c>
      <c r="AU4" s="1">
        <v>0</v>
      </c>
      <c r="AV4" s="1">
        <v>0</v>
      </c>
      <c r="AW4" s="46">
        <v>0</v>
      </c>
      <c r="AX4" s="1">
        <v>0</v>
      </c>
      <c r="AY4" s="1">
        <v>0</v>
      </c>
      <c r="AZ4" s="46">
        <v>0</v>
      </c>
      <c r="BA4" s="1">
        <v>0</v>
      </c>
      <c r="BB4" s="1">
        <v>0</v>
      </c>
      <c r="BC4" s="46">
        <v>0</v>
      </c>
      <c r="BD4" s="1">
        <v>0</v>
      </c>
      <c r="BE4" s="1">
        <v>0</v>
      </c>
      <c r="BF4" s="46">
        <v>0</v>
      </c>
      <c r="BG4" s="1">
        <v>0</v>
      </c>
      <c r="BH4" s="1">
        <v>0</v>
      </c>
      <c r="BI4" s="46">
        <v>0</v>
      </c>
      <c r="BJ4" s="1">
        <v>0</v>
      </c>
      <c r="BK4" s="1">
        <v>0</v>
      </c>
      <c r="BL4">
        <v>0</v>
      </c>
    </row>
    <row r="5" spans="1:64" ht="15.5" x14ac:dyDescent="0.35">
      <c r="A5" t="s">
        <v>67</v>
      </c>
      <c r="B5" s="1">
        <v>22289796.670000002</v>
      </c>
      <c r="C5" s="1">
        <v>20132175.710000001</v>
      </c>
      <c r="D5" s="46">
        <v>20052083.77</v>
      </c>
      <c r="E5" s="1">
        <v>19951198.210000001</v>
      </c>
      <c r="F5" s="1">
        <v>19951198.210000001</v>
      </c>
      <c r="G5" s="46">
        <v>19323804.260000002</v>
      </c>
      <c r="H5" s="1">
        <v>19166126.579999998</v>
      </c>
      <c r="I5" s="1">
        <v>18770196.52</v>
      </c>
      <c r="J5" s="46">
        <v>18423636.390000001</v>
      </c>
      <c r="K5" s="1">
        <v>18166394.93</v>
      </c>
      <c r="L5" s="1">
        <v>17766139.670000002</v>
      </c>
      <c r="M5" s="46">
        <v>17520834.670000002</v>
      </c>
      <c r="N5" s="1">
        <v>17176222.809999999</v>
      </c>
      <c r="O5" s="1">
        <v>16951421.219999999</v>
      </c>
      <c r="P5" s="46">
        <v>16791160.140000001</v>
      </c>
      <c r="Q5" s="1">
        <v>16261946.93</v>
      </c>
      <c r="R5" s="1">
        <v>15150787.43</v>
      </c>
      <c r="S5" s="46">
        <v>15046075.380000001</v>
      </c>
      <c r="T5" s="1">
        <v>14968235.02</v>
      </c>
      <c r="U5" s="1">
        <v>14914010.039999999</v>
      </c>
      <c r="V5" s="46">
        <v>14914010.039999999</v>
      </c>
      <c r="W5" s="1">
        <v>14829864.15</v>
      </c>
      <c r="X5" s="1">
        <v>14829864.15</v>
      </c>
      <c r="Y5" s="46">
        <v>13975217.34</v>
      </c>
      <c r="Z5" s="1">
        <v>12761038.52</v>
      </c>
      <c r="AA5" s="1">
        <v>12690690.16</v>
      </c>
      <c r="AB5" s="46">
        <v>11404358.18</v>
      </c>
      <c r="AC5" s="1">
        <v>10628962.73</v>
      </c>
      <c r="AD5" s="1">
        <v>9555243.2800000012</v>
      </c>
      <c r="AE5" s="46">
        <v>9555243.2800000012</v>
      </c>
      <c r="AF5" s="1">
        <v>8906812.2999999989</v>
      </c>
      <c r="AG5" s="1">
        <v>7825525.0199999996</v>
      </c>
      <c r="AH5" s="46">
        <v>7709392.8400000008</v>
      </c>
      <c r="AI5" s="1">
        <v>7427625.9200000009</v>
      </c>
      <c r="AJ5" s="1">
        <v>6737289.7300000014</v>
      </c>
      <c r="AK5" s="46">
        <v>6112159.4299999997</v>
      </c>
      <c r="AL5" s="1">
        <v>5882997.6699999999</v>
      </c>
      <c r="AM5" s="1">
        <v>5882997.6699999999</v>
      </c>
      <c r="AN5" s="46">
        <v>4695630.8000000007</v>
      </c>
      <c r="AO5" s="1">
        <v>3791164.54</v>
      </c>
      <c r="AP5" s="1">
        <v>3383430.830000001</v>
      </c>
      <c r="AQ5" s="46">
        <v>3068001.26</v>
      </c>
      <c r="AR5" s="1">
        <v>2767201.28</v>
      </c>
      <c r="AS5" s="1">
        <v>2725926.2</v>
      </c>
      <c r="AT5" s="46">
        <v>2647625.09</v>
      </c>
      <c r="AU5" s="1">
        <v>2647625.09</v>
      </c>
      <c r="AV5" s="1">
        <v>2514054.1</v>
      </c>
      <c r="AW5" s="46">
        <v>2151124.2799999998</v>
      </c>
      <c r="AX5" s="1">
        <v>2071482.6</v>
      </c>
      <c r="AY5" s="1">
        <v>1440832.19</v>
      </c>
      <c r="AZ5" s="46">
        <v>825180.40999999992</v>
      </c>
      <c r="BA5" s="1">
        <v>739875</v>
      </c>
      <c r="BB5" s="1">
        <v>739875</v>
      </c>
      <c r="BC5" s="46">
        <v>451416.89</v>
      </c>
      <c r="BD5" s="1">
        <v>451416.89</v>
      </c>
      <c r="BE5" s="1">
        <v>209410.4</v>
      </c>
      <c r="BF5" s="46">
        <v>39820.839999999997</v>
      </c>
      <c r="BG5" s="1">
        <v>39820.839999999997</v>
      </c>
      <c r="BH5" s="1">
        <v>0</v>
      </c>
      <c r="BI5" s="46">
        <v>0</v>
      </c>
      <c r="BJ5" s="1">
        <v>0</v>
      </c>
      <c r="BK5" s="1">
        <v>0</v>
      </c>
      <c r="BL5">
        <v>0</v>
      </c>
    </row>
    <row r="6" spans="1:64" ht="15.5" x14ac:dyDescent="0.35">
      <c r="A6" t="s">
        <v>68</v>
      </c>
      <c r="B6" s="1">
        <v>9376783.8900000006</v>
      </c>
      <c r="C6" s="1">
        <v>8629957.5399999991</v>
      </c>
      <c r="D6" s="46">
        <v>8594188.3200000003</v>
      </c>
      <c r="E6" s="1">
        <v>8544108.1999999993</v>
      </c>
      <c r="F6" s="1">
        <v>8544108.1999999993</v>
      </c>
      <c r="G6" s="46">
        <v>8274468.3999999994</v>
      </c>
      <c r="H6" s="1">
        <v>8220129.1599999992</v>
      </c>
      <c r="I6" s="1">
        <v>7972901.0600000015</v>
      </c>
      <c r="J6" s="46">
        <v>7837732.5</v>
      </c>
      <c r="K6" s="1">
        <v>7698861.9900000002</v>
      </c>
      <c r="L6" s="1">
        <v>7548973.6899999985</v>
      </c>
      <c r="M6" s="46">
        <v>7442444.21</v>
      </c>
      <c r="N6" s="1">
        <v>7290173.0199999996</v>
      </c>
      <c r="O6" s="1">
        <v>7177898.6799999997</v>
      </c>
      <c r="P6" s="46">
        <v>7104180.7400000002</v>
      </c>
      <c r="Q6" s="1">
        <v>6870728.1999999993</v>
      </c>
      <c r="R6" s="1">
        <v>6358228.1999999993</v>
      </c>
      <c r="S6" s="46">
        <v>6316528.1999999993</v>
      </c>
      <c r="T6" s="1">
        <v>6287425.5399999991</v>
      </c>
      <c r="U6" s="1">
        <v>6266622.9800000004</v>
      </c>
      <c r="V6" s="46">
        <v>6266622.9800000004</v>
      </c>
      <c r="W6" s="1">
        <v>6230497.9800000004</v>
      </c>
      <c r="X6" s="1">
        <v>6230497.9800000004</v>
      </c>
      <c r="Y6" s="46">
        <v>5843218.7300000004</v>
      </c>
      <c r="Z6" s="1">
        <v>5352893.8599999994</v>
      </c>
      <c r="AA6" s="1">
        <v>5327376.3000000007</v>
      </c>
      <c r="AB6" s="46">
        <v>4833354.87</v>
      </c>
      <c r="AC6" s="1">
        <v>4543569.3499999996</v>
      </c>
      <c r="AD6" s="1">
        <v>4164762.0699999989</v>
      </c>
      <c r="AE6" s="46">
        <v>4164762.0699999989</v>
      </c>
      <c r="AF6" s="1">
        <v>3899115.39</v>
      </c>
      <c r="AG6" s="1">
        <v>3397160.939999999</v>
      </c>
      <c r="AH6" s="46">
        <v>3355401.919999999</v>
      </c>
      <c r="AI6" s="1">
        <v>3220288.73</v>
      </c>
      <c r="AJ6" s="1">
        <v>2856576.37</v>
      </c>
      <c r="AK6" s="46">
        <v>2514972.34</v>
      </c>
      <c r="AL6" s="1">
        <v>2407784.84</v>
      </c>
      <c r="AM6" s="1">
        <v>2407784.84</v>
      </c>
      <c r="AN6" s="46">
        <v>1919772.51</v>
      </c>
      <c r="AO6" s="1">
        <v>1528785.16</v>
      </c>
      <c r="AP6" s="1">
        <v>1339571.78</v>
      </c>
      <c r="AQ6" s="46">
        <v>1206295.44</v>
      </c>
      <c r="AR6" s="1">
        <v>1076999.05</v>
      </c>
      <c r="AS6" s="1">
        <v>1062895.74</v>
      </c>
      <c r="AT6" s="46">
        <v>1022244.53</v>
      </c>
      <c r="AU6" s="1">
        <v>1022244.53</v>
      </c>
      <c r="AV6" s="1">
        <v>973233.60000000009</v>
      </c>
      <c r="AW6" s="46">
        <v>826087.80999999994</v>
      </c>
      <c r="AX6" s="1">
        <v>799533.59</v>
      </c>
      <c r="AY6" s="1">
        <v>560809.36</v>
      </c>
      <c r="AZ6" s="46">
        <v>337768.15</v>
      </c>
      <c r="BA6" s="1">
        <v>307072.61</v>
      </c>
      <c r="BB6" s="1">
        <v>307072.61</v>
      </c>
      <c r="BC6" s="46">
        <v>174346.75</v>
      </c>
      <c r="BD6" s="1">
        <v>174346.75</v>
      </c>
      <c r="BE6" s="1">
        <v>78367.350000000006</v>
      </c>
      <c r="BF6" s="46">
        <v>13277.11</v>
      </c>
      <c r="BG6" s="1">
        <v>13277.11</v>
      </c>
      <c r="BH6" s="1">
        <v>0</v>
      </c>
      <c r="BI6" s="46">
        <v>0</v>
      </c>
      <c r="BJ6" s="1">
        <v>0</v>
      </c>
      <c r="BK6" s="1">
        <v>0</v>
      </c>
      <c r="BL6">
        <v>0</v>
      </c>
    </row>
    <row r="7" spans="1:64" ht="15.5" x14ac:dyDescent="0.35">
      <c r="A7" t="s">
        <v>69</v>
      </c>
      <c r="B7" s="1">
        <v>7218517.0899999999</v>
      </c>
      <c r="C7" s="1">
        <v>6699479.1500000004</v>
      </c>
      <c r="D7" s="46">
        <v>6673715.9900000002</v>
      </c>
      <c r="E7" s="1">
        <v>6634355.1400000006</v>
      </c>
      <c r="F7" s="1">
        <v>6634355.1400000006</v>
      </c>
      <c r="G7" s="46">
        <v>6422079.9400000004</v>
      </c>
      <c r="H7" s="1">
        <v>6370103.0700000003</v>
      </c>
      <c r="I7" s="1">
        <v>6267244.0500000007</v>
      </c>
      <c r="J7" s="46">
        <v>6137392.7699999996</v>
      </c>
      <c r="K7" s="1">
        <v>6051329.6099999994</v>
      </c>
      <c r="L7" s="1">
        <v>5937997.0300000003</v>
      </c>
      <c r="M7" s="46">
        <v>5847893.3999999994</v>
      </c>
      <c r="N7" s="1">
        <v>5743789.1400000006</v>
      </c>
      <c r="O7" s="1">
        <v>5673354.8200000003</v>
      </c>
      <c r="P7" s="46">
        <v>5606237.2300000004</v>
      </c>
      <c r="Q7" s="1">
        <v>5438090.6299999999</v>
      </c>
      <c r="R7" s="1">
        <v>4971477.4300000016</v>
      </c>
      <c r="S7" s="46">
        <v>4941442.5900000008</v>
      </c>
      <c r="T7" s="1">
        <v>4912890.42</v>
      </c>
      <c r="U7" s="1">
        <v>4893699.97</v>
      </c>
      <c r="V7" s="46">
        <v>4893699.97</v>
      </c>
      <c r="W7" s="1">
        <v>4860809.43</v>
      </c>
      <c r="X7" s="1">
        <v>4860809.43</v>
      </c>
      <c r="Y7" s="46">
        <v>4580291.26</v>
      </c>
      <c r="Z7" s="1">
        <v>4154116.4400000009</v>
      </c>
      <c r="AA7" s="1">
        <v>4125699.8</v>
      </c>
      <c r="AB7" s="46">
        <v>3670255.98</v>
      </c>
      <c r="AC7" s="1">
        <v>3422780.25</v>
      </c>
      <c r="AD7" s="1">
        <v>3062183.82</v>
      </c>
      <c r="AE7" s="46">
        <v>3062183.82</v>
      </c>
      <c r="AF7" s="1">
        <v>2834161.22</v>
      </c>
      <c r="AG7" s="1">
        <v>2490881.15</v>
      </c>
      <c r="AH7" s="46">
        <v>2449540.3400000008</v>
      </c>
      <c r="AI7" s="1">
        <v>2374676.6400000011</v>
      </c>
      <c r="AJ7" s="1">
        <v>2206515.96</v>
      </c>
      <c r="AK7" s="46">
        <v>2067415.69</v>
      </c>
      <c r="AL7" s="1">
        <v>1970427.03</v>
      </c>
      <c r="AM7" s="1">
        <v>1970427.03</v>
      </c>
      <c r="AN7" s="46">
        <v>1586471.01</v>
      </c>
      <c r="AO7" s="1">
        <v>1317800.76</v>
      </c>
      <c r="AP7" s="1">
        <v>1155074.6100000001</v>
      </c>
      <c r="AQ7" s="46">
        <v>1065116.3500000001</v>
      </c>
      <c r="AR7" s="1">
        <v>978425.59000000008</v>
      </c>
      <c r="AS7" s="1">
        <v>964992.82</v>
      </c>
      <c r="AT7" s="46">
        <v>936056.45</v>
      </c>
      <c r="AU7" s="1">
        <v>936056.45</v>
      </c>
      <c r="AV7" s="1">
        <v>899972</v>
      </c>
      <c r="AW7" s="46">
        <v>758830.47000000009</v>
      </c>
      <c r="AX7" s="1">
        <v>733383.95</v>
      </c>
      <c r="AY7" s="1">
        <v>513647.47</v>
      </c>
      <c r="AZ7" s="46">
        <v>280155.87</v>
      </c>
      <c r="BA7" s="1">
        <v>247955.08</v>
      </c>
      <c r="BB7" s="1">
        <v>247955.08</v>
      </c>
      <c r="BC7" s="46">
        <v>146432.26</v>
      </c>
      <c r="BD7" s="1">
        <v>146432.26</v>
      </c>
      <c r="BE7" s="1">
        <v>63874.26</v>
      </c>
      <c r="BF7" s="46">
        <v>12723.26</v>
      </c>
      <c r="BG7" s="1">
        <v>12723.26</v>
      </c>
      <c r="BH7" s="1">
        <v>0</v>
      </c>
      <c r="BI7" s="46">
        <v>0</v>
      </c>
      <c r="BJ7" s="1">
        <v>0</v>
      </c>
      <c r="BK7" s="1">
        <v>0</v>
      </c>
      <c r="BL7">
        <v>0</v>
      </c>
    </row>
    <row r="8" spans="1:64" ht="15.5" x14ac:dyDescent="0.35">
      <c r="A8" t="s">
        <v>70</v>
      </c>
      <c r="B8" s="1">
        <v>1839367.81</v>
      </c>
      <c r="C8" s="1">
        <v>1682511.13</v>
      </c>
      <c r="D8" s="46">
        <v>1675556.01</v>
      </c>
      <c r="E8" s="1">
        <v>1666207.72</v>
      </c>
      <c r="F8" s="1">
        <v>1666207.72</v>
      </c>
      <c r="G8" s="46">
        <v>1611276.06</v>
      </c>
      <c r="H8" s="1">
        <v>1599033.49</v>
      </c>
      <c r="I8" s="1">
        <v>1572533.15</v>
      </c>
      <c r="J8" s="46">
        <v>1541144.35</v>
      </c>
      <c r="K8" s="1">
        <v>1518110.17</v>
      </c>
      <c r="L8" s="1">
        <v>1488054.42</v>
      </c>
      <c r="M8" s="46">
        <v>1465450.71</v>
      </c>
      <c r="N8" s="1">
        <v>1444834.1</v>
      </c>
      <c r="O8" s="1">
        <v>1426523.14</v>
      </c>
      <c r="P8" s="46">
        <v>1409322.29</v>
      </c>
      <c r="Q8" s="1">
        <v>1363928.78</v>
      </c>
      <c r="R8" s="1">
        <v>1244345.48</v>
      </c>
      <c r="S8" s="46">
        <v>1236237.1599999999</v>
      </c>
      <c r="T8" s="1">
        <v>1229528.83</v>
      </c>
      <c r="U8" s="1">
        <v>1224699.67</v>
      </c>
      <c r="V8" s="46">
        <v>1224699.67</v>
      </c>
      <c r="W8" s="1">
        <v>1216270.51</v>
      </c>
      <c r="X8" s="1">
        <v>1216270.51</v>
      </c>
      <c r="Y8" s="46">
        <v>1144855.47</v>
      </c>
      <c r="Z8" s="1">
        <v>1035822.41</v>
      </c>
      <c r="AA8" s="1">
        <v>1028880.75</v>
      </c>
      <c r="AB8" s="46">
        <v>912059.47</v>
      </c>
      <c r="AC8" s="1">
        <v>849325.67</v>
      </c>
      <c r="AD8" s="1">
        <v>759302.84999999986</v>
      </c>
      <c r="AE8" s="46">
        <v>759302.84999999986</v>
      </c>
      <c r="AF8" s="1">
        <v>701899.48999999987</v>
      </c>
      <c r="AG8" s="1">
        <v>620548.29999999993</v>
      </c>
      <c r="AH8" s="46">
        <v>603081.10999999964</v>
      </c>
      <c r="AI8" s="1">
        <v>591050.46</v>
      </c>
      <c r="AJ8" s="1">
        <v>541831.40999999992</v>
      </c>
      <c r="AK8" s="46">
        <v>492427.11</v>
      </c>
      <c r="AL8" s="1">
        <v>472418.79</v>
      </c>
      <c r="AM8" s="1">
        <v>472418.79</v>
      </c>
      <c r="AN8" s="46">
        <v>381133.95000000013</v>
      </c>
      <c r="AO8" s="1">
        <v>305762.59999999998</v>
      </c>
      <c r="AP8" s="1">
        <v>270774.03999999998</v>
      </c>
      <c r="AQ8" s="46">
        <v>246527.26</v>
      </c>
      <c r="AR8" s="1">
        <v>223578.19</v>
      </c>
      <c r="AS8" s="1">
        <v>220689.19</v>
      </c>
      <c r="AT8" s="46">
        <v>214221.96</v>
      </c>
      <c r="AU8" s="1">
        <v>214221.96</v>
      </c>
      <c r="AV8" s="1">
        <v>205560</v>
      </c>
      <c r="AW8" s="46">
        <v>175276.1</v>
      </c>
      <c r="AX8" s="1">
        <v>169814.46</v>
      </c>
      <c r="AY8" s="1">
        <v>122003.87</v>
      </c>
      <c r="AZ8" s="46">
        <v>69966.700000000012</v>
      </c>
      <c r="BA8" s="1">
        <v>62805.37</v>
      </c>
      <c r="BB8" s="1">
        <v>62805.37</v>
      </c>
      <c r="BC8" s="46">
        <v>36768.93</v>
      </c>
      <c r="BD8" s="1">
        <v>36768.93</v>
      </c>
      <c r="BE8" s="1">
        <v>15999.84</v>
      </c>
      <c r="BF8" s="46">
        <v>2730.82</v>
      </c>
      <c r="BG8" s="1">
        <v>2730.82</v>
      </c>
      <c r="BH8" s="1">
        <v>0</v>
      </c>
      <c r="BI8" s="46">
        <v>0</v>
      </c>
      <c r="BJ8" s="1">
        <v>0</v>
      </c>
      <c r="BK8" s="1">
        <v>0</v>
      </c>
      <c r="BL8">
        <v>0</v>
      </c>
    </row>
    <row r="9" spans="1:64" ht="15.5" x14ac:dyDescent="0.35">
      <c r="A9" t="s">
        <v>71</v>
      </c>
      <c r="B9" s="1">
        <v>84693356.879999995</v>
      </c>
      <c r="C9" s="1">
        <v>60039264.549999997</v>
      </c>
      <c r="D9" s="46">
        <v>59457911.590000004</v>
      </c>
      <c r="E9" s="1">
        <v>59457911.590000004</v>
      </c>
      <c r="F9" s="1">
        <v>59457911.590000004</v>
      </c>
      <c r="G9" s="46">
        <v>55165130.920000002</v>
      </c>
      <c r="H9" s="1">
        <v>54202852.829999998</v>
      </c>
      <c r="I9" s="1">
        <v>53917852.829999998</v>
      </c>
      <c r="J9" s="46">
        <v>52316437.229999997</v>
      </c>
      <c r="K9" s="1">
        <v>52108295.239999987</v>
      </c>
      <c r="L9" s="1">
        <v>48769534.349999987</v>
      </c>
      <c r="M9" s="46">
        <v>47939861.560000002</v>
      </c>
      <c r="N9" s="1">
        <v>47056293.560000002</v>
      </c>
      <c r="O9" s="1">
        <v>46364683.039999999</v>
      </c>
      <c r="P9" s="46">
        <v>46364683.039999999</v>
      </c>
      <c r="Q9" s="1">
        <v>42859866.719999999</v>
      </c>
      <c r="R9" s="1">
        <v>42859866.719999999</v>
      </c>
      <c r="S9" s="46">
        <v>41817266.669999987</v>
      </c>
      <c r="T9" s="1">
        <v>41315147.069999993</v>
      </c>
      <c r="U9" s="1">
        <v>41156512.770000003</v>
      </c>
      <c r="V9" s="46">
        <v>41156512.770000003</v>
      </c>
      <c r="W9" s="1">
        <v>40916613.979999997</v>
      </c>
      <c r="X9" s="1">
        <v>40916613.979999997</v>
      </c>
      <c r="Y9" s="46">
        <v>38181393.369999997</v>
      </c>
      <c r="Z9" s="1">
        <v>33310473.32</v>
      </c>
      <c r="AA9" s="1">
        <v>33028440.82</v>
      </c>
      <c r="AB9" s="46">
        <v>26943018.890000001</v>
      </c>
      <c r="AC9" s="1">
        <v>23483578.039999999</v>
      </c>
      <c r="AD9" s="1">
        <v>18382886.850000009</v>
      </c>
      <c r="AE9" s="46">
        <v>18382886.850000009</v>
      </c>
      <c r="AF9" s="1">
        <v>16736373.210000001</v>
      </c>
      <c r="AG9" s="1">
        <v>15171480.57</v>
      </c>
      <c r="AH9" s="46">
        <v>14797247.02</v>
      </c>
      <c r="AI9" s="1">
        <v>13636499.789999999</v>
      </c>
      <c r="AJ9" s="1">
        <v>13122602.99</v>
      </c>
      <c r="AK9" s="46">
        <v>12529838.84</v>
      </c>
      <c r="AL9" s="1">
        <v>12529838.84</v>
      </c>
      <c r="AM9" s="1">
        <v>12529838.84</v>
      </c>
      <c r="AN9" s="46">
        <v>9398884.3399999999</v>
      </c>
      <c r="AO9" s="1">
        <v>6605952.7800000003</v>
      </c>
      <c r="AP9" s="1">
        <v>6357009.1400000006</v>
      </c>
      <c r="AQ9" s="46">
        <v>5314930.8800000008</v>
      </c>
      <c r="AR9" s="1">
        <v>4351055.68</v>
      </c>
      <c r="AS9" s="1">
        <v>4180055.68</v>
      </c>
      <c r="AT9" s="46">
        <v>4180055.68</v>
      </c>
      <c r="AU9" s="1">
        <v>4180055.68</v>
      </c>
      <c r="AV9" s="1">
        <v>3959933.68</v>
      </c>
      <c r="AW9" s="46">
        <v>3401933.68</v>
      </c>
      <c r="AX9" s="1">
        <v>3141533.68</v>
      </c>
      <c r="AY9" s="1">
        <v>1910418.16</v>
      </c>
      <c r="AZ9" s="46">
        <v>834427.56</v>
      </c>
      <c r="BA9" s="1">
        <v>700450.06</v>
      </c>
      <c r="BB9" s="1">
        <v>700450.06</v>
      </c>
      <c r="BC9" s="46">
        <v>488950</v>
      </c>
      <c r="BD9" s="1">
        <v>488950</v>
      </c>
      <c r="BE9" s="1">
        <v>215950</v>
      </c>
      <c r="BF9" s="46">
        <v>37200</v>
      </c>
      <c r="BG9" s="1">
        <v>37200</v>
      </c>
      <c r="BH9" s="1">
        <v>0</v>
      </c>
      <c r="BI9" s="46">
        <v>0</v>
      </c>
      <c r="BJ9" s="1">
        <v>0</v>
      </c>
      <c r="BK9" s="1">
        <v>0</v>
      </c>
      <c r="BL9">
        <v>0</v>
      </c>
    </row>
    <row r="10" spans="1:64" ht="15.5" x14ac:dyDescent="0.35">
      <c r="A10" t="s">
        <v>72</v>
      </c>
      <c r="B10" s="1">
        <v>50705548.150000013</v>
      </c>
      <c r="C10" s="1">
        <v>34611111.219999999</v>
      </c>
      <c r="D10" s="46">
        <v>34649907.039999999</v>
      </c>
      <c r="E10" s="1">
        <v>34649907.039999999</v>
      </c>
      <c r="F10" s="1">
        <v>34649907.039999999</v>
      </c>
      <c r="G10" s="46">
        <v>32679526.919999991</v>
      </c>
      <c r="H10" s="1">
        <v>32066517.43</v>
      </c>
      <c r="I10" s="1">
        <v>31795783.379999999</v>
      </c>
      <c r="J10" s="46">
        <v>31001896.449999999</v>
      </c>
      <c r="K10" s="1">
        <v>30835568.449999999</v>
      </c>
      <c r="L10" s="1">
        <v>29641223.780000001</v>
      </c>
      <c r="M10" s="46">
        <v>29174365.699999999</v>
      </c>
      <c r="N10" s="1">
        <v>28599473.550000001</v>
      </c>
      <c r="O10" s="1">
        <v>28033519.460000001</v>
      </c>
      <c r="P10" s="46">
        <v>28033519.460000001</v>
      </c>
      <c r="Q10" s="1">
        <v>27186880.489999991</v>
      </c>
      <c r="R10" s="1">
        <v>27186880.489999998</v>
      </c>
      <c r="S10" s="46">
        <v>26839794.25</v>
      </c>
      <c r="T10" s="1">
        <v>26531027.52</v>
      </c>
      <c r="U10" s="1">
        <v>26467830.850000001</v>
      </c>
      <c r="V10" s="46">
        <v>26467830.850000001</v>
      </c>
      <c r="W10" s="1">
        <v>26409783.449999999</v>
      </c>
      <c r="X10" s="1">
        <v>26409783.449999999</v>
      </c>
      <c r="Y10" s="46">
        <v>24863614.329999998</v>
      </c>
      <c r="Z10" s="1">
        <v>22516401.149999999</v>
      </c>
      <c r="AA10" s="1">
        <v>22293116.829999998</v>
      </c>
      <c r="AB10" s="46">
        <v>19697585.390000001</v>
      </c>
      <c r="AC10" s="1">
        <v>17754830.710000001</v>
      </c>
      <c r="AD10" s="1">
        <v>14857473.640000001</v>
      </c>
      <c r="AE10" s="46">
        <v>14857473.640000001</v>
      </c>
      <c r="AF10" s="1">
        <v>13210960</v>
      </c>
      <c r="AG10" s="1">
        <v>12103104.01</v>
      </c>
      <c r="AH10" s="46">
        <v>11860351.390000001</v>
      </c>
      <c r="AI10" s="1">
        <v>10933263.140000001</v>
      </c>
      <c r="AJ10" s="1">
        <v>10506308.390000001</v>
      </c>
      <c r="AK10" s="46">
        <v>10004331.439999999</v>
      </c>
      <c r="AL10" s="1">
        <v>10004331.439999999</v>
      </c>
      <c r="AM10" s="1">
        <v>10004331.439999999</v>
      </c>
      <c r="AN10" s="46">
        <v>7403234.7800000003</v>
      </c>
      <c r="AO10" s="1">
        <v>5620212.21</v>
      </c>
      <c r="AP10" s="1">
        <v>5422971.75</v>
      </c>
      <c r="AQ10" s="46">
        <v>4738960.7300000004</v>
      </c>
      <c r="AR10" s="1">
        <v>4061847.99</v>
      </c>
      <c r="AS10" s="1">
        <v>3964995.73</v>
      </c>
      <c r="AT10" s="46">
        <v>3964995.73</v>
      </c>
      <c r="AU10" s="1">
        <v>3964995.73</v>
      </c>
      <c r="AV10" s="1">
        <v>3748952.64</v>
      </c>
      <c r="AW10" s="46">
        <v>3254073.98</v>
      </c>
      <c r="AX10" s="1">
        <v>3018527</v>
      </c>
      <c r="AY10" s="1">
        <v>1858772.51</v>
      </c>
      <c r="AZ10" s="46">
        <v>793581.91</v>
      </c>
      <c r="BA10" s="1">
        <v>659604.41</v>
      </c>
      <c r="BB10" s="1">
        <v>659604.41</v>
      </c>
      <c r="BC10" s="46">
        <v>475307.28</v>
      </c>
      <c r="BD10" s="1">
        <v>475307.28</v>
      </c>
      <c r="BE10" s="1">
        <v>215950</v>
      </c>
      <c r="BF10" s="46">
        <v>37200</v>
      </c>
      <c r="BG10" s="1">
        <v>37200</v>
      </c>
      <c r="BH10" s="1">
        <v>0</v>
      </c>
      <c r="BI10" s="46">
        <v>0</v>
      </c>
      <c r="BJ10" s="1">
        <v>0</v>
      </c>
      <c r="BK10" s="1">
        <v>0</v>
      </c>
      <c r="BL10">
        <v>0</v>
      </c>
    </row>
    <row r="11" spans="1:64" ht="15.5" x14ac:dyDescent="0.35">
      <c r="A11" t="s">
        <v>73</v>
      </c>
      <c r="B11" s="1">
        <v>506790.23999999987</v>
      </c>
      <c r="C11" s="1">
        <v>454453.89999999991</v>
      </c>
      <c r="D11" s="46">
        <v>452702.89999999991</v>
      </c>
      <c r="E11" s="1">
        <v>450606.59999999992</v>
      </c>
      <c r="F11" s="1">
        <v>450606.59999999992</v>
      </c>
      <c r="G11" s="46">
        <v>444554.6</v>
      </c>
      <c r="H11" s="1">
        <v>442804.6</v>
      </c>
      <c r="I11" s="1">
        <v>438462</v>
      </c>
      <c r="J11" s="46">
        <v>430416.99999999988</v>
      </c>
      <c r="K11" s="1">
        <v>428320.7</v>
      </c>
      <c r="L11" s="1">
        <v>422370.7</v>
      </c>
      <c r="M11" s="46">
        <v>419373.4</v>
      </c>
      <c r="N11" s="1">
        <v>414865.6</v>
      </c>
      <c r="O11" s="1">
        <v>413140.1</v>
      </c>
      <c r="P11" s="46">
        <v>410915.4</v>
      </c>
      <c r="Q11" s="1">
        <v>403265.4</v>
      </c>
      <c r="R11" s="1">
        <v>390802.4</v>
      </c>
      <c r="S11" s="46">
        <v>389102.4</v>
      </c>
      <c r="T11" s="1">
        <v>387302.40000000002</v>
      </c>
      <c r="U11" s="1">
        <v>383187.4</v>
      </c>
      <c r="V11" s="46">
        <v>383187.4</v>
      </c>
      <c r="W11" s="1">
        <v>382337.4</v>
      </c>
      <c r="X11" s="1">
        <v>382337.4</v>
      </c>
      <c r="Y11" s="46">
        <v>368422.40000000002</v>
      </c>
      <c r="Z11" s="1">
        <v>345564.6</v>
      </c>
      <c r="AA11" s="1">
        <v>343714.6</v>
      </c>
      <c r="AB11" s="46">
        <v>300586.09999999998</v>
      </c>
      <c r="AC11" s="1">
        <v>277955.09999999998</v>
      </c>
      <c r="AD11" s="1">
        <v>248553.1</v>
      </c>
      <c r="AE11" s="46">
        <v>248553.1</v>
      </c>
      <c r="AF11" s="1">
        <v>237828.4</v>
      </c>
      <c r="AG11" s="1">
        <v>219800</v>
      </c>
      <c r="AH11" s="46">
        <v>216853.7</v>
      </c>
      <c r="AI11" s="1">
        <v>212056.6</v>
      </c>
      <c r="AJ11" s="1">
        <v>205391.6</v>
      </c>
      <c r="AK11" s="46">
        <v>199141.6</v>
      </c>
      <c r="AL11" s="1">
        <v>194164.32</v>
      </c>
      <c r="AM11" s="1">
        <v>194164.32</v>
      </c>
      <c r="AN11" s="46">
        <v>164456.51999999999</v>
      </c>
      <c r="AO11" s="1">
        <v>118370.22</v>
      </c>
      <c r="AP11" s="1">
        <v>108880.22</v>
      </c>
      <c r="AQ11" s="46">
        <v>91338.6</v>
      </c>
      <c r="AR11" s="1">
        <v>77668.599999999991</v>
      </c>
      <c r="AS11" s="1">
        <v>75818.599999999991</v>
      </c>
      <c r="AT11" s="46">
        <v>73572.299999999988</v>
      </c>
      <c r="AU11" s="1">
        <v>73572.299999999988</v>
      </c>
      <c r="AV11" s="1">
        <v>69932.649999999994</v>
      </c>
      <c r="AW11" s="46">
        <v>62774.05</v>
      </c>
      <c r="AX11" s="1">
        <v>59194.75</v>
      </c>
      <c r="AY11" s="1">
        <v>31508.600000000009</v>
      </c>
      <c r="AZ11" s="46">
        <v>18558.599999999999</v>
      </c>
      <c r="BA11" s="1">
        <v>16708.599999999999</v>
      </c>
      <c r="BB11" s="1">
        <v>16708.599999999999</v>
      </c>
      <c r="BC11" s="46">
        <v>13068.95</v>
      </c>
      <c r="BD11" s="1">
        <v>13068.95</v>
      </c>
      <c r="BE11" s="1">
        <v>9368.9500000000007</v>
      </c>
      <c r="BF11" s="46">
        <v>1789.65</v>
      </c>
      <c r="BG11" s="1">
        <v>1789.65</v>
      </c>
      <c r="BH11" s="1">
        <v>0</v>
      </c>
      <c r="BI11" s="46">
        <v>0</v>
      </c>
      <c r="BJ11" s="1">
        <v>0</v>
      </c>
      <c r="BK11" s="1">
        <v>0</v>
      </c>
      <c r="BL11">
        <v>0</v>
      </c>
    </row>
    <row r="12" spans="1:64" ht="15.5" x14ac:dyDescent="0.35">
      <c r="A12" t="s">
        <v>74</v>
      </c>
      <c r="B12" s="1">
        <v>644513691.33000004</v>
      </c>
      <c r="C12" s="1">
        <v>576214725.41000009</v>
      </c>
      <c r="D12" s="46">
        <v>573830110.02999997</v>
      </c>
      <c r="E12" s="1">
        <v>570624981.81999993</v>
      </c>
      <c r="F12" s="1">
        <v>570624981.81999993</v>
      </c>
      <c r="G12" s="46">
        <v>551804971.56999993</v>
      </c>
      <c r="H12" s="1">
        <v>547614373.27999997</v>
      </c>
      <c r="I12" s="1">
        <v>538528534.78999996</v>
      </c>
      <c r="J12" s="46">
        <v>527794077.35000002</v>
      </c>
      <c r="K12" s="1">
        <v>519896641.45999998</v>
      </c>
      <c r="L12" s="1">
        <v>509612381.81</v>
      </c>
      <c r="M12" s="46">
        <v>501869390.19999999</v>
      </c>
      <c r="N12" s="1">
        <v>492598237.66000003</v>
      </c>
      <c r="O12" s="1">
        <v>486320189.38</v>
      </c>
      <c r="P12" s="46">
        <v>480422753.48000002</v>
      </c>
      <c r="Q12" s="1">
        <v>464859249.24000001</v>
      </c>
      <c r="R12" s="1">
        <v>423859249.24000001</v>
      </c>
      <c r="S12" s="46">
        <v>421079249.24000001</v>
      </c>
      <c r="T12" s="1">
        <v>418779249.23999989</v>
      </c>
      <c r="U12" s="1">
        <v>417123536.58999997</v>
      </c>
      <c r="V12" s="46">
        <v>417123536.58999997</v>
      </c>
      <c r="W12" s="1">
        <v>414233536.58999997</v>
      </c>
      <c r="X12" s="1">
        <v>414233536.58999997</v>
      </c>
      <c r="Y12" s="46">
        <v>389775786.02999997</v>
      </c>
      <c r="Z12" s="1">
        <v>352447843.04000002</v>
      </c>
      <c r="AA12" s="1">
        <v>350067843.04000002</v>
      </c>
      <c r="AB12" s="46">
        <v>310035364.39999998</v>
      </c>
      <c r="AC12" s="1">
        <v>288612323.77999997</v>
      </c>
      <c r="AD12" s="1">
        <v>257747323.78</v>
      </c>
      <c r="AE12" s="46">
        <v>257747323.78</v>
      </c>
      <c r="AF12" s="1">
        <v>238066147.71000001</v>
      </c>
      <c r="AG12" s="1">
        <v>210181151.25</v>
      </c>
      <c r="AH12" s="46">
        <v>206711772.87</v>
      </c>
      <c r="AI12" s="1">
        <v>198703442.28</v>
      </c>
      <c r="AJ12" s="1">
        <v>182646440.19999999</v>
      </c>
      <c r="AK12" s="46">
        <v>168832302.25999999</v>
      </c>
      <c r="AL12" s="1">
        <v>161972302.25999999</v>
      </c>
      <c r="AM12" s="1">
        <v>161972302.25999999</v>
      </c>
      <c r="AN12" s="46">
        <v>130674612.94</v>
      </c>
      <c r="AO12" s="1">
        <v>104832980.08</v>
      </c>
      <c r="AP12" s="1">
        <v>92836893.080000013</v>
      </c>
      <c r="AQ12" s="46">
        <v>84523699.460000008</v>
      </c>
      <c r="AR12" s="1">
        <v>76655438.460000008</v>
      </c>
      <c r="AS12" s="1">
        <v>75664921.220000014</v>
      </c>
      <c r="AT12" s="46">
        <v>73447582.470000014</v>
      </c>
      <c r="AU12" s="1">
        <v>73447582.470000014</v>
      </c>
      <c r="AV12" s="1">
        <v>70477766.410000011</v>
      </c>
      <c r="AW12" s="46">
        <v>60094707.789999992</v>
      </c>
      <c r="AX12" s="1">
        <v>58222143.989999987</v>
      </c>
      <c r="AY12" s="1">
        <v>41829929.340000004</v>
      </c>
      <c r="AZ12" s="46">
        <v>23988594.890000001</v>
      </c>
      <c r="BA12" s="1">
        <v>21533278.870000001</v>
      </c>
      <c r="BB12" s="1">
        <v>21533278.870000001</v>
      </c>
      <c r="BC12" s="46">
        <v>12606496.460000001</v>
      </c>
      <c r="BD12" s="1">
        <v>12606496.460000001</v>
      </c>
      <c r="BE12" s="1">
        <v>5485662.9400000004</v>
      </c>
      <c r="BF12" s="46">
        <v>936281.9</v>
      </c>
      <c r="BG12" s="1">
        <v>936281.9</v>
      </c>
      <c r="BH12" s="1">
        <v>0</v>
      </c>
      <c r="BI12" s="46">
        <v>0</v>
      </c>
      <c r="BJ12" s="1">
        <v>0</v>
      </c>
      <c r="BK12" s="1">
        <v>0</v>
      </c>
      <c r="BL12">
        <v>0</v>
      </c>
    </row>
    <row r="13" spans="1:64" ht="15.5" x14ac:dyDescent="0.35">
      <c r="A13" t="s">
        <v>75</v>
      </c>
      <c r="B13" s="1">
        <v>373092686.06999999</v>
      </c>
      <c r="C13" s="1">
        <v>360909363.98000002</v>
      </c>
      <c r="D13" s="46">
        <v>352005175.04000002</v>
      </c>
      <c r="E13" s="1">
        <v>342559624.1500001</v>
      </c>
      <c r="F13" s="1">
        <v>334015515.94999999</v>
      </c>
      <c r="G13" s="46">
        <v>320824459.5</v>
      </c>
      <c r="H13" s="1">
        <v>311250837.08999997</v>
      </c>
      <c r="I13" s="1">
        <v>301769369.12</v>
      </c>
      <c r="J13" s="46">
        <v>289474534.19999999</v>
      </c>
      <c r="K13" s="1">
        <v>279980691.32999998</v>
      </c>
      <c r="L13" s="1">
        <v>270524112.38999999</v>
      </c>
      <c r="M13" s="46">
        <v>261565463.3300001</v>
      </c>
      <c r="N13" s="1">
        <v>251789644.33999991</v>
      </c>
      <c r="O13" s="1">
        <v>242667669.94</v>
      </c>
      <c r="P13" s="46">
        <v>233941693.82000011</v>
      </c>
      <c r="Q13" s="1">
        <v>225281161.24000001</v>
      </c>
      <c r="R13" s="1">
        <v>207647933.03999999</v>
      </c>
      <c r="S13" s="46">
        <v>201011704.84</v>
      </c>
      <c r="T13" s="1">
        <v>194112233.58000001</v>
      </c>
      <c r="U13" s="1">
        <v>187146815.71000001</v>
      </c>
      <c r="V13" s="46">
        <v>180880192.72999999</v>
      </c>
      <c r="W13" s="1">
        <v>173891069.75</v>
      </c>
      <c r="X13" s="1">
        <v>167660571.77000001</v>
      </c>
      <c r="Y13" s="46">
        <v>155918680.31999999</v>
      </c>
      <c r="Z13" s="1">
        <v>140670553.63000011</v>
      </c>
      <c r="AA13" s="1">
        <v>134468713.37</v>
      </c>
      <c r="AB13" s="46">
        <v>118624919.87</v>
      </c>
      <c r="AC13" s="1">
        <v>106466119.75</v>
      </c>
      <c r="AD13" s="1">
        <v>90314449.840000004</v>
      </c>
      <c r="AE13" s="46">
        <v>86149687.770000011</v>
      </c>
      <c r="AF13" s="1">
        <v>75182595.519999996</v>
      </c>
      <c r="AG13" s="1">
        <v>65656179.889999993</v>
      </c>
      <c r="AH13" s="46">
        <v>61286081.010000058</v>
      </c>
      <c r="AI13" s="1">
        <v>56450052.960000008</v>
      </c>
      <c r="AJ13" s="1">
        <v>51572874.750000007</v>
      </c>
      <c r="AK13" s="46">
        <v>47957571.719999999</v>
      </c>
      <c r="AL13" s="1">
        <v>43620411.88000001</v>
      </c>
      <c r="AM13" s="1">
        <v>41212627.040000007</v>
      </c>
      <c r="AN13" s="46">
        <v>33827076.319999993</v>
      </c>
      <c r="AO13" s="1">
        <v>29247653.120000001</v>
      </c>
      <c r="AP13" s="1">
        <v>24985427.510000031</v>
      </c>
      <c r="AQ13" s="46">
        <v>23281262.559999999</v>
      </c>
      <c r="AR13" s="1">
        <v>21964489.52</v>
      </c>
      <c r="AS13" s="1">
        <v>20743171.829999998</v>
      </c>
      <c r="AT13" s="46">
        <v>19414195.419999991</v>
      </c>
      <c r="AU13" s="1">
        <v>18391950.889999989</v>
      </c>
      <c r="AV13" s="1">
        <v>16957987.850000001</v>
      </c>
      <c r="AW13" s="46">
        <v>14430443.02999999</v>
      </c>
      <c r="AX13" s="1">
        <v>13325044.619999999</v>
      </c>
      <c r="AY13" s="1">
        <v>10353954.220000001</v>
      </c>
      <c r="AZ13" s="46">
        <v>5211500.8499999978</v>
      </c>
      <c r="BA13" s="1">
        <v>4229453.5399999991</v>
      </c>
      <c r="BB13" s="1">
        <v>3922380.93</v>
      </c>
      <c r="BC13" s="46">
        <v>2631851.649999999</v>
      </c>
      <c r="BD13" s="1">
        <v>2457504.899999999</v>
      </c>
      <c r="BE13" s="1">
        <v>921088.62999999989</v>
      </c>
      <c r="BF13" s="46">
        <v>166209.5199999999</v>
      </c>
      <c r="BG13" s="1">
        <v>152932.40999999989</v>
      </c>
      <c r="BH13" s="1">
        <v>0</v>
      </c>
      <c r="BI13" s="46">
        <v>0</v>
      </c>
      <c r="BJ13" s="1">
        <v>0</v>
      </c>
      <c r="BK13" s="1">
        <v>0</v>
      </c>
      <c r="BL13">
        <v>0</v>
      </c>
    </row>
    <row r="14" spans="1:64" ht="15.5" x14ac:dyDescent="0.35">
      <c r="A14" t="s">
        <v>76</v>
      </c>
      <c r="B14" s="1">
        <v>0</v>
      </c>
      <c r="C14" s="1">
        <v>0</v>
      </c>
      <c r="D14" s="46">
        <v>0</v>
      </c>
      <c r="E14" s="1">
        <v>0</v>
      </c>
      <c r="F14" s="1">
        <v>0</v>
      </c>
      <c r="G14" s="46">
        <v>0</v>
      </c>
      <c r="H14" s="1">
        <v>0</v>
      </c>
      <c r="I14" s="1">
        <v>0</v>
      </c>
      <c r="J14" s="46">
        <v>0</v>
      </c>
      <c r="K14" s="1">
        <v>0</v>
      </c>
      <c r="L14" s="1">
        <v>0</v>
      </c>
      <c r="M14" s="46">
        <v>0</v>
      </c>
      <c r="N14" s="1">
        <v>0</v>
      </c>
      <c r="O14" s="1">
        <v>0</v>
      </c>
      <c r="P14" s="46">
        <v>0</v>
      </c>
      <c r="Q14" s="1">
        <v>0</v>
      </c>
      <c r="R14" s="1">
        <v>0</v>
      </c>
      <c r="S14" s="46">
        <v>0</v>
      </c>
      <c r="T14" s="1">
        <v>0</v>
      </c>
      <c r="U14" s="1">
        <v>0</v>
      </c>
      <c r="V14" s="46">
        <v>0</v>
      </c>
      <c r="W14" s="1">
        <v>0</v>
      </c>
      <c r="X14" s="1">
        <v>0</v>
      </c>
      <c r="Y14" s="46">
        <v>0</v>
      </c>
      <c r="Z14" s="1">
        <v>0</v>
      </c>
      <c r="AA14" s="1">
        <v>0</v>
      </c>
      <c r="AB14" s="46">
        <v>0</v>
      </c>
      <c r="AC14" s="1">
        <v>0</v>
      </c>
      <c r="AD14" s="1">
        <v>0</v>
      </c>
      <c r="AE14" s="46">
        <v>0</v>
      </c>
      <c r="AF14" s="1">
        <v>0</v>
      </c>
      <c r="AG14" s="1">
        <v>0</v>
      </c>
      <c r="AH14" s="46">
        <v>0</v>
      </c>
      <c r="AI14" s="1">
        <v>0</v>
      </c>
      <c r="AJ14" s="1">
        <v>0</v>
      </c>
      <c r="AK14" s="46">
        <v>0</v>
      </c>
      <c r="AL14" s="1">
        <v>0</v>
      </c>
      <c r="AM14" s="1">
        <v>0</v>
      </c>
      <c r="AN14" s="46">
        <v>0</v>
      </c>
      <c r="AO14" s="1">
        <v>0</v>
      </c>
      <c r="AP14" s="1">
        <v>0</v>
      </c>
      <c r="AQ14" s="46">
        <v>0</v>
      </c>
      <c r="AR14" s="1">
        <v>0</v>
      </c>
      <c r="AS14" s="1">
        <v>0</v>
      </c>
      <c r="AT14" s="46">
        <v>0</v>
      </c>
      <c r="AU14" s="1">
        <v>0</v>
      </c>
      <c r="AV14" s="1">
        <v>0</v>
      </c>
      <c r="AW14" s="46">
        <v>0</v>
      </c>
      <c r="AX14" s="1">
        <v>0</v>
      </c>
      <c r="AY14" s="1">
        <v>0</v>
      </c>
      <c r="AZ14" s="46">
        <v>0</v>
      </c>
      <c r="BA14" s="1">
        <v>0</v>
      </c>
      <c r="BB14" s="1">
        <v>0</v>
      </c>
      <c r="BC14" s="46">
        <v>0</v>
      </c>
      <c r="BD14" s="1">
        <v>0</v>
      </c>
      <c r="BE14" s="1">
        <v>0</v>
      </c>
      <c r="BF14" s="46">
        <v>0</v>
      </c>
      <c r="BG14" s="1">
        <v>0</v>
      </c>
      <c r="BH14" s="1">
        <v>0</v>
      </c>
      <c r="BI14" s="46">
        <v>0</v>
      </c>
      <c r="BJ14" s="1">
        <v>0</v>
      </c>
      <c r="BK14" s="1">
        <v>0</v>
      </c>
      <c r="BL14">
        <v>0</v>
      </c>
    </row>
    <row r="15" spans="1:64" ht="15.5" x14ac:dyDescent="0.35">
      <c r="A15" t="s">
        <v>77</v>
      </c>
      <c r="B15" s="1">
        <v>0</v>
      </c>
      <c r="C15" s="1">
        <v>35</v>
      </c>
      <c r="D15" s="46">
        <v>2</v>
      </c>
      <c r="E15" s="1">
        <v>0</v>
      </c>
      <c r="F15" s="1">
        <v>0</v>
      </c>
      <c r="G15" s="46">
        <v>7</v>
      </c>
      <c r="H15" s="1">
        <v>2</v>
      </c>
      <c r="I15" s="1">
        <v>1</v>
      </c>
      <c r="J15" s="46">
        <v>5</v>
      </c>
      <c r="K15" s="1">
        <v>1</v>
      </c>
      <c r="L15" s="1">
        <v>7</v>
      </c>
      <c r="M15" s="46">
        <v>2</v>
      </c>
      <c r="N15" s="1">
        <v>2</v>
      </c>
      <c r="O15" s="1">
        <v>2</v>
      </c>
      <c r="P15" s="46">
        <v>0</v>
      </c>
      <c r="Q15" s="1">
        <v>9</v>
      </c>
      <c r="R15" s="1">
        <v>0</v>
      </c>
      <c r="S15" s="46">
        <v>2</v>
      </c>
      <c r="T15" s="1">
        <v>1</v>
      </c>
      <c r="U15" s="1">
        <v>1</v>
      </c>
      <c r="V15" s="46">
        <v>0</v>
      </c>
      <c r="W15" s="1">
        <v>1</v>
      </c>
      <c r="X15" s="1">
        <v>0</v>
      </c>
      <c r="Y15" s="46">
        <v>9</v>
      </c>
      <c r="Z15" s="1">
        <v>13</v>
      </c>
      <c r="AA15" s="1">
        <v>1</v>
      </c>
      <c r="AB15" s="46">
        <v>27</v>
      </c>
      <c r="AC15" s="1">
        <v>13</v>
      </c>
      <c r="AD15" s="1">
        <v>18</v>
      </c>
      <c r="AE15" s="46">
        <v>0</v>
      </c>
      <c r="AF15" s="1">
        <v>8</v>
      </c>
      <c r="AG15" s="1">
        <v>6</v>
      </c>
      <c r="AH15" s="46">
        <v>2</v>
      </c>
      <c r="AI15" s="1">
        <v>4</v>
      </c>
      <c r="AJ15" s="1">
        <v>4</v>
      </c>
      <c r="AK15" s="46">
        <v>5</v>
      </c>
      <c r="AL15" s="1">
        <v>0</v>
      </c>
      <c r="AM15" s="1">
        <v>0</v>
      </c>
      <c r="AN15" s="46">
        <v>13</v>
      </c>
      <c r="AO15" s="1">
        <v>11</v>
      </c>
      <c r="AP15" s="1">
        <v>1</v>
      </c>
      <c r="AQ15" s="46">
        <v>5</v>
      </c>
      <c r="AR15" s="1">
        <v>4</v>
      </c>
      <c r="AS15" s="1">
        <v>1</v>
      </c>
      <c r="AT15" s="46">
        <v>0</v>
      </c>
      <c r="AU15" s="1">
        <v>0</v>
      </c>
      <c r="AV15" s="1">
        <v>2</v>
      </c>
      <c r="AW15" s="46">
        <v>4</v>
      </c>
      <c r="AX15" s="1">
        <v>2</v>
      </c>
      <c r="AY15" s="1">
        <v>11</v>
      </c>
      <c r="AZ15" s="46">
        <v>7</v>
      </c>
      <c r="BA15" s="1">
        <v>1</v>
      </c>
      <c r="BB15" s="1">
        <v>0</v>
      </c>
      <c r="BC15" s="46">
        <v>2</v>
      </c>
      <c r="BD15" s="1">
        <v>0</v>
      </c>
      <c r="BE15" s="1">
        <v>2</v>
      </c>
      <c r="BF15" s="46">
        <v>2</v>
      </c>
      <c r="BG15" s="1">
        <v>0</v>
      </c>
      <c r="BH15" s="1">
        <v>1</v>
      </c>
      <c r="BI15" s="46">
        <v>0</v>
      </c>
      <c r="BJ15" s="1">
        <v>0</v>
      </c>
      <c r="BK15" s="1">
        <v>0</v>
      </c>
      <c r="BL15">
        <v>0</v>
      </c>
    </row>
    <row r="16" spans="1:64" ht="15.5" x14ac:dyDescent="0.35">
      <c r="A16" t="s">
        <v>78</v>
      </c>
      <c r="B16" s="1">
        <v>0</v>
      </c>
      <c r="C16" s="1">
        <v>2</v>
      </c>
      <c r="D16" s="46">
        <v>0</v>
      </c>
      <c r="E16" s="1">
        <v>1</v>
      </c>
      <c r="F16" s="1">
        <v>0</v>
      </c>
      <c r="G16" s="46">
        <v>0</v>
      </c>
      <c r="H16" s="1">
        <v>0</v>
      </c>
      <c r="I16" s="1">
        <v>2</v>
      </c>
      <c r="J16" s="46">
        <v>0</v>
      </c>
      <c r="K16" s="1">
        <v>1</v>
      </c>
      <c r="L16" s="1">
        <v>0</v>
      </c>
      <c r="M16" s="46">
        <v>1</v>
      </c>
      <c r="N16" s="1">
        <v>2</v>
      </c>
      <c r="O16" s="1">
        <v>0</v>
      </c>
      <c r="P16" s="46">
        <v>2</v>
      </c>
      <c r="Q16" s="1">
        <v>0</v>
      </c>
      <c r="R16" s="1">
        <v>10</v>
      </c>
      <c r="S16" s="46">
        <v>0</v>
      </c>
      <c r="T16" s="1">
        <v>0</v>
      </c>
      <c r="U16" s="1">
        <v>0</v>
      </c>
      <c r="V16" s="46">
        <v>0</v>
      </c>
      <c r="W16" s="1">
        <v>0</v>
      </c>
      <c r="X16" s="1">
        <v>0</v>
      </c>
      <c r="Y16" s="46">
        <v>0</v>
      </c>
      <c r="Z16" s="1">
        <v>2</v>
      </c>
      <c r="AA16" s="1">
        <v>0</v>
      </c>
      <c r="AB16" s="46">
        <v>0</v>
      </c>
      <c r="AC16" s="1">
        <v>0</v>
      </c>
      <c r="AD16" s="1">
        <v>0</v>
      </c>
      <c r="AE16" s="46">
        <v>0</v>
      </c>
      <c r="AF16" s="1">
        <v>2</v>
      </c>
      <c r="AG16" s="1">
        <v>4</v>
      </c>
      <c r="AH16" s="46">
        <v>1</v>
      </c>
      <c r="AI16" s="1">
        <v>0</v>
      </c>
      <c r="AJ16" s="1">
        <v>0</v>
      </c>
      <c r="AK16" s="46">
        <v>0</v>
      </c>
      <c r="AL16" s="1">
        <v>2</v>
      </c>
      <c r="AM16" s="1">
        <v>0</v>
      </c>
      <c r="AN16" s="46">
        <v>6</v>
      </c>
      <c r="AO16" s="1">
        <v>1</v>
      </c>
      <c r="AP16" s="1">
        <v>3</v>
      </c>
      <c r="AQ16" s="46">
        <v>0</v>
      </c>
      <c r="AR16" s="1">
        <v>0</v>
      </c>
      <c r="AS16" s="1">
        <v>0</v>
      </c>
      <c r="AT16" s="46">
        <v>1</v>
      </c>
      <c r="AU16" s="1">
        <v>0</v>
      </c>
      <c r="AV16" s="1">
        <v>0</v>
      </c>
      <c r="AW16" s="46">
        <v>0</v>
      </c>
      <c r="AX16" s="1">
        <v>0</v>
      </c>
      <c r="AY16" s="1">
        <v>0</v>
      </c>
      <c r="AZ16" s="46">
        <v>0</v>
      </c>
      <c r="BA16" s="1">
        <v>0</v>
      </c>
      <c r="BB16" s="1">
        <v>0</v>
      </c>
      <c r="BC16" s="46">
        <v>0</v>
      </c>
      <c r="BD16" s="1">
        <v>0</v>
      </c>
      <c r="BE16" s="1">
        <v>0</v>
      </c>
      <c r="BF16" s="46">
        <v>0</v>
      </c>
      <c r="BG16" s="1">
        <v>0</v>
      </c>
      <c r="BH16" s="1">
        <v>0</v>
      </c>
      <c r="BI16" s="46">
        <v>0</v>
      </c>
      <c r="BJ16" s="1">
        <v>0</v>
      </c>
      <c r="BK16" s="1">
        <v>0</v>
      </c>
      <c r="BL1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16"/>
  <sheetViews>
    <sheetView workbookViewId="0">
      <selection sqref="A1:XFD1048576"/>
    </sheetView>
  </sheetViews>
  <sheetFormatPr defaultRowHeight="14.5" x14ac:dyDescent="0.35"/>
  <cols>
    <col min="1" max="1" width="17.453125" bestFit="1" customWidth="1"/>
    <col min="2" max="3" width="15.26953125" bestFit="1" customWidth="1"/>
    <col min="4" max="4" width="14" bestFit="1" customWidth="1"/>
    <col min="5" max="6" width="15.26953125" bestFit="1" customWidth="1"/>
    <col min="7" max="7" width="14" bestFit="1" customWidth="1"/>
    <col min="8" max="9" width="15.26953125" bestFit="1" customWidth="1"/>
    <col min="10" max="10" width="14" bestFit="1" customWidth="1"/>
    <col min="11" max="12" width="15.26953125" bestFit="1" customWidth="1"/>
    <col min="13" max="13" width="14" bestFit="1" customWidth="1"/>
    <col min="14" max="15" width="15.26953125" bestFit="1" customWidth="1"/>
    <col min="16" max="16" width="14" bestFit="1" customWidth="1"/>
    <col min="17" max="18" width="15.26953125" bestFit="1" customWidth="1"/>
    <col min="19" max="19" width="14" bestFit="1" customWidth="1"/>
    <col min="20" max="21" width="15.26953125" bestFit="1" customWidth="1"/>
    <col min="22" max="22" width="14" bestFit="1" customWidth="1"/>
    <col min="23" max="24" width="15.26953125" bestFit="1" customWidth="1"/>
    <col min="25" max="25" width="14" bestFit="1" customWidth="1"/>
    <col min="26" max="27" width="15.26953125" bestFit="1" customWidth="1"/>
    <col min="28" max="28" width="14" bestFit="1" customWidth="1"/>
    <col min="29" max="30" width="15.26953125" bestFit="1" customWidth="1"/>
    <col min="31" max="31" width="14" bestFit="1" customWidth="1"/>
    <col min="32" max="33" width="15.26953125" bestFit="1" customWidth="1"/>
    <col min="34" max="34" width="14" bestFit="1" customWidth="1"/>
    <col min="35" max="36" width="15.26953125" bestFit="1" customWidth="1"/>
    <col min="37" max="37" width="14" bestFit="1" customWidth="1"/>
    <col min="38" max="39" width="15.26953125" bestFit="1" customWidth="1"/>
    <col min="40" max="40" width="14" bestFit="1" customWidth="1"/>
    <col min="41" max="42" width="15.26953125" bestFit="1" customWidth="1"/>
    <col min="43" max="43" width="14" bestFit="1" customWidth="1"/>
    <col min="44" max="45" width="15.26953125" bestFit="1" customWidth="1"/>
    <col min="46" max="46" width="14" bestFit="1" customWidth="1"/>
    <col min="47" max="48" width="15.26953125" bestFit="1" customWidth="1"/>
    <col min="49" max="49" width="14" bestFit="1" customWidth="1"/>
    <col min="50" max="51" width="15.26953125" bestFit="1" customWidth="1"/>
    <col min="52" max="52" width="14" bestFit="1" customWidth="1"/>
    <col min="53" max="54" width="14.1796875" bestFit="1" customWidth="1"/>
    <col min="55" max="55" width="12.81640625" bestFit="1" customWidth="1"/>
    <col min="56" max="57" width="14.1796875" bestFit="1" customWidth="1"/>
    <col min="58" max="58" width="12.81640625" bestFit="1" customWidth="1"/>
    <col min="59" max="60" width="14.1796875" bestFit="1" customWidth="1"/>
    <col min="61" max="61" width="12.81640625" bestFit="1" customWidth="1"/>
    <col min="62" max="63" width="13" bestFit="1" customWidth="1"/>
    <col min="64" max="64" width="10.54296875" bestFit="1" customWidth="1"/>
  </cols>
  <sheetData>
    <row r="1" spans="1:64" x14ac:dyDescent="0.35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t="s">
        <v>5</v>
      </c>
      <c r="G1" s="16" t="s">
        <v>6</v>
      </c>
      <c r="H1" t="s">
        <v>7</v>
      </c>
      <c r="I1" t="s">
        <v>8</v>
      </c>
      <c r="J1" s="16" t="s">
        <v>9</v>
      </c>
      <c r="K1" t="s">
        <v>10</v>
      </c>
      <c r="L1" t="s">
        <v>11</v>
      </c>
      <c r="M1" s="16" t="s">
        <v>12</v>
      </c>
      <c r="N1" t="s">
        <v>13</v>
      </c>
      <c r="O1" t="s">
        <v>14</v>
      </c>
      <c r="P1" s="16" t="s">
        <v>15</v>
      </c>
      <c r="Q1" t="s">
        <v>16</v>
      </c>
      <c r="R1" t="s">
        <v>17</v>
      </c>
      <c r="S1" s="16" t="s">
        <v>18</v>
      </c>
      <c r="T1" t="s">
        <v>19</v>
      </c>
      <c r="U1" t="s">
        <v>20</v>
      </c>
      <c r="V1" s="16" t="s">
        <v>21</v>
      </c>
      <c r="W1" t="s">
        <v>22</v>
      </c>
      <c r="X1" t="s">
        <v>23</v>
      </c>
      <c r="Y1" s="16" t="s">
        <v>24</v>
      </c>
      <c r="Z1" t="s">
        <v>25</v>
      </c>
      <c r="AA1" t="s">
        <v>26</v>
      </c>
      <c r="AB1" s="16" t="s">
        <v>27</v>
      </c>
      <c r="AC1" t="s">
        <v>28</v>
      </c>
      <c r="AD1" t="s">
        <v>29</v>
      </c>
      <c r="AE1" s="16" t="s">
        <v>30</v>
      </c>
      <c r="AF1" t="s">
        <v>31</v>
      </c>
      <c r="AG1" t="s">
        <v>32</v>
      </c>
      <c r="AH1" s="16" t="s">
        <v>33</v>
      </c>
      <c r="AI1" t="s">
        <v>34</v>
      </c>
      <c r="AJ1" t="s">
        <v>35</v>
      </c>
      <c r="AK1" s="16" t="s">
        <v>36</v>
      </c>
      <c r="AL1" t="s">
        <v>37</v>
      </c>
      <c r="AM1" t="s">
        <v>38</v>
      </c>
      <c r="AN1" s="16" t="s">
        <v>39</v>
      </c>
      <c r="AO1" t="s">
        <v>40</v>
      </c>
      <c r="AP1" t="s">
        <v>41</v>
      </c>
      <c r="AQ1" s="16" t="s">
        <v>42</v>
      </c>
      <c r="AR1" t="s">
        <v>43</v>
      </c>
      <c r="AS1" t="s">
        <v>44</v>
      </c>
      <c r="AT1" s="16" t="s">
        <v>45</v>
      </c>
      <c r="AU1" t="s">
        <v>46</v>
      </c>
      <c r="AV1" t="s">
        <v>47</v>
      </c>
      <c r="AW1" s="16" t="s">
        <v>48</v>
      </c>
      <c r="AX1" t="s">
        <v>49</v>
      </c>
      <c r="AY1" t="s">
        <v>50</v>
      </c>
      <c r="AZ1" s="16" t="s">
        <v>51</v>
      </c>
      <c r="BA1" t="s">
        <v>52</v>
      </c>
      <c r="BB1" t="s">
        <v>53</v>
      </c>
      <c r="BC1" s="16" t="s">
        <v>54</v>
      </c>
      <c r="BD1" t="s">
        <v>55</v>
      </c>
      <c r="BE1" t="s">
        <v>56</v>
      </c>
      <c r="BF1" s="16" t="s">
        <v>57</v>
      </c>
      <c r="BG1" t="s">
        <v>58</v>
      </c>
      <c r="BH1" t="s">
        <v>59</v>
      </c>
      <c r="BI1" s="16" t="s">
        <v>60</v>
      </c>
      <c r="BJ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1">
        <v>1042</v>
      </c>
      <c r="C2" s="1">
        <v>943</v>
      </c>
      <c r="D2" s="46">
        <v>893</v>
      </c>
      <c r="E2" s="1">
        <v>875</v>
      </c>
      <c r="F2" s="1">
        <v>856</v>
      </c>
      <c r="G2" s="46">
        <v>804</v>
      </c>
      <c r="H2" s="1">
        <v>783</v>
      </c>
      <c r="I2" s="1">
        <v>766</v>
      </c>
      <c r="J2" s="46">
        <v>758</v>
      </c>
      <c r="K2" s="1">
        <v>731</v>
      </c>
      <c r="L2" s="1">
        <v>717</v>
      </c>
      <c r="M2" s="46">
        <v>706</v>
      </c>
      <c r="N2" s="1">
        <v>697</v>
      </c>
      <c r="O2" s="1">
        <v>682</v>
      </c>
      <c r="P2" s="46">
        <v>661</v>
      </c>
      <c r="Q2" s="1">
        <v>649</v>
      </c>
      <c r="R2" s="1">
        <v>635</v>
      </c>
      <c r="S2" s="46">
        <v>627</v>
      </c>
      <c r="T2" s="1">
        <v>614</v>
      </c>
      <c r="U2" s="1">
        <v>610</v>
      </c>
      <c r="V2" s="46">
        <v>595</v>
      </c>
      <c r="W2" s="1">
        <v>572</v>
      </c>
      <c r="X2" s="1">
        <v>561</v>
      </c>
      <c r="Y2" s="46">
        <v>549</v>
      </c>
      <c r="Z2" s="1">
        <v>536</v>
      </c>
      <c r="AA2" s="1">
        <v>527</v>
      </c>
      <c r="AB2" s="46">
        <v>504</v>
      </c>
      <c r="AC2" s="1">
        <v>489</v>
      </c>
      <c r="AD2" s="1">
        <v>473</v>
      </c>
      <c r="AE2" s="46">
        <v>459</v>
      </c>
      <c r="AF2" s="1">
        <v>421</v>
      </c>
      <c r="AG2" s="1">
        <v>401</v>
      </c>
      <c r="AH2" s="46">
        <v>393</v>
      </c>
      <c r="AI2" s="1">
        <v>369</v>
      </c>
      <c r="AJ2" s="1">
        <v>348</v>
      </c>
      <c r="AK2" s="46">
        <v>328</v>
      </c>
      <c r="AL2" s="1">
        <v>314</v>
      </c>
      <c r="AM2" s="1">
        <v>309</v>
      </c>
      <c r="AN2" s="46">
        <v>300</v>
      </c>
      <c r="AO2" s="1">
        <v>282</v>
      </c>
      <c r="AP2" s="1">
        <v>265</v>
      </c>
      <c r="AQ2" s="46">
        <v>240</v>
      </c>
      <c r="AR2" s="1">
        <v>222</v>
      </c>
      <c r="AS2" s="1">
        <v>205</v>
      </c>
      <c r="AT2" s="46">
        <v>192</v>
      </c>
      <c r="AU2" s="1">
        <v>170</v>
      </c>
      <c r="AV2" s="1">
        <v>165</v>
      </c>
      <c r="AW2" s="46">
        <v>151</v>
      </c>
      <c r="AX2" s="1">
        <v>138</v>
      </c>
      <c r="AY2" s="1">
        <v>131</v>
      </c>
      <c r="AZ2" s="46">
        <v>125</v>
      </c>
      <c r="BA2" s="1">
        <v>113</v>
      </c>
      <c r="BB2" s="1">
        <v>102</v>
      </c>
      <c r="BC2" s="46">
        <v>96</v>
      </c>
      <c r="BD2" s="1">
        <v>81</v>
      </c>
      <c r="BE2" s="1">
        <v>61</v>
      </c>
      <c r="BF2" s="46">
        <v>59</v>
      </c>
      <c r="BG2" s="1">
        <v>53</v>
      </c>
      <c r="BH2" s="1">
        <v>39</v>
      </c>
      <c r="BI2" s="46">
        <v>30</v>
      </c>
      <c r="BJ2" s="1">
        <v>17</v>
      </c>
      <c r="BK2" s="1">
        <v>7</v>
      </c>
      <c r="BL2">
        <v>3</v>
      </c>
    </row>
    <row r="3" spans="1:64" ht="15.5" x14ac:dyDescent="0.35">
      <c r="A3" t="s">
        <v>65</v>
      </c>
      <c r="B3" s="1">
        <v>270</v>
      </c>
      <c r="C3" s="1">
        <v>262</v>
      </c>
      <c r="D3" s="46">
        <v>261</v>
      </c>
      <c r="E3" s="1">
        <v>259</v>
      </c>
      <c r="F3" s="1">
        <v>259</v>
      </c>
      <c r="G3" s="46">
        <v>253</v>
      </c>
      <c r="H3" s="1">
        <v>250</v>
      </c>
      <c r="I3" s="1">
        <v>248</v>
      </c>
      <c r="J3" s="46">
        <v>247</v>
      </c>
      <c r="K3" s="1">
        <v>237</v>
      </c>
      <c r="L3" s="1">
        <v>232</v>
      </c>
      <c r="M3" s="46">
        <v>228</v>
      </c>
      <c r="N3" s="1">
        <v>226</v>
      </c>
      <c r="O3" s="1">
        <v>216</v>
      </c>
      <c r="P3" s="46">
        <v>213</v>
      </c>
      <c r="Q3" s="1">
        <v>208</v>
      </c>
      <c r="R3" s="1">
        <v>200</v>
      </c>
      <c r="S3" s="46">
        <v>199</v>
      </c>
      <c r="T3" s="1">
        <v>198</v>
      </c>
      <c r="U3" s="1">
        <v>194</v>
      </c>
      <c r="V3" s="46">
        <v>191</v>
      </c>
      <c r="W3" s="1">
        <v>188</v>
      </c>
      <c r="X3" s="1">
        <v>185</v>
      </c>
      <c r="Y3" s="46">
        <v>180</v>
      </c>
      <c r="Z3" s="1">
        <v>165</v>
      </c>
      <c r="AA3" s="1">
        <v>163</v>
      </c>
      <c r="AB3" s="46">
        <v>155</v>
      </c>
      <c r="AC3" s="1">
        <v>151</v>
      </c>
      <c r="AD3" s="1">
        <v>146</v>
      </c>
      <c r="AE3" s="46">
        <v>140</v>
      </c>
      <c r="AF3" s="1">
        <v>136</v>
      </c>
      <c r="AG3" s="1">
        <v>133</v>
      </c>
      <c r="AH3" s="46">
        <v>129</v>
      </c>
      <c r="AI3" s="1">
        <v>123</v>
      </c>
      <c r="AJ3" s="1">
        <v>113</v>
      </c>
      <c r="AK3" s="46">
        <v>107</v>
      </c>
      <c r="AL3" s="1">
        <v>104</v>
      </c>
      <c r="AM3" s="1">
        <v>100</v>
      </c>
      <c r="AN3" s="46">
        <v>96</v>
      </c>
      <c r="AO3" s="1">
        <v>92</v>
      </c>
      <c r="AP3" s="1">
        <v>88</v>
      </c>
      <c r="AQ3" s="46">
        <v>85</v>
      </c>
      <c r="AR3" s="1">
        <v>82</v>
      </c>
      <c r="AS3" s="1">
        <v>79</v>
      </c>
      <c r="AT3" s="46">
        <v>74</v>
      </c>
      <c r="AU3" s="1">
        <v>67</v>
      </c>
      <c r="AV3" s="1">
        <v>60</v>
      </c>
      <c r="AW3" s="46">
        <v>53</v>
      </c>
      <c r="AX3" s="1">
        <v>50</v>
      </c>
      <c r="AY3" s="1">
        <v>45</v>
      </c>
      <c r="AZ3" s="46">
        <v>40</v>
      </c>
      <c r="BA3" s="1">
        <v>38</v>
      </c>
      <c r="BB3" s="1">
        <v>30</v>
      </c>
      <c r="BC3" s="46">
        <v>27</v>
      </c>
      <c r="BD3" s="1">
        <v>18</v>
      </c>
      <c r="BE3" s="1">
        <v>10</v>
      </c>
      <c r="BF3" s="46">
        <v>6</v>
      </c>
      <c r="BG3" s="1">
        <v>5</v>
      </c>
      <c r="BH3" s="1">
        <v>2</v>
      </c>
      <c r="BI3" s="46">
        <v>1</v>
      </c>
      <c r="BJ3" s="1">
        <v>0</v>
      </c>
      <c r="BK3" s="1">
        <v>0</v>
      </c>
      <c r="BL3">
        <v>0</v>
      </c>
    </row>
    <row r="4" spans="1:64" ht="15.5" x14ac:dyDescent="0.35">
      <c r="A4" t="s">
        <v>66</v>
      </c>
      <c r="B4" s="1">
        <v>0</v>
      </c>
      <c r="C4" s="1">
        <v>0</v>
      </c>
      <c r="D4" s="46">
        <v>0</v>
      </c>
      <c r="E4" s="1">
        <v>0</v>
      </c>
      <c r="F4" s="1">
        <v>0</v>
      </c>
      <c r="G4" s="46">
        <v>0</v>
      </c>
      <c r="H4" s="1">
        <v>0</v>
      </c>
      <c r="I4" s="1">
        <v>0</v>
      </c>
      <c r="J4" s="46">
        <v>0</v>
      </c>
      <c r="K4" s="1">
        <v>0</v>
      </c>
      <c r="L4" s="1">
        <v>0</v>
      </c>
      <c r="M4" s="46">
        <v>0</v>
      </c>
      <c r="N4" s="1">
        <v>0</v>
      </c>
      <c r="O4" s="1">
        <v>0</v>
      </c>
      <c r="P4" s="46">
        <v>0</v>
      </c>
      <c r="Q4" s="1">
        <v>0</v>
      </c>
      <c r="R4" s="1">
        <v>0</v>
      </c>
      <c r="S4" s="46">
        <v>0</v>
      </c>
      <c r="T4" s="1">
        <v>0</v>
      </c>
      <c r="U4" s="1">
        <v>0</v>
      </c>
      <c r="V4" s="46">
        <v>0</v>
      </c>
      <c r="W4" s="1">
        <v>0</v>
      </c>
      <c r="X4" s="1">
        <v>0</v>
      </c>
      <c r="Y4" s="46">
        <v>0</v>
      </c>
      <c r="Z4" s="1">
        <v>0</v>
      </c>
      <c r="AA4" s="1">
        <v>0</v>
      </c>
      <c r="AB4" s="46">
        <v>0</v>
      </c>
      <c r="AC4" s="1">
        <v>0</v>
      </c>
      <c r="AD4" s="1">
        <v>0</v>
      </c>
      <c r="AE4" s="46">
        <v>0</v>
      </c>
      <c r="AF4" s="1">
        <v>0</v>
      </c>
      <c r="AG4" s="1">
        <v>0</v>
      </c>
      <c r="AH4" s="46">
        <v>0</v>
      </c>
      <c r="AI4" s="1">
        <v>0</v>
      </c>
      <c r="AJ4" s="1">
        <v>0</v>
      </c>
      <c r="AK4" s="46">
        <v>0</v>
      </c>
      <c r="AL4" s="1">
        <v>0</v>
      </c>
      <c r="AM4" s="1">
        <v>0</v>
      </c>
      <c r="AN4" s="46">
        <v>0</v>
      </c>
      <c r="AO4" s="1">
        <v>0</v>
      </c>
      <c r="AP4" s="1">
        <v>0</v>
      </c>
      <c r="AQ4" s="46">
        <v>0</v>
      </c>
      <c r="AR4" s="1">
        <v>0</v>
      </c>
      <c r="AS4" s="1">
        <v>0</v>
      </c>
      <c r="AT4" s="46">
        <v>0</v>
      </c>
      <c r="AU4" s="1">
        <v>0</v>
      </c>
      <c r="AV4" s="1">
        <v>0</v>
      </c>
      <c r="AW4" s="46">
        <v>0</v>
      </c>
      <c r="AX4" s="1">
        <v>0</v>
      </c>
      <c r="AY4" s="1">
        <v>0</v>
      </c>
      <c r="AZ4" s="46">
        <v>0</v>
      </c>
      <c r="BA4" s="1">
        <v>0</v>
      </c>
      <c r="BB4" s="1">
        <v>0</v>
      </c>
      <c r="BC4" s="46">
        <v>0</v>
      </c>
      <c r="BD4" s="1">
        <v>0</v>
      </c>
      <c r="BE4" s="1">
        <v>0</v>
      </c>
      <c r="BF4" s="46">
        <v>0</v>
      </c>
      <c r="BG4" s="1">
        <v>0</v>
      </c>
      <c r="BH4" s="1">
        <v>0</v>
      </c>
      <c r="BI4" s="46">
        <v>0</v>
      </c>
      <c r="BJ4" s="1">
        <v>0</v>
      </c>
      <c r="BK4" s="1">
        <v>0</v>
      </c>
      <c r="BL4">
        <v>0</v>
      </c>
    </row>
    <row r="5" spans="1:64" ht="15.5" x14ac:dyDescent="0.35">
      <c r="A5" t="s">
        <v>67</v>
      </c>
      <c r="B5" s="1">
        <v>16127039.58</v>
      </c>
      <c r="C5" s="1">
        <v>15239223.470000001</v>
      </c>
      <c r="D5" s="46">
        <v>14717656.82</v>
      </c>
      <c r="E5" s="1">
        <v>14505774.890000001</v>
      </c>
      <c r="F5" s="1">
        <v>14321213.439999999</v>
      </c>
      <c r="G5" s="46">
        <v>13772766.01</v>
      </c>
      <c r="H5" s="1">
        <v>13517173.98</v>
      </c>
      <c r="I5" s="1">
        <v>13310992.15</v>
      </c>
      <c r="J5" s="46">
        <v>13167461.85</v>
      </c>
      <c r="K5" s="1">
        <v>12789062.949999999</v>
      </c>
      <c r="L5" s="1">
        <v>12598405.01</v>
      </c>
      <c r="M5" s="46">
        <v>12434826.449999999</v>
      </c>
      <c r="N5" s="1">
        <v>12325539.83</v>
      </c>
      <c r="O5" s="1">
        <v>11973743.66</v>
      </c>
      <c r="P5" s="46">
        <v>11768592.92</v>
      </c>
      <c r="Q5" s="1">
        <v>11589088.48</v>
      </c>
      <c r="R5" s="1">
        <v>11321742.970000001</v>
      </c>
      <c r="S5" s="46">
        <v>11177794.470000001</v>
      </c>
      <c r="T5" s="1">
        <v>11007943.619999999</v>
      </c>
      <c r="U5" s="1">
        <v>10914271.68</v>
      </c>
      <c r="V5" s="46">
        <v>10739297.41</v>
      </c>
      <c r="W5" s="1">
        <v>10474954.369999999</v>
      </c>
      <c r="X5" s="1">
        <v>10274019.460000001</v>
      </c>
      <c r="Y5" s="46">
        <v>10045501.34</v>
      </c>
      <c r="Z5" s="1">
        <v>9721704.3200000003</v>
      </c>
      <c r="AA5" s="1">
        <v>9556281.3300000001</v>
      </c>
      <c r="AB5" s="46">
        <v>9163771.4299999997</v>
      </c>
      <c r="AC5" s="1">
        <v>8963679.4900000002</v>
      </c>
      <c r="AD5" s="1">
        <v>8721353.1600000001</v>
      </c>
      <c r="AE5" s="46">
        <v>8212815.8700000001</v>
      </c>
      <c r="AF5" s="1">
        <v>7669016.5700000003</v>
      </c>
      <c r="AG5" s="1">
        <v>7377795.6500000004</v>
      </c>
      <c r="AH5" s="46">
        <v>7203636.5700000003</v>
      </c>
      <c r="AI5" s="1">
        <v>6823360.5300000003</v>
      </c>
      <c r="AJ5" s="1">
        <v>6393571.9100000001</v>
      </c>
      <c r="AK5" s="46">
        <v>6026372.3399999999</v>
      </c>
      <c r="AL5" s="1">
        <v>5766606.2199999997</v>
      </c>
      <c r="AM5" s="1">
        <v>5666464.1500000004</v>
      </c>
      <c r="AN5" s="46">
        <v>5520302.1900000004</v>
      </c>
      <c r="AO5" s="1">
        <v>5208808.3499999996</v>
      </c>
      <c r="AP5" s="1">
        <v>4863541.7300000004</v>
      </c>
      <c r="AQ5" s="46">
        <v>4606219.7200000007</v>
      </c>
      <c r="AR5" s="1">
        <v>4240707.75</v>
      </c>
      <c r="AS5" s="1">
        <v>3978452.21</v>
      </c>
      <c r="AT5" s="46">
        <v>3767338.72</v>
      </c>
      <c r="AU5" s="1">
        <v>3430065.61</v>
      </c>
      <c r="AV5" s="1">
        <v>3235107.91</v>
      </c>
      <c r="AW5" s="46">
        <v>2951011.11</v>
      </c>
      <c r="AX5" s="1">
        <v>2685508.55</v>
      </c>
      <c r="AY5" s="1">
        <v>2509123.2599999998</v>
      </c>
      <c r="AZ5" s="46">
        <v>2384012.5099999998</v>
      </c>
      <c r="BA5" s="1">
        <v>2223967.5499999998</v>
      </c>
      <c r="BB5" s="1">
        <v>1776292.74</v>
      </c>
      <c r="BC5" s="46">
        <v>1643750.92</v>
      </c>
      <c r="BD5" s="1">
        <v>1217863.25</v>
      </c>
      <c r="BE5" s="1">
        <v>722253.11</v>
      </c>
      <c r="BF5" s="46">
        <v>656067.21</v>
      </c>
      <c r="BG5" s="1">
        <v>581968.53</v>
      </c>
      <c r="BH5" s="1">
        <v>405249.73</v>
      </c>
      <c r="BI5" s="46">
        <v>296662.07000000012</v>
      </c>
      <c r="BJ5" s="1">
        <v>142642.70000000001</v>
      </c>
      <c r="BK5" s="1">
        <v>63033.12000000001</v>
      </c>
      <c r="BL5">
        <v>30708.41</v>
      </c>
    </row>
    <row r="6" spans="1:64" ht="15.5" x14ac:dyDescent="0.35">
      <c r="A6" t="s">
        <v>68</v>
      </c>
      <c r="B6" s="1">
        <v>8195520.8599999994</v>
      </c>
      <c r="C6" s="1">
        <v>7809633.6200000001</v>
      </c>
      <c r="D6" s="46">
        <v>7678876.2999999998</v>
      </c>
      <c r="E6" s="1">
        <v>7567981.29</v>
      </c>
      <c r="F6" s="1">
        <v>7500487.5</v>
      </c>
      <c r="G6" s="46">
        <v>7268934.2100000009</v>
      </c>
      <c r="H6" s="1">
        <v>7157704.9600000009</v>
      </c>
      <c r="I6" s="1">
        <v>7059796.75</v>
      </c>
      <c r="J6" s="46">
        <v>6977621.8599999994</v>
      </c>
      <c r="K6" s="1">
        <v>6782284.5700000003</v>
      </c>
      <c r="L6" s="1">
        <v>6684578.8200000003</v>
      </c>
      <c r="M6" s="46">
        <v>6597332.8600000013</v>
      </c>
      <c r="N6" s="1">
        <v>6542129.5300000003</v>
      </c>
      <c r="O6" s="1">
        <v>6325833.4400000004</v>
      </c>
      <c r="P6" s="46">
        <v>6225785.5999999996</v>
      </c>
      <c r="Q6" s="1">
        <v>6124803.0299999993</v>
      </c>
      <c r="R6" s="1">
        <v>5976249.3099999996</v>
      </c>
      <c r="S6" s="46">
        <v>5895284.6400000006</v>
      </c>
      <c r="T6" s="1">
        <v>5803407.8599999994</v>
      </c>
      <c r="U6" s="1">
        <v>5749418.3499999996</v>
      </c>
      <c r="V6" s="46">
        <v>5661647.3500000006</v>
      </c>
      <c r="W6" s="1">
        <v>5529025.8399999999</v>
      </c>
      <c r="X6" s="1">
        <v>5416649.3900000006</v>
      </c>
      <c r="Y6" s="46">
        <v>5287246.7699999996</v>
      </c>
      <c r="Z6" s="1">
        <v>5106663.67</v>
      </c>
      <c r="AA6" s="1">
        <v>5012811.7699999996</v>
      </c>
      <c r="AB6" s="46">
        <v>4802839.7699999996</v>
      </c>
      <c r="AC6" s="1">
        <v>4695024.42</v>
      </c>
      <c r="AD6" s="1">
        <v>4564331.8199999994</v>
      </c>
      <c r="AE6" s="46">
        <v>4232130.2</v>
      </c>
      <c r="AF6" s="1">
        <v>3964503.7</v>
      </c>
      <c r="AG6" s="1">
        <v>3814301.16</v>
      </c>
      <c r="AH6" s="46">
        <v>3713161.5</v>
      </c>
      <c r="AI6" s="1">
        <v>3505757.63</v>
      </c>
      <c r="AJ6" s="1">
        <v>3263870.93</v>
      </c>
      <c r="AK6" s="46">
        <v>3078966.76</v>
      </c>
      <c r="AL6" s="1">
        <v>2939999.35</v>
      </c>
      <c r="AM6" s="1">
        <v>2886283.74</v>
      </c>
      <c r="AN6" s="46">
        <v>2808502.7</v>
      </c>
      <c r="AO6" s="1">
        <v>2652921.1</v>
      </c>
      <c r="AP6" s="1">
        <v>2486868.84</v>
      </c>
      <c r="AQ6" s="46">
        <v>2362707.54</v>
      </c>
      <c r="AR6" s="1">
        <v>2193954.17</v>
      </c>
      <c r="AS6" s="1">
        <v>2062117.49</v>
      </c>
      <c r="AT6" s="46">
        <v>1952104.89</v>
      </c>
      <c r="AU6" s="1">
        <v>1773782.92</v>
      </c>
      <c r="AV6" s="1">
        <v>1658545.86</v>
      </c>
      <c r="AW6" s="46">
        <v>1507991.7</v>
      </c>
      <c r="AX6" s="1">
        <v>1377747.2</v>
      </c>
      <c r="AY6" s="1">
        <v>1289721.96</v>
      </c>
      <c r="AZ6" s="46">
        <v>1223615.46</v>
      </c>
      <c r="BA6" s="1">
        <v>1146728.92</v>
      </c>
      <c r="BB6" s="1">
        <v>885935.39</v>
      </c>
      <c r="BC6" s="46">
        <v>812479.94</v>
      </c>
      <c r="BD6" s="1">
        <v>591673.96</v>
      </c>
      <c r="BE6" s="1">
        <v>335097.08</v>
      </c>
      <c r="BF6" s="46">
        <v>300000.25</v>
      </c>
      <c r="BG6" s="1">
        <v>264957.93</v>
      </c>
      <c r="BH6" s="1">
        <v>181711.64</v>
      </c>
      <c r="BI6" s="46">
        <v>133689.06</v>
      </c>
      <c r="BJ6" s="1">
        <v>64456.260000000009</v>
      </c>
      <c r="BK6" s="1">
        <v>27819.93</v>
      </c>
      <c r="BL6">
        <v>13602.56</v>
      </c>
    </row>
    <row r="7" spans="1:64" ht="15.5" x14ac:dyDescent="0.35">
      <c r="A7" t="s">
        <v>69</v>
      </c>
      <c r="B7" s="1">
        <v>3772599.22</v>
      </c>
      <c r="C7" s="1">
        <v>3565955.24</v>
      </c>
      <c r="D7" s="46">
        <v>3503221.66</v>
      </c>
      <c r="E7" s="1">
        <v>3451076.61</v>
      </c>
      <c r="F7" s="1">
        <v>3415099.75</v>
      </c>
      <c r="G7" s="46">
        <v>3300988.34</v>
      </c>
      <c r="H7" s="1">
        <v>3251919.57</v>
      </c>
      <c r="I7" s="1">
        <v>3208429.89</v>
      </c>
      <c r="J7" s="46">
        <v>3182781.79</v>
      </c>
      <c r="K7" s="1">
        <v>3089200.41</v>
      </c>
      <c r="L7" s="1">
        <v>3044340.11</v>
      </c>
      <c r="M7" s="46">
        <v>3002445.41</v>
      </c>
      <c r="N7" s="1">
        <v>2973020.76</v>
      </c>
      <c r="O7" s="1">
        <v>2901751.97</v>
      </c>
      <c r="P7" s="46">
        <v>2853375.33</v>
      </c>
      <c r="Q7" s="1">
        <v>2812041.98</v>
      </c>
      <c r="R7" s="1">
        <v>2750989.62</v>
      </c>
      <c r="S7" s="46">
        <v>2720941.51</v>
      </c>
      <c r="T7" s="1">
        <v>2682634.83</v>
      </c>
      <c r="U7" s="1">
        <v>2660009.06</v>
      </c>
      <c r="V7" s="46">
        <v>2617445.44</v>
      </c>
      <c r="W7" s="1">
        <v>2551409.73</v>
      </c>
      <c r="X7" s="1">
        <v>2507112.94</v>
      </c>
      <c r="Y7" s="46">
        <v>2452955.84</v>
      </c>
      <c r="Z7" s="1">
        <v>2388748.2000000002</v>
      </c>
      <c r="AA7" s="1">
        <v>2354822.33</v>
      </c>
      <c r="AB7" s="46">
        <v>2259085.5</v>
      </c>
      <c r="AC7" s="1">
        <v>2212557.91</v>
      </c>
      <c r="AD7" s="1">
        <v>2158100.4900000002</v>
      </c>
      <c r="AE7" s="46">
        <v>2061751.34</v>
      </c>
      <c r="AF7" s="1">
        <v>1930253.33</v>
      </c>
      <c r="AG7" s="1">
        <v>1855527.61</v>
      </c>
      <c r="AH7" s="46">
        <v>1816500.59</v>
      </c>
      <c r="AI7" s="1">
        <v>1725210.08</v>
      </c>
      <c r="AJ7" s="1">
        <v>1631133.69</v>
      </c>
      <c r="AK7" s="46">
        <v>1545279</v>
      </c>
      <c r="AL7" s="1">
        <v>1483413.92</v>
      </c>
      <c r="AM7" s="1">
        <v>1458685.55</v>
      </c>
      <c r="AN7" s="46">
        <v>1418154.72</v>
      </c>
      <c r="AO7" s="1">
        <v>1337446.28</v>
      </c>
      <c r="AP7" s="1">
        <v>1252823.6000000001</v>
      </c>
      <c r="AQ7" s="46">
        <v>1184858.23</v>
      </c>
      <c r="AR7" s="1">
        <v>1081239.31</v>
      </c>
      <c r="AS7" s="1">
        <v>1012982.56</v>
      </c>
      <c r="AT7" s="46">
        <v>959096.04</v>
      </c>
      <c r="AU7" s="1">
        <v>870621.28</v>
      </c>
      <c r="AV7" s="1">
        <v>825067.56</v>
      </c>
      <c r="AW7" s="46">
        <v>748719.10000000009</v>
      </c>
      <c r="AX7" s="1">
        <v>680895.09000000008</v>
      </c>
      <c r="AY7" s="1">
        <v>636152.39999999991</v>
      </c>
      <c r="AZ7" s="46">
        <v>603646.60000000009</v>
      </c>
      <c r="BA7" s="1">
        <v>560856.41000000015</v>
      </c>
      <c r="BB7" s="1">
        <v>456870.27</v>
      </c>
      <c r="BC7" s="46">
        <v>424715.00000000012</v>
      </c>
      <c r="BD7" s="1">
        <v>318353.08</v>
      </c>
      <c r="BE7" s="1">
        <v>196450.7</v>
      </c>
      <c r="BF7" s="46">
        <v>179344.65</v>
      </c>
      <c r="BG7" s="1">
        <v>160017.23000000001</v>
      </c>
      <c r="BH7" s="1">
        <v>117030.32</v>
      </c>
      <c r="BI7" s="46">
        <v>87664.500000000015</v>
      </c>
      <c r="BJ7" s="1">
        <v>45230.45</v>
      </c>
      <c r="BK7" s="1">
        <v>21043.040000000001</v>
      </c>
      <c r="BL7">
        <v>10483.77</v>
      </c>
    </row>
    <row r="8" spans="1:64" ht="15.5" x14ac:dyDescent="0.35">
      <c r="A8" t="s">
        <v>70</v>
      </c>
      <c r="B8" s="1">
        <v>1399193.82</v>
      </c>
      <c r="C8" s="1">
        <v>1312101.31</v>
      </c>
      <c r="D8" s="46">
        <v>1254974.2</v>
      </c>
      <c r="E8" s="1">
        <v>1237628.8999999999</v>
      </c>
      <c r="F8" s="1">
        <v>1218909.1200000001</v>
      </c>
      <c r="G8" s="46">
        <v>1158305.97</v>
      </c>
      <c r="H8" s="1">
        <v>1130609</v>
      </c>
      <c r="I8" s="1">
        <v>1107600.08</v>
      </c>
      <c r="J8" s="46">
        <v>1093005.21</v>
      </c>
      <c r="K8" s="1">
        <v>1058425.46</v>
      </c>
      <c r="L8" s="1">
        <v>1039380.51</v>
      </c>
      <c r="M8" s="46">
        <v>1025347.19</v>
      </c>
      <c r="N8" s="1">
        <v>1015800.29</v>
      </c>
      <c r="O8" s="1">
        <v>987635.18000000017</v>
      </c>
      <c r="P8" s="46">
        <v>974223.26</v>
      </c>
      <c r="Q8" s="1">
        <v>958260.42999999993</v>
      </c>
      <c r="R8" s="1">
        <v>935641.98</v>
      </c>
      <c r="S8" s="46">
        <v>924231.90999999992</v>
      </c>
      <c r="T8" s="1">
        <v>911420.72</v>
      </c>
      <c r="U8" s="1">
        <v>903256.55</v>
      </c>
      <c r="V8" s="46">
        <v>889932.36</v>
      </c>
      <c r="W8" s="1">
        <v>867721.99</v>
      </c>
      <c r="X8" s="1">
        <v>852507.41999999993</v>
      </c>
      <c r="Y8" s="46">
        <v>832993.63</v>
      </c>
      <c r="Z8" s="1">
        <v>806632.46</v>
      </c>
      <c r="AA8" s="1">
        <v>794438.65</v>
      </c>
      <c r="AB8" s="46">
        <v>762805.61999999988</v>
      </c>
      <c r="AC8" s="1">
        <v>746814.82000000007</v>
      </c>
      <c r="AD8" s="1">
        <v>726644.21000000008</v>
      </c>
      <c r="AE8" s="46">
        <v>685200.27</v>
      </c>
      <c r="AF8" s="1">
        <v>641846</v>
      </c>
      <c r="AG8" s="1">
        <v>622734.36</v>
      </c>
      <c r="AH8" s="46">
        <v>608777.43000000005</v>
      </c>
      <c r="AI8" s="1">
        <v>577171.64999999991</v>
      </c>
      <c r="AJ8" s="1">
        <v>541355.75</v>
      </c>
      <c r="AK8" s="46">
        <v>510100.77</v>
      </c>
      <c r="AL8" s="1">
        <v>487521.10999999993</v>
      </c>
      <c r="AM8" s="1">
        <v>477148.83</v>
      </c>
      <c r="AN8" s="46">
        <v>461051.02</v>
      </c>
      <c r="AO8" s="1">
        <v>433006.42</v>
      </c>
      <c r="AP8" s="1">
        <v>404718.80999999988</v>
      </c>
      <c r="AQ8" s="46">
        <v>383802.46</v>
      </c>
      <c r="AR8" s="1">
        <v>356870.39</v>
      </c>
      <c r="AS8" s="1">
        <v>335189.51</v>
      </c>
      <c r="AT8" s="46">
        <v>316660.28000000003</v>
      </c>
      <c r="AU8" s="1">
        <v>289245.08</v>
      </c>
      <c r="AV8" s="1">
        <v>267962</v>
      </c>
      <c r="AW8" s="46">
        <v>242353.63</v>
      </c>
      <c r="AX8" s="1">
        <v>220958.49</v>
      </c>
      <c r="AY8" s="1">
        <v>207668.93</v>
      </c>
      <c r="AZ8" s="46">
        <v>195176.63</v>
      </c>
      <c r="BA8" s="1">
        <v>183259.4</v>
      </c>
      <c r="BB8" s="1">
        <v>136503.32999999999</v>
      </c>
      <c r="BC8" s="46">
        <v>125377.66</v>
      </c>
      <c r="BD8" s="1">
        <v>91386.3</v>
      </c>
      <c r="BE8" s="1">
        <v>53335.32</v>
      </c>
      <c r="BF8" s="46">
        <v>46394.530000000013</v>
      </c>
      <c r="BG8" s="1">
        <v>40874.350000000013</v>
      </c>
      <c r="BH8" s="1">
        <v>25227.17</v>
      </c>
      <c r="BI8" s="46">
        <v>16981.259999999998</v>
      </c>
      <c r="BJ8" s="1">
        <v>6260</v>
      </c>
      <c r="BK8" s="1">
        <v>2555</v>
      </c>
      <c r="BL8">
        <v>1115</v>
      </c>
    </row>
    <row r="9" spans="1:64" ht="15.5" x14ac:dyDescent="0.35">
      <c r="A9" t="s">
        <v>71</v>
      </c>
      <c r="B9" s="1">
        <v>47943650.400000013</v>
      </c>
      <c r="C9" s="1">
        <v>40485228.780000001</v>
      </c>
      <c r="D9" s="46">
        <v>35835238.289999999</v>
      </c>
      <c r="E9" s="1">
        <v>34590985.210000001</v>
      </c>
      <c r="F9" s="1">
        <v>32985792.670000002</v>
      </c>
      <c r="G9" s="46">
        <v>29256655.93</v>
      </c>
      <c r="H9" s="1">
        <v>27529092.350000001</v>
      </c>
      <c r="I9" s="1">
        <v>26550465.239999998</v>
      </c>
      <c r="J9" s="46">
        <v>25865057.789999999</v>
      </c>
      <c r="K9" s="1">
        <v>24095760.309999999</v>
      </c>
      <c r="L9" s="1">
        <v>23131235.210000001</v>
      </c>
      <c r="M9" s="46">
        <v>22595738.149999999</v>
      </c>
      <c r="N9" s="1">
        <v>22141197.699999999</v>
      </c>
      <c r="O9" s="1">
        <v>21281046.719999999</v>
      </c>
      <c r="P9" s="46">
        <v>20378140.989999998</v>
      </c>
      <c r="Q9" s="1">
        <v>19965092.140000001</v>
      </c>
      <c r="R9" s="1">
        <v>19362033.760000002</v>
      </c>
      <c r="S9" s="46">
        <v>18847277.039999999</v>
      </c>
      <c r="T9" s="1">
        <v>18332482.609999999</v>
      </c>
      <c r="U9" s="1">
        <v>18187441.18</v>
      </c>
      <c r="V9" s="46">
        <v>17618586.23</v>
      </c>
      <c r="W9" s="1">
        <v>16709953.99</v>
      </c>
      <c r="X9" s="1">
        <v>16278808.210000001</v>
      </c>
      <c r="Y9" s="46">
        <v>15757794.560000001</v>
      </c>
      <c r="Z9" s="1">
        <v>14974228.76</v>
      </c>
      <c r="AA9" s="1">
        <v>14690257.92</v>
      </c>
      <c r="AB9" s="46">
        <v>13712698.73</v>
      </c>
      <c r="AC9" s="1">
        <v>13305542.35</v>
      </c>
      <c r="AD9" s="1">
        <v>12804555.77</v>
      </c>
      <c r="AE9" s="46">
        <v>12300114.09</v>
      </c>
      <c r="AF9" s="1">
        <v>10853165.720000001</v>
      </c>
      <c r="AG9" s="1">
        <v>10022444.789999999</v>
      </c>
      <c r="AH9" s="46">
        <v>9820580.3499999978</v>
      </c>
      <c r="AI9" s="1">
        <v>9134427.379999999</v>
      </c>
      <c r="AJ9" s="1">
        <v>8663301.8100000005</v>
      </c>
      <c r="AK9" s="46">
        <v>8221355.4700000007</v>
      </c>
      <c r="AL9" s="1">
        <v>7939579.5</v>
      </c>
      <c r="AM9" s="1">
        <v>7748511.3699999992</v>
      </c>
      <c r="AN9" s="46">
        <v>7619724.9100000001</v>
      </c>
      <c r="AO9" s="1">
        <v>7092117.1000000006</v>
      </c>
      <c r="AP9" s="1">
        <v>6053301.7199999997</v>
      </c>
      <c r="AQ9" s="46">
        <v>5576968.6699999999</v>
      </c>
      <c r="AR9" s="1">
        <v>4671827.2799999993</v>
      </c>
      <c r="AS9" s="1">
        <v>4192461.51</v>
      </c>
      <c r="AT9" s="46">
        <v>3826825.8199999989</v>
      </c>
      <c r="AU9" s="1">
        <v>3297302.22</v>
      </c>
      <c r="AV9" s="1">
        <v>3160938.5</v>
      </c>
      <c r="AW9" s="46">
        <v>2882528.85</v>
      </c>
      <c r="AX9" s="1">
        <v>2539293.34</v>
      </c>
      <c r="AY9" s="1">
        <v>2467156.54</v>
      </c>
      <c r="AZ9" s="46">
        <v>2375091.2200000002</v>
      </c>
      <c r="BA9" s="1">
        <v>2064755.46</v>
      </c>
      <c r="BB9" s="1">
        <v>1780105.82</v>
      </c>
      <c r="BC9" s="46">
        <v>1585520</v>
      </c>
      <c r="BD9" s="1">
        <v>1086776.8899999999</v>
      </c>
      <c r="BE9" s="1">
        <v>612172.28999999992</v>
      </c>
      <c r="BF9" s="46">
        <v>572219.25999999989</v>
      </c>
      <c r="BG9" s="1">
        <v>473879.22</v>
      </c>
      <c r="BH9" s="1">
        <v>328366.26</v>
      </c>
      <c r="BI9" s="46">
        <v>250512.08</v>
      </c>
      <c r="BJ9" s="1">
        <v>166540</v>
      </c>
      <c r="BK9" s="1">
        <v>78827.17</v>
      </c>
      <c r="BL9">
        <v>35022.120000000003</v>
      </c>
    </row>
    <row r="10" spans="1:64" ht="15.5" x14ac:dyDescent="0.35">
      <c r="A10" t="s">
        <v>72</v>
      </c>
      <c r="B10" s="1">
        <v>25735540.989999998</v>
      </c>
      <c r="C10" s="1">
        <v>23606400.960000001</v>
      </c>
      <c r="D10" s="46">
        <v>22000093.649999999</v>
      </c>
      <c r="E10" s="1">
        <v>21803585.190000001</v>
      </c>
      <c r="F10" s="1">
        <v>21163977.199999999</v>
      </c>
      <c r="G10" s="46">
        <v>18858427.550000001</v>
      </c>
      <c r="H10" s="1">
        <v>18125852.949999999</v>
      </c>
      <c r="I10" s="1">
        <v>17476221.280000001</v>
      </c>
      <c r="J10" s="46">
        <v>16985727.309999999</v>
      </c>
      <c r="K10" s="1">
        <v>16049170.449999999</v>
      </c>
      <c r="L10" s="1">
        <v>15334028.199999999</v>
      </c>
      <c r="M10" s="46">
        <v>15193981.029999999</v>
      </c>
      <c r="N10" s="1">
        <v>14921197.369999999</v>
      </c>
      <c r="O10" s="1">
        <v>14375300.08</v>
      </c>
      <c r="P10" s="46">
        <v>13837437.630000001</v>
      </c>
      <c r="Q10" s="1">
        <v>13582798.41</v>
      </c>
      <c r="R10" s="1">
        <v>13247260.77</v>
      </c>
      <c r="S10" s="46">
        <v>12903937.060000001</v>
      </c>
      <c r="T10" s="1">
        <v>12671558.08</v>
      </c>
      <c r="U10" s="1">
        <v>12570997.58</v>
      </c>
      <c r="V10" s="46">
        <v>12122602.869999999</v>
      </c>
      <c r="W10" s="1">
        <v>11552048.880000001</v>
      </c>
      <c r="X10" s="1">
        <v>11255932.16</v>
      </c>
      <c r="Y10" s="46">
        <v>10860594.109999999</v>
      </c>
      <c r="Z10" s="1">
        <v>10371294.85</v>
      </c>
      <c r="AA10" s="1">
        <v>10173596.189999999</v>
      </c>
      <c r="AB10" s="46">
        <v>9650211.7199999988</v>
      </c>
      <c r="AC10" s="1">
        <v>9449495.4000000004</v>
      </c>
      <c r="AD10" s="1">
        <v>9082915.3000000007</v>
      </c>
      <c r="AE10" s="46">
        <v>8723693.7599999998</v>
      </c>
      <c r="AF10" s="1">
        <v>8451256.1699999981</v>
      </c>
      <c r="AG10" s="1">
        <v>7804249.4399999985</v>
      </c>
      <c r="AH10" s="46">
        <v>7640191.3599999994</v>
      </c>
      <c r="AI10" s="1">
        <v>7173240.6000000006</v>
      </c>
      <c r="AJ10" s="1">
        <v>6840379.2000000011</v>
      </c>
      <c r="AK10" s="46">
        <v>6482773.3499999996</v>
      </c>
      <c r="AL10" s="1">
        <v>6207513.7400000002</v>
      </c>
      <c r="AM10" s="1">
        <v>6041273.5800000001</v>
      </c>
      <c r="AN10" s="46">
        <v>5935267.0600000015</v>
      </c>
      <c r="AO10" s="1">
        <v>5485055.8099999996</v>
      </c>
      <c r="AP10" s="1">
        <v>4957042.55</v>
      </c>
      <c r="AQ10" s="46">
        <v>4576178.49</v>
      </c>
      <c r="AR10" s="1">
        <v>4093187.62</v>
      </c>
      <c r="AS10" s="1">
        <v>3686525.69</v>
      </c>
      <c r="AT10" s="46">
        <v>3402830.21</v>
      </c>
      <c r="AU10" s="1">
        <v>2969126.649999999</v>
      </c>
      <c r="AV10" s="1">
        <v>2837392.6</v>
      </c>
      <c r="AW10" s="46">
        <v>2609733.46</v>
      </c>
      <c r="AX10" s="1">
        <v>2308698.04</v>
      </c>
      <c r="AY10" s="1">
        <v>2236636.2400000002</v>
      </c>
      <c r="AZ10" s="46">
        <v>2147725.83</v>
      </c>
      <c r="BA10" s="1">
        <v>1845528.98</v>
      </c>
      <c r="BB10" s="1">
        <v>1596100.27</v>
      </c>
      <c r="BC10" s="46">
        <v>1436018.31</v>
      </c>
      <c r="BD10" s="1">
        <v>987599.60999999987</v>
      </c>
      <c r="BE10" s="1">
        <v>570377.94999999984</v>
      </c>
      <c r="BF10" s="46">
        <v>530424.91999999993</v>
      </c>
      <c r="BG10" s="1">
        <v>442968.35</v>
      </c>
      <c r="BH10" s="1">
        <v>297455.39</v>
      </c>
      <c r="BI10" s="46">
        <v>221169.18</v>
      </c>
      <c r="BJ10" s="1">
        <v>139291.76</v>
      </c>
      <c r="BK10" s="1">
        <v>53761.100000000013</v>
      </c>
      <c r="BL10">
        <v>10853.45</v>
      </c>
    </row>
    <row r="11" spans="1:64" ht="15.5" x14ac:dyDescent="0.35">
      <c r="A11" t="s">
        <v>73</v>
      </c>
      <c r="B11" s="1">
        <v>717563.37999999989</v>
      </c>
      <c r="C11" s="1">
        <v>667958.1399999999</v>
      </c>
      <c r="D11" s="46">
        <v>644918.90999999992</v>
      </c>
      <c r="E11" s="1">
        <v>636473.90999999992</v>
      </c>
      <c r="F11" s="1">
        <v>627429.90999999992</v>
      </c>
      <c r="G11" s="46">
        <v>593914.85999999987</v>
      </c>
      <c r="H11" s="1">
        <v>577662.48</v>
      </c>
      <c r="I11" s="1">
        <v>570756.4</v>
      </c>
      <c r="J11" s="46">
        <v>567916.4</v>
      </c>
      <c r="K11" s="1">
        <v>553391.38</v>
      </c>
      <c r="L11" s="1">
        <v>545121.38</v>
      </c>
      <c r="M11" s="46">
        <v>538766.38</v>
      </c>
      <c r="N11" s="1">
        <v>533466.38</v>
      </c>
      <c r="O11" s="1">
        <v>523014.38</v>
      </c>
      <c r="P11" s="46">
        <v>512031.08</v>
      </c>
      <c r="Q11" s="1">
        <v>505545.17</v>
      </c>
      <c r="R11" s="1">
        <v>490135.17</v>
      </c>
      <c r="S11" s="46">
        <v>486685.17</v>
      </c>
      <c r="T11" s="1">
        <v>477148.27</v>
      </c>
      <c r="U11" s="1">
        <v>474030.91</v>
      </c>
      <c r="V11" s="46">
        <v>465885.91</v>
      </c>
      <c r="W11" s="1">
        <v>452389.94</v>
      </c>
      <c r="X11" s="1">
        <v>440959.94</v>
      </c>
      <c r="Y11" s="46">
        <v>431796.94</v>
      </c>
      <c r="Z11" s="1">
        <v>410407.94</v>
      </c>
      <c r="AA11" s="1">
        <v>405957.94</v>
      </c>
      <c r="AB11" s="46">
        <v>393615.63</v>
      </c>
      <c r="AC11" s="1">
        <v>383565.63</v>
      </c>
      <c r="AD11" s="1">
        <v>374005.63</v>
      </c>
      <c r="AE11" s="46">
        <v>359195.63</v>
      </c>
      <c r="AF11" s="1">
        <v>335275.63</v>
      </c>
      <c r="AG11" s="1">
        <v>323075.63</v>
      </c>
      <c r="AH11" s="46">
        <v>317381.63</v>
      </c>
      <c r="AI11" s="1">
        <v>302379.63</v>
      </c>
      <c r="AJ11" s="1">
        <v>289612.63</v>
      </c>
      <c r="AK11" s="46">
        <v>276092.63</v>
      </c>
      <c r="AL11" s="1">
        <v>268222.63</v>
      </c>
      <c r="AM11" s="1">
        <v>264402.63</v>
      </c>
      <c r="AN11" s="46">
        <v>259456.58</v>
      </c>
      <c r="AO11" s="1">
        <v>247318.58</v>
      </c>
      <c r="AP11" s="1">
        <v>228058.58</v>
      </c>
      <c r="AQ11" s="46">
        <v>212858.56</v>
      </c>
      <c r="AR11" s="1">
        <v>195203.68</v>
      </c>
      <c r="AS11" s="1">
        <v>180210.09</v>
      </c>
      <c r="AT11" s="46">
        <v>169893.45</v>
      </c>
      <c r="AU11" s="1">
        <v>155768.45000000001</v>
      </c>
      <c r="AV11" s="1">
        <v>148496.45000000001</v>
      </c>
      <c r="AW11" s="46">
        <v>139540.87</v>
      </c>
      <c r="AX11" s="1">
        <v>126513.87</v>
      </c>
      <c r="AY11" s="1">
        <v>104368.87</v>
      </c>
      <c r="AZ11" s="46">
        <v>99449.87</v>
      </c>
      <c r="BA11" s="1">
        <v>90213.87</v>
      </c>
      <c r="BB11" s="1">
        <v>77341.87</v>
      </c>
      <c r="BC11" s="46">
        <v>73544.38</v>
      </c>
      <c r="BD11" s="1">
        <v>55854.04</v>
      </c>
      <c r="BE11" s="1">
        <v>37004.04</v>
      </c>
      <c r="BF11" s="46">
        <v>34945</v>
      </c>
      <c r="BG11" s="1">
        <v>32020</v>
      </c>
      <c r="BH11" s="1">
        <v>23895</v>
      </c>
      <c r="BI11" s="46">
        <v>17400</v>
      </c>
      <c r="BJ11" s="1">
        <v>10025</v>
      </c>
      <c r="BK11" s="1">
        <v>4025</v>
      </c>
      <c r="BL11">
        <v>1725</v>
      </c>
    </row>
    <row r="12" spans="1:64" ht="15.5" x14ac:dyDescent="0.35">
      <c r="A12" t="s">
        <v>74</v>
      </c>
      <c r="B12" s="1">
        <v>638437193.30000007</v>
      </c>
      <c r="C12" s="1">
        <v>601066232.62000012</v>
      </c>
      <c r="D12" s="46">
        <v>586266645.5</v>
      </c>
      <c r="E12" s="1">
        <v>577899352.41000009</v>
      </c>
      <c r="F12" s="1">
        <v>570895826.72000003</v>
      </c>
      <c r="G12" s="46">
        <v>548191859.06000006</v>
      </c>
      <c r="H12" s="1">
        <v>538281516.55999994</v>
      </c>
      <c r="I12" s="1">
        <v>530209766.30000007</v>
      </c>
      <c r="J12" s="46">
        <v>525099840.56</v>
      </c>
      <c r="K12" s="1">
        <v>509221651.48000002</v>
      </c>
      <c r="L12" s="1">
        <v>501397476.38</v>
      </c>
      <c r="M12" s="46">
        <v>494851835.45999998</v>
      </c>
      <c r="N12" s="1">
        <v>489851310.14999998</v>
      </c>
      <c r="O12" s="1">
        <v>477431783.95999998</v>
      </c>
      <c r="P12" s="46">
        <v>469579349.83999997</v>
      </c>
      <c r="Q12" s="1">
        <v>462577208.55000001</v>
      </c>
      <c r="R12" s="1">
        <v>452689628.86000001</v>
      </c>
      <c r="S12" s="46">
        <v>447625783.92999989</v>
      </c>
      <c r="T12" s="1">
        <v>441390530.31999999</v>
      </c>
      <c r="U12" s="1">
        <v>437651755.94999999</v>
      </c>
      <c r="V12" s="46">
        <v>431060369.27999997</v>
      </c>
      <c r="W12" s="1">
        <v>420706299.75999999</v>
      </c>
      <c r="X12" s="1">
        <v>413130859.08999997</v>
      </c>
      <c r="Y12" s="46">
        <v>404335692.27999997</v>
      </c>
      <c r="Z12" s="1">
        <v>393632561.91000003</v>
      </c>
      <c r="AA12" s="1">
        <v>388146049.69999999</v>
      </c>
      <c r="AB12" s="46">
        <v>373087735.76999998</v>
      </c>
      <c r="AC12" s="1">
        <v>365387578.98000002</v>
      </c>
      <c r="AD12" s="1">
        <v>356701428.66000003</v>
      </c>
      <c r="AE12" s="46">
        <v>339994730.20999998</v>
      </c>
      <c r="AF12" s="1">
        <v>319407055.27999997</v>
      </c>
      <c r="AG12" s="1">
        <v>307405105.74000001</v>
      </c>
      <c r="AH12" s="46">
        <v>301060433.87</v>
      </c>
      <c r="AI12" s="1">
        <v>286694809.61000001</v>
      </c>
      <c r="AJ12" s="1">
        <v>271279281.55000001</v>
      </c>
      <c r="AK12" s="46">
        <v>257752246.80000001</v>
      </c>
      <c r="AL12" s="1">
        <v>248010643.84</v>
      </c>
      <c r="AM12" s="1">
        <v>243795777.41</v>
      </c>
      <c r="AN12" s="46">
        <v>237207612.50999999</v>
      </c>
      <c r="AO12" s="1">
        <v>224295507.56</v>
      </c>
      <c r="AP12" s="1">
        <v>210163933.84</v>
      </c>
      <c r="AQ12" s="46">
        <v>199228314.06</v>
      </c>
      <c r="AR12" s="1">
        <v>183456787.11000001</v>
      </c>
      <c r="AS12" s="1">
        <v>171965926.81999999</v>
      </c>
      <c r="AT12" s="46">
        <v>162778339.25999999</v>
      </c>
      <c r="AU12" s="1">
        <v>148040031.59999999</v>
      </c>
      <c r="AV12" s="1">
        <v>140025216.28</v>
      </c>
      <c r="AW12" s="46">
        <v>127750660.06</v>
      </c>
      <c r="AX12" s="1">
        <v>116454842.7</v>
      </c>
      <c r="AY12" s="1">
        <v>108985334.43000001</v>
      </c>
      <c r="AZ12" s="46">
        <v>103378107.39</v>
      </c>
      <c r="BA12" s="1">
        <v>96044912.629999995</v>
      </c>
      <c r="BB12" s="1">
        <v>77623904.400000006</v>
      </c>
      <c r="BC12" s="46">
        <v>71787981</v>
      </c>
      <c r="BD12" s="1">
        <v>53438433.07</v>
      </c>
      <c r="BE12" s="1">
        <v>32510680.350000001</v>
      </c>
      <c r="BF12" s="46">
        <v>29512065.550000001</v>
      </c>
      <c r="BG12" s="1">
        <v>26334618.719999999</v>
      </c>
      <c r="BH12" s="1">
        <v>19215409.760000002</v>
      </c>
      <c r="BI12" s="46">
        <v>14571382.630000001</v>
      </c>
      <c r="BJ12" s="1">
        <v>7614517.7300000004</v>
      </c>
      <c r="BK12" s="1">
        <v>3475512.02</v>
      </c>
      <c r="BL12">
        <v>1724233.1</v>
      </c>
    </row>
    <row r="13" spans="1:64" ht="15.5" x14ac:dyDescent="0.35">
      <c r="A13" t="s">
        <v>75</v>
      </c>
      <c r="B13" s="1">
        <v>447740429.24000001</v>
      </c>
      <c r="C13" s="1">
        <v>432851888.88999999</v>
      </c>
      <c r="D13" s="46">
        <v>419071727.57999998</v>
      </c>
      <c r="E13" s="1">
        <v>407837221.30000001</v>
      </c>
      <c r="F13" s="1">
        <v>397378904.33999997</v>
      </c>
      <c r="G13" s="46">
        <v>380268160.05999988</v>
      </c>
      <c r="H13" s="1">
        <v>369412307.66000003</v>
      </c>
      <c r="I13" s="1">
        <v>359284676.31</v>
      </c>
      <c r="J13" s="46">
        <v>351154870.38</v>
      </c>
      <c r="K13" s="1">
        <v>338349765.24999988</v>
      </c>
      <c r="L13" s="1">
        <v>329073735.60000002</v>
      </c>
      <c r="M13" s="46">
        <v>319755237.91000003</v>
      </c>
      <c r="N13" s="1">
        <v>311228591.06999999</v>
      </c>
      <c r="O13" s="1">
        <v>301679243.72000003</v>
      </c>
      <c r="P13" s="46">
        <v>292196447.98000002</v>
      </c>
      <c r="Q13" s="1">
        <v>283687858.63</v>
      </c>
      <c r="R13" s="1">
        <v>274421834.33999997</v>
      </c>
      <c r="S13" s="46">
        <v>266948174.94999999</v>
      </c>
      <c r="T13" s="1">
        <v>258923641.53999999</v>
      </c>
      <c r="U13" s="1">
        <v>251823775.83000001</v>
      </c>
      <c r="V13" s="46">
        <v>243315682.31999999</v>
      </c>
      <c r="W13" s="1">
        <v>233620050.77000001</v>
      </c>
      <c r="X13" s="1">
        <v>225746838.31</v>
      </c>
      <c r="Y13" s="46">
        <v>217335138.86000001</v>
      </c>
      <c r="Z13" s="1">
        <v>209328320.5</v>
      </c>
      <c r="AA13" s="1">
        <v>202461007.52000001</v>
      </c>
      <c r="AB13" s="46">
        <v>191724151.52000001</v>
      </c>
      <c r="AC13" s="1">
        <v>184383896.90000001</v>
      </c>
      <c r="AD13" s="1">
        <v>176784992.05000001</v>
      </c>
      <c r="AE13" s="46">
        <v>168618134.75999999</v>
      </c>
      <c r="AF13" s="1">
        <v>157122997.88999999</v>
      </c>
      <c r="AG13" s="1">
        <v>148457389.28999999</v>
      </c>
      <c r="AH13" s="46">
        <v>142634792.40000001</v>
      </c>
      <c r="AI13" s="1">
        <v>134213830.78</v>
      </c>
      <c r="AJ13" s="1">
        <v>126341483.8</v>
      </c>
      <c r="AK13" s="46">
        <v>117987747.45</v>
      </c>
      <c r="AL13" s="1">
        <v>111592207.93000001</v>
      </c>
      <c r="AM13" s="1">
        <v>107448967.86</v>
      </c>
      <c r="AN13" s="46">
        <v>102169338.61</v>
      </c>
      <c r="AO13" s="1">
        <v>94837230.840000004</v>
      </c>
      <c r="AP13" s="1">
        <v>87417786.899999976</v>
      </c>
      <c r="AQ13" s="46">
        <v>80779157.620000005</v>
      </c>
      <c r="AR13" s="1">
        <v>72167914.519999981</v>
      </c>
      <c r="AS13" s="1">
        <v>65975974.180000022</v>
      </c>
      <c r="AT13" s="46">
        <v>61181002.219999969</v>
      </c>
      <c r="AU13" s="1">
        <v>54505765.440000013</v>
      </c>
      <c r="AV13" s="1">
        <v>50768872.930000007</v>
      </c>
      <c r="AW13" s="46">
        <v>45184231.749999993</v>
      </c>
      <c r="AX13" s="1">
        <v>39983216.970000014</v>
      </c>
      <c r="AY13" s="1">
        <v>36449201.49000001</v>
      </c>
      <c r="AZ13" s="46">
        <v>33514112.480000012</v>
      </c>
      <c r="BA13" s="1">
        <v>29976810.100000009</v>
      </c>
      <c r="BB13" s="1">
        <v>26121409.679999989</v>
      </c>
      <c r="BC13" s="46">
        <v>23964332.34</v>
      </c>
      <c r="BD13" s="1">
        <v>18417616.20000001</v>
      </c>
      <c r="BE13" s="1">
        <v>12480261.649999989</v>
      </c>
      <c r="BF13" s="46">
        <v>11310841.76</v>
      </c>
      <c r="BG13" s="1">
        <v>10006935.33</v>
      </c>
      <c r="BH13" s="1">
        <v>7668570.5499999989</v>
      </c>
      <c r="BI13" s="46">
        <v>5855533.2399999974</v>
      </c>
      <c r="BJ13" s="1">
        <v>3142653.8599999989</v>
      </c>
      <c r="BK13" s="1">
        <v>1544783.15</v>
      </c>
      <c r="BL13">
        <v>784811.4</v>
      </c>
    </row>
    <row r="14" spans="1:64" ht="15.5" x14ac:dyDescent="0.35">
      <c r="A14" t="s">
        <v>76</v>
      </c>
      <c r="B14" s="1">
        <v>0</v>
      </c>
      <c r="C14" s="1">
        <v>0</v>
      </c>
      <c r="D14" s="46">
        <v>0</v>
      </c>
      <c r="E14" s="1">
        <v>0</v>
      </c>
      <c r="F14" s="1">
        <v>0</v>
      </c>
      <c r="G14" s="46">
        <v>0</v>
      </c>
      <c r="H14" s="1">
        <v>0</v>
      </c>
      <c r="I14" s="1">
        <v>0</v>
      </c>
      <c r="J14" s="46">
        <v>0</v>
      </c>
      <c r="K14" s="1">
        <v>0</v>
      </c>
      <c r="L14" s="1">
        <v>0</v>
      </c>
      <c r="M14" s="46">
        <v>0</v>
      </c>
      <c r="N14" s="1">
        <v>0</v>
      </c>
      <c r="O14" s="1">
        <v>0</v>
      </c>
      <c r="P14" s="46">
        <v>0</v>
      </c>
      <c r="Q14" s="1">
        <v>0</v>
      </c>
      <c r="R14" s="1">
        <v>0</v>
      </c>
      <c r="S14" s="46">
        <v>0</v>
      </c>
      <c r="T14" s="1">
        <v>0</v>
      </c>
      <c r="U14" s="1">
        <v>0</v>
      </c>
      <c r="V14" s="46">
        <v>0</v>
      </c>
      <c r="W14" s="1">
        <v>0</v>
      </c>
      <c r="X14" s="1">
        <v>0</v>
      </c>
      <c r="Y14" s="46">
        <v>0</v>
      </c>
      <c r="Z14" s="1">
        <v>0</v>
      </c>
      <c r="AA14" s="1">
        <v>0</v>
      </c>
      <c r="AB14" s="46">
        <v>0</v>
      </c>
      <c r="AC14" s="1">
        <v>0</v>
      </c>
      <c r="AD14" s="1">
        <v>0</v>
      </c>
      <c r="AE14" s="46">
        <v>0</v>
      </c>
      <c r="AF14" s="1">
        <v>0</v>
      </c>
      <c r="AG14" s="1">
        <v>0</v>
      </c>
      <c r="AH14" s="46">
        <v>0</v>
      </c>
      <c r="AI14" s="1">
        <v>0</v>
      </c>
      <c r="AJ14" s="1">
        <v>0</v>
      </c>
      <c r="AK14" s="46">
        <v>0</v>
      </c>
      <c r="AL14" s="1">
        <v>0</v>
      </c>
      <c r="AM14" s="1">
        <v>0</v>
      </c>
      <c r="AN14" s="46">
        <v>0</v>
      </c>
      <c r="AO14" s="1">
        <v>0</v>
      </c>
      <c r="AP14" s="1">
        <v>0</v>
      </c>
      <c r="AQ14" s="46">
        <v>0</v>
      </c>
      <c r="AR14" s="1">
        <v>0</v>
      </c>
      <c r="AS14" s="1">
        <v>0</v>
      </c>
      <c r="AT14" s="46">
        <v>0</v>
      </c>
      <c r="AU14" s="1">
        <v>0</v>
      </c>
      <c r="AV14" s="1">
        <v>0</v>
      </c>
      <c r="AW14" s="46">
        <v>0</v>
      </c>
      <c r="AX14" s="1">
        <v>0</v>
      </c>
      <c r="AY14" s="1">
        <v>0</v>
      </c>
      <c r="AZ14" s="46">
        <v>0</v>
      </c>
      <c r="BA14" s="1">
        <v>0</v>
      </c>
      <c r="BB14" s="1">
        <v>0</v>
      </c>
      <c r="BC14" s="46">
        <v>0</v>
      </c>
      <c r="BD14" s="1">
        <v>0</v>
      </c>
      <c r="BE14" s="1">
        <v>0</v>
      </c>
      <c r="BF14" s="46">
        <v>0</v>
      </c>
      <c r="BG14" s="1">
        <v>0</v>
      </c>
      <c r="BH14" s="1">
        <v>0</v>
      </c>
      <c r="BI14" s="46">
        <v>0</v>
      </c>
      <c r="BJ14" s="1">
        <v>0</v>
      </c>
      <c r="BK14" s="1">
        <v>0</v>
      </c>
      <c r="BL14">
        <v>0</v>
      </c>
    </row>
    <row r="15" spans="1:64" ht="15.5" x14ac:dyDescent="0.35">
      <c r="A15" t="s">
        <v>77</v>
      </c>
      <c r="B15" s="1">
        <v>0</v>
      </c>
      <c r="C15" s="1">
        <v>99</v>
      </c>
      <c r="D15" s="46">
        <v>50</v>
      </c>
      <c r="E15" s="1">
        <v>18</v>
      </c>
      <c r="F15" s="1">
        <v>19</v>
      </c>
      <c r="G15" s="46">
        <v>52</v>
      </c>
      <c r="H15" s="1">
        <v>21</v>
      </c>
      <c r="I15" s="1">
        <v>17</v>
      </c>
      <c r="J15" s="46">
        <v>8</v>
      </c>
      <c r="K15" s="1">
        <v>27</v>
      </c>
      <c r="L15" s="1">
        <v>14</v>
      </c>
      <c r="M15" s="46">
        <v>11</v>
      </c>
      <c r="N15" s="1">
        <v>9</v>
      </c>
      <c r="O15" s="1">
        <v>15</v>
      </c>
      <c r="P15" s="46">
        <v>21</v>
      </c>
      <c r="Q15" s="1">
        <v>12</v>
      </c>
      <c r="R15" s="1">
        <v>14</v>
      </c>
      <c r="S15" s="46">
        <v>8</v>
      </c>
      <c r="T15" s="1">
        <v>13</v>
      </c>
      <c r="U15" s="1">
        <v>4</v>
      </c>
      <c r="V15" s="46">
        <v>15</v>
      </c>
      <c r="W15" s="1">
        <v>23</v>
      </c>
      <c r="X15" s="1">
        <v>11</v>
      </c>
      <c r="Y15" s="46">
        <v>12</v>
      </c>
      <c r="Z15" s="1">
        <v>13</v>
      </c>
      <c r="AA15" s="1">
        <v>9</v>
      </c>
      <c r="AB15" s="46">
        <v>23</v>
      </c>
      <c r="AC15" s="1">
        <v>15</v>
      </c>
      <c r="AD15" s="1">
        <v>16</v>
      </c>
      <c r="AE15" s="46">
        <v>14</v>
      </c>
      <c r="AF15" s="1">
        <v>38</v>
      </c>
      <c r="AG15" s="1">
        <v>20</v>
      </c>
      <c r="AH15" s="46">
        <v>8</v>
      </c>
      <c r="AI15" s="1">
        <v>24</v>
      </c>
      <c r="AJ15" s="1">
        <v>21</v>
      </c>
      <c r="AK15" s="46">
        <v>20</v>
      </c>
      <c r="AL15" s="1">
        <v>14</v>
      </c>
      <c r="AM15" s="1">
        <v>5</v>
      </c>
      <c r="AN15" s="46">
        <v>9</v>
      </c>
      <c r="AO15" s="1">
        <v>18</v>
      </c>
      <c r="AP15" s="1">
        <v>17</v>
      </c>
      <c r="AQ15" s="46">
        <v>25</v>
      </c>
      <c r="AR15" s="1">
        <v>18</v>
      </c>
      <c r="AS15" s="1">
        <v>17</v>
      </c>
      <c r="AT15" s="46">
        <v>13</v>
      </c>
      <c r="AU15" s="1">
        <v>22</v>
      </c>
      <c r="AV15" s="1">
        <v>5</v>
      </c>
      <c r="AW15" s="46">
        <v>14</v>
      </c>
      <c r="AX15" s="1">
        <v>13</v>
      </c>
      <c r="AY15" s="1">
        <v>7</v>
      </c>
      <c r="AZ15" s="46">
        <v>6</v>
      </c>
      <c r="BA15" s="1">
        <v>12</v>
      </c>
      <c r="BB15" s="1">
        <v>11</v>
      </c>
      <c r="BC15" s="46">
        <v>6</v>
      </c>
      <c r="BD15" s="1">
        <v>15</v>
      </c>
      <c r="BE15" s="1">
        <v>20</v>
      </c>
      <c r="BF15" s="46">
        <v>2</v>
      </c>
      <c r="BG15" s="1">
        <v>6</v>
      </c>
      <c r="BH15" s="1">
        <v>14</v>
      </c>
      <c r="BI15" s="46">
        <v>9</v>
      </c>
      <c r="BJ15" s="1">
        <v>13</v>
      </c>
      <c r="BK15" s="1">
        <v>10</v>
      </c>
      <c r="BL15">
        <v>4</v>
      </c>
    </row>
    <row r="16" spans="1:64" ht="15.5" x14ac:dyDescent="0.35">
      <c r="A16" t="s">
        <v>78</v>
      </c>
      <c r="B16" s="1">
        <v>0</v>
      </c>
      <c r="C16" s="1">
        <v>8</v>
      </c>
      <c r="D16" s="46">
        <v>1</v>
      </c>
      <c r="E16" s="1">
        <v>2</v>
      </c>
      <c r="F16" s="1">
        <v>0</v>
      </c>
      <c r="G16" s="46">
        <v>6</v>
      </c>
      <c r="H16" s="1">
        <v>3</v>
      </c>
      <c r="I16" s="1">
        <v>2</v>
      </c>
      <c r="J16" s="46">
        <v>1</v>
      </c>
      <c r="K16" s="1">
        <v>10</v>
      </c>
      <c r="L16" s="1">
        <v>5</v>
      </c>
      <c r="M16" s="46">
        <v>4</v>
      </c>
      <c r="N16" s="1">
        <v>2</v>
      </c>
      <c r="O16" s="1">
        <v>10</v>
      </c>
      <c r="P16" s="46">
        <v>3</v>
      </c>
      <c r="Q16" s="1">
        <v>5</v>
      </c>
      <c r="R16" s="1">
        <v>8</v>
      </c>
      <c r="S16" s="46">
        <v>1</v>
      </c>
      <c r="T16" s="1">
        <v>1</v>
      </c>
      <c r="U16" s="1">
        <v>4</v>
      </c>
      <c r="V16" s="46">
        <v>3</v>
      </c>
      <c r="W16" s="1">
        <v>3</v>
      </c>
      <c r="X16" s="1">
        <v>3</v>
      </c>
      <c r="Y16" s="46">
        <v>5</v>
      </c>
      <c r="Z16" s="1">
        <v>15</v>
      </c>
      <c r="AA16" s="1">
        <v>2</v>
      </c>
      <c r="AB16" s="46">
        <v>8</v>
      </c>
      <c r="AC16" s="1">
        <v>4</v>
      </c>
      <c r="AD16" s="1">
        <v>5</v>
      </c>
      <c r="AE16" s="46">
        <v>6</v>
      </c>
      <c r="AF16" s="1">
        <v>4</v>
      </c>
      <c r="AG16" s="1">
        <v>3</v>
      </c>
      <c r="AH16" s="46">
        <v>4</v>
      </c>
      <c r="AI16" s="1">
        <v>6</v>
      </c>
      <c r="AJ16" s="1">
        <v>10</v>
      </c>
      <c r="AK16" s="46">
        <v>6</v>
      </c>
      <c r="AL16" s="1">
        <v>3</v>
      </c>
      <c r="AM16" s="1">
        <v>4</v>
      </c>
      <c r="AN16" s="46">
        <v>4</v>
      </c>
      <c r="AO16" s="1">
        <v>4</v>
      </c>
      <c r="AP16" s="1">
        <v>4</v>
      </c>
      <c r="AQ16" s="46">
        <v>3</v>
      </c>
      <c r="AR16" s="1">
        <v>3</v>
      </c>
      <c r="AS16" s="1">
        <v>3</v>
      </c>
      <c r="AT16" s="46">
        <v>5</v>
      </c>
      <c r="AU16" s="1">
        <v>7</v>
      </c>
      <c r="AV16" s="1">
        <v>7</v>
      </c>
      <c r="AW16" s="46">
        <v>7</v>
      </c>
      <c r="AX16" s="1">
        <v>3</v>
      </c>
      <c r="AY16" s="1">
        <v>5</v>
      </c>
      <c r="AZ16" s="46">
        <v>5</v>
      </c>
      <c r="BA16" s="1">
        <v>2</v>
      </c>
      <c r="BB16" s="1">
        <v>8</v>
      </c>
      <c r="BC16" s="46">
        <v>3</v>
      </c>
      <c r="BD16" s="1">
        <v>9</v>
      </c>
      <c r="BE16" s="1">
        <v>8</v>
      </c>
      <c r="BF16" s="46">
        <v>4</v>
      </c>
      <c r="BG16" s="1">
        <v>1</v>
      </c>
      <c r="BH16" s="1">
        <v>3</v>
      </c>
      <c r="BI16" s="46">
        <v>1</v>
      </c>
      <c r="BJ16" s="1">
        <v>1</v>
      </c>
      <c r="BK16" s="1">
        <v>0</v>
      </c>
      <c r="BL1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16"/>
  <sheetViews>
    <sheetView workbookViewId="0">
      <selection sqref="A1:XFD1048576"/>
    </sheetView>
  </sheetViews>
  <sheetFormatPr defaultRowHeight="14.5" x14ac:dyDescent="0.35"/>
  <cols>
    <col min="1" max="1" width="13" bestFit="1" customWidth="1"/>
    <col min="2" max="3" width="13" hidden="1" bestFit="1" customWidth="1"/>
    <col min="4" max="4" width="13" bestFit="1" customWidth="1"/>
    <col min="5" max="6" width="13" hidden="1" bestFit="1" customWidth="1"/>
    <col min="7" max="7" width="13" bestFit="1" customWidth="1"/>
    <col min="8" max="9" width="13" hidden="1" bestFit="1" customWidth="1"/>
    <col min="10" max="10" width="13" bestFit="1" customWidth="1"/>
    <col min="11" max="12" width="13" hidden="1" bestFit="1" customWidth="1"/>
    <col min="13" max="13" width="13" bestFit="1" customWidth="1"/>
    <col min="14" max="15" width="13" hidden="1" bestFit="1" customWidth="1"/>
    <col min="16" max="16" width="13" bestFit="1" customWidth="1"/>
    <col min="17" max="18" width="13" hidden="1" bestFit="1" customWidth="1"/>
    <col min="19" max="19" width="13" bestFit="1" customWidth="1"/>
    <col min="20" max="21" width="13" hidden="1" bestFit="1" customWidth="1"/>
    <col min="22" max="22" width="13" bestFit="1" customWidth="1"/>
    <col min="23" max="24" width="13" hidden="1" bestFit="1" customWidth="1"/>
    <col min="25" max="25" width="13" bestFit="1" customWidth="1"/>
    <col min="26" max="27" width="13" hidden="1" bestFit="1" customWidth="1"/>
    <col min="28" max="28" width="13" bestFit="1" customWidth="1"/>
    <col min="29" max="30" width="13" hidden="1" bestFit="1" customWidth="1"/>
    <col min="31" max="31" width="13" bestFit="1" customWidth="1"/>
    <col min="32" max="33" width="13" hidden="1" bestFit="1" customWidth="1"/>
    <col min="34" max="34" width="13" bestFit="1" customWidth="1"/>
    <col min="35" max="36" width="13" hidden="1" bestFit="1" customWidth="1"/>
    <col min="37" max="37" width="13" bestFit="1" customWidth="1"/>
    <col min="38" max="39" width="13" hidden="1" bestFit="1" customWidth="1"/>
    <col min="40" max="40" width="13" bestFit="1" customWidth="1"/>
    <col min="41" max="42" width="13" hidden="1" bestFit="1" customWidth="1"/>
    <col min="43" max="43" width="13" bestFit="1" customWidth="1"/>
    <col min="44" max="45" width="13" hidden="1" bestFit="1" customWidth="1"/>
    <col min="46" max="46" width="13" bestFit="1" customWidth="1"/>
    <col min="47" max="48" width="13" hidden="1" bestFit="1" customWidth="1"/>
    <col min="49" max="49" width="13" bestFit="1" customWidth="1"/>
    <col min="50" max="51" width="13" hidden="1" bestFit="1" customWidth="1"/>
    <col min="52" max="52" width="13" bestFit="1" customWidth="1"/>
    <col min="53" max="54" width="13" hidden="1" bestFit="1" customWidth="1"/>
    <col min="55" max="55" width="13" bestFit="1" customWidth="1"/>
    <col min="56" max="57" width="13" hidden="1" bestFit="1" customWidth="1"/>
    <col min="58" max="58" width="13" bestFit="1" customWidth="1"/>
    <col min="59" max="60" width="13" hidden="1" bestFit="1" customWidth="1"/>
    <col min="61" max="61" width="13" bestFit="1" customWidth="1"/>
    <col min="62" max="62" width="13" hidden="1" bestFit="1" customWidth="1"/>
  </cols>
  <sheetData>
    <row r="1" spans="1:64" x14ac:dyDescent="0.35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t="s">
        <v>5</v>
      </c>
      <c r="G1" s="16" t="s">
        <v>6</v>
      </c>
      <c r="H1" t="s">
        <v>7</v>
      </c>
      <c r="I1" t="s">
        <v>8</v>
      </c>
      <c r="J1" s="16" t="s">
        <v>9</v>
      </c>
      <c r="K1" t="s">
        <v>10</v>
      </c>
      <c r="L1" t="s">
        <v>11</v>
      </c>
      <c r="M1" s="16" t="s">
        <v>12</v>
      </c>
      <c r="N1" t="s">
        <v>13</v>
      </c>
      <c r="O1" t="s">
        <v>14</v>
      </c>
      <c r="P1" s="16" t="s">
        <v>15</v>
      </c>
      <c r="Q1" t="s">
        <v>16</v>
      </c>
      <c r="R1" t="s">
        <v>17</v>
      </c>
      <c r="S1" s="16" t="s">
        <v>18</v>
      </c>
      <c r="T1" t="s">
        <v>19</v>
      </c>
      <c r="U1" t="s">
        <v>20</v>
      </c>
      <c r="V1" s="16" t="s">
        <v>21</v>
      </c>
      <c r="W1" t="s">
        <v>22</v>
      </c>
      <c r="X1" t="s">
        <v>23</v>
      </c>
      <c r="Y1" s="16" t="s">
        <v>24</v>
      </c>
      <c r="Z1" t="s">
        <v>25</v>
      </c>
      <c r="AA1" t="s">
        <v>26</v>
      </c>
      <c r="AB1" s="16" t="s">
        <v>27</v>
      </c>
      <c r="AC1" t="s">
        <v>28</v>
      </c>
      <c r="AD1" t="s">
        <v>29</v>
      </c>
      <c r="AE1" s="16" t="s">
        <v>30</v>
      </c>
      <c r="AF1" t="s">
        <v>31</v>
      </c>
      <c r="AG1" t="s">
        <v>32</v>
      </c>
      <c r="AH1" s="16" t="s">
        <v>33</v>
      </c>
      <c r="AI1" t="s">
        <v>34</v>
      </c>
      <c r="AJ1" t="s">
        <v>35</v>
      </c>
      <c r="AK1" s="16" t="s">
        <v>36</v>
      </c>
      <c r="AL1" t="s">
        <v>37</v>
      </c>
      <c r="AM1" t="s">
        <v>38</v>
      </c>
      <c r="AN1" s="16" t="s">
        <v>39</v>
      </c>
      <c r="AO1" t="s">
        <v>40</v>
      </c>
      <c r="AP1" t="s">
        <v>41</v>
      </c>
      <c r="AQ1" s="16" t="s">
        <v>42</v>
      </c>
      <c r="AR1" t="s">
        <v>43</v>
      </c>
      <c r="AS1" t="s">
        <v>44</v>
      </c>
      <c r="AT1" s="16" t="s">
        <v>45</v>
      </c>
      <c r="AU1" t="s">
        <v>46</v>
      </c>
      <c r="AV1" t="s">
        <v>47</v>
      </c>
      <c r="AW1" s="16" t="s">
        <v>48</v>
      </c>
      <c r="AX1" t="s">
        <v>49</v>
      </c>
      <c r="AY1" t="s">
        <v>50</v>
      </c>
      <c r="AZ1" s="16" t="s">
        <v>51</v>
      </c>
      <c r="BA1" t="s">
        <v>52</v>
      </c>
      <c r="BB1" t="s">
        <v>53</v>
      </c>
      <c r="BC1" s="16" t="s">
        <v>54</v>
      </c>
      <c r="BD1" t="s">
        <v>55</v>
      </c>
      <c r="BE1" t="s">
        <v>56</v>
      </c>
      <c r="BF1" s="16" t="s">
        <v>57</v>
      </c>
      <c r="BG1" t="s">
        <v>58</v>
      </c>
      <c r="BH1" t="s">
        <v>59</v>
      </c>
      <c r="BI1" s="16" t="s">
        <v>60</v>
      </c>
      <c r="BJ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1">
        <v>178</v>
      </c>
      <c r="C2" s="1">
        <v>170</v>
      </c>
      <c r="D2" s="46">
        <v>169</v>
      </c>
      <c r="E2" s="1">
        <v>162</v>
      </c>
      <c r="F2" s="1">
        <v>152</v>
      </c>
      <c r="G2" s="46">
        <v>152</v>
      </c>
      <c r="H2" s="1">
        <v>151</v>
      </c>
      <c r="I2" s="1">
        <v>148</v>
      </c>
      <c r="J2" s="46">
        <v>141</v>
      </c>
      <c r="K2" s="1">
        <v>140</v>
      </c>
      <c r="L2" s="1">
        <v>138</v>
      </c>
      <c r="M2" s="46">
        <v>135</v>
      </c>
      <c r="N2" s="1">
        <v>134</v>
      </c>
      <c r="O2" s="1">
        <v>134</v>
      </c>
      <c r="P2" s="46">
        <v>133</v>
      </c>
      <c r="Q2" s="1">
        <v>130</v>
      </c>
      <c r="R2" s="1">
        <v>126</v>
      </c>
      <c r="S2" s="46">
        <v>125</v>
      </c>
      <c r="T2" s="1">
        <v>125</v>
      </c>
      <c r="U2" s="1">
        <v>124</v>
      </c>
      <c r="V2" s="46">
        <v>122</v>
      </c>
      <c r="W2" s="1">
        <v>118</v>
      </c>
      <c r="X2" s="1">
        <v>118</v>
      </c>
      <c r="Y2" s="46">
        <v>114</v>
      </c>
      <c r="Z2" s="1">
        <v>109</v>
      </c>
      <c r="AA2" s="1">
        <v>108</v>
      </c>
      <c r="AB2" s="46">
        <v>106</v>
      </c>
      <c r="AC2" s="1">
        <v>104</v>
      </c>
      <c r="AD2" s="1">
        <v>90</v>
      </c>
      <c r="AE2" s="46">
        <v>80</v>
      </c>
      <c r="AF2" s="1">
        <v>79</v>
      </c>
      <c r="AG2" s="1">
        <v>79</v>
      </c>
      <c r="AH2" s="46">
        <v>74</v>
      </c>
      <c r="AI2" s="1">
        <v>68</v>
      </c>
      <c r="AJ2" s="1">
        <v>62</v>
      </c>
      <c r="AK2" s="46">
        <v>58</v>
      </c>
      <c r="AL2" s="1">
        <v>56</v>
      </c>
      <c r="AM2" s="1">
        <v>42</v>
      </c>
      <c r="AN2" s="46">
        <v>32</v>
      </c>
      <c r="AO2" s="1">
        <v>30</v>
      </c>
      <c r="AP2" s="1">
        <v>29</v>
      </c>
      <c r="AQ2" s="46">
        <v>25</v>
      </c>
      <c r="AR2" s="1">
        <v>25</v>
      </c>
      <c r="AS2" s="1">
        <v>24</v>
      </c>
      <c r="AT2" s="46">
        <v>18</v>
      </c>
      <c r="AU2" s="1">
        <v>18</v>
      </c>
      <c r="AV2" s="1">
        <v>18</v>
      </c>
      <c r="AW2" s="46">
        <v>16</v>
      </c>
      <c r="AX2" s="1">
        <v>13</v>
      </c>
      <c r="AY2" s="1">
        <v>10</v>
      </c>
      <c r="AZ2" s="46">
        <v>8</v>
      </c>
      <c r="BA2" s="1">
        <v>7</v>
      </c>
      <c r="BB2" s="1">
        <v>7</v>
      </c>
      <c r="BC2" s="46">
        <v>4</v>
      </c>
      <c r="BD2" s="1">
        <v>4</v>
      </c>
      <c r="BE2" s="1">
        <v>4</v>
      </c>
      <c r="BF2" s="46">
        <v>4</v>
      </c>
      <c r="BG2" s="1">
        <v>4</v>
      </c>
      <c r="BH2" s="1">
        <v>2</v>
      </c>
      <c r="BI2" s="46">
        <v>1</v>
      </c>
      <c r="BJ2" s="1">
        <v>0</v>
      </c>
      <c r="BK2" s="1">
        <v>0</v>
      </c>
      <c r="BL2">
        <v>0</v>
      </c>
    </row>
    <row r="3" spans="1:64" ht="15.5" x14ac:dyDescent="0.35">
      <c r="A3" t="s">
        <v>65</v>
      </c>
      <c r="B3" s="1">
        <v>9</v>
      </c>
      <c r="C3" s="1">
        <v>9</v>
      </c>
      <c r="D3" s="46">
        <v>9</v>
      </c>
      <c r="E3" s="1">
        <v>9</v>
      </c>
      <c r="F3" s="1">
        <v>9</v>
      </c>
      <c r="G3" s="46">
        <v>9</v>
      </c>
      <c r="H3" s="1">
        <v>9</v>
      </c>
      <c r="I3" s="1">
        <v>9</v>
      </c>
      <c r="J3" s="46">
        <v>9</v>
      </c>
      <c r="K3" s="1">
        <v>8</v>
      </c>
      <c r="L3" s="1">
        <v>8</v>
      </c>
      <c r="M3" s="46">
        <v>8</v>
      </c>
      <c r="N3" s="1">
        <v>8</v>
      </c>
      <c r="O3" s="1">
        <v>8</v>
      </c>
      <c r="P3" s="46">
        <v>8</v>
      </c>
      <c r="Q3" s="1">
        <v>8</v>
      </c>
      <c r="R3" s="1">
        <v>8</v>
      </c>
      <c r="S3" s="46">
        <v>8</v>
      </c>
      <c r="T3" s="1">
        <v>8</v>
      </c>
      <c r="U3" s="1">
        <v>8</v>
      </c>
      <c r="V3" s="46">
        <v>8</v>
      </c>
      <c r="W3" s="1">
        <v>8</v>
      </c>
      <c r="X3" s="1">
        <v>8</v>
      </c>
      <c r="Y3" s="46">
        <v>8</v>
      </c>
      <c r="Z3" s="1">
        <v>7</v>
      </c>
      <c r="AA3" s="1">
        <v>7</v>
      </c>
      <c r="AB3" s="46">
        <v>7</v>
      </c>
      <c r="AC3" s="1">
        <v>7</v>
      </c>
      <c r="AD3" s="1">
        <v>7</v>
      </c>
      <c r="AE3" s="46">
        <v>2</v>
      </c>
      <c r="AF3" s="1">
        <v>2</v>
      </c>
      <c r="AG3" s="1">
        <v>2</v>
      </c>
      <c r="AH3" s="46">
        <v>2</v>
      </c>
      <c r="AI3" s="1">
        <v>2</v>
      </c>
      <c r="AJ3" s="1">
        <v>2</v>
      </c>
      <c r="AK3" s="46">
        <v>2</v>
      </c>
      <c r="AL3" s="1">
        <v>1</v>
      </c>
      <c r="AM3" s="1">
        <v>1</v>
      </c>
      <c r="AN3" s="46">
        <v>1</v>
      </c>
      <c r="AO3" s="1">
        <v>1</v>
      </c>
      <c r="AP3" s="1">
        <v>1</v>
      </c>
      <c r="AQ3" s="46">
        <v>1</v>
      </c>
      <c r="AR3" s="1">
        <v>1</v>
      </c>
      <c r="AS3" s="1">
        <v>1</v>
      </c>
      <c r="AT3" s="46">
        <v>1</v>
      </c>
      <c r="AU3" s="1">
        <v>1</v>
      </c>
      <c r="AV3" s="1">
        <v>1</v>
      </c>
      <c r="AW3" s="46">
        <v>1</v>
      </c>
      <c r="AX3" s="1">
        <v>1</v>
      </c>
      <c r="AY3" s="1">
        <v>1</v>
      </c>
      <c r="AZ3" s="46">
        <v>1</v>
      </c>
      <c r="BA3" s="1">
        <v>1</v>
      </c>
      <c r="BB3" s="1">
        <v>1</v>
      </c>
      <c r="BC3" s="46">
        <v>1</v>
      </c>
      <c r="BD3" s="1">
        <v>1</v>
      </c>
      <c r="BE3" s="1">
        <v>1</v>
      </c>
      <c r="BF3" s="46">
        <v>1</v>
      </c>
      <c r="BG3" s="1">
        <v>1</v>
      </c>
      <c r="BH3" s="1">
        <v>0</v>
      </c>
      <c r="BI3" s="46">
        <v>0</v>
      </c>
      <c r="BJ3" s="1">
        <v>0</v>
      </c>
      <c r="BK3" s="1">
        <v>0</v>
      </c>
      <c r="BL3">
        <v>0</v>
      </c>
    </row>
    <row r="4" spans="1:64" ht="15.5" x14ac:dyDescent="0.35">
      <c r="A4" t="s">
        <v>66</v>
      </c>
      <c r="B4" s="1">
        <v>0</v>
      </c>
      <c r="C4" s="1">
        <v>0</v>
      </c>
      <c r="D4" s="46">
        <v>0</v>
      </c>
      <c r="E4" s="1">
        <v>0</v>
      </c>
      <c r="F4" s="1">
        <v>0</v>
      </c>
      <c r="G4" s="46">
        <v>0</v>
      </c>
      <c r="H4" s="1">
        <v>0</v>
      </c>
      <c r="I4" s="1">
        <v>0</v>
      </c>
      <c r="J4" s="46">
        <v>0</v>
      </c>
      <c r="K4" s="1">
        <v>0</v>
      </c>
      <c r="L4" s="1">
        <v>0</v>
      </c>
      <c r="M4" s="46">
        <v>0</v>
      </c>
      <c r="N4" s="1">
        <v>0</v>
      </c>
      <c r="O4" s="1">
        <v>0</v>
      </c>
      <c r="P4" s="46">
        <v>0</v>
      </c>
      <c r="Q4" s="1">
        <v>0</v>
      </c>
      <c r="R4" s="1">
        <v>0</v>
      </c>
      <c r="S4" s="46">
        <v>0</v>
      </c>
      <c r="T4" s="1">
        <v>0</v>
      </c>
      <c r="U4" s="1">
        <v>0</v>
      </c>
      <c r="V4" s="46">
        <v>0</v>
      </c>
      <c r="W4" s="1">
        <v>0</v>
      </c>
      <c r="X4" s="1">
        <v>0</v>
      </c>
      <c r="Y4" s="46">
        <v>0</v>
      </c>
      <c r="Z4" s="1">
        <v>0</v>
      </c>
      <c r="AA4" s="1">
        <v>0</v>
      </c>
      <c r="AB4" s="46">
        <v>0</v>
      </c>
      <c r="AC4" s="1">
        <v>0</v>
      </c>
      <c r="AD4" s="1">
        <v>0</v>
      </c>
      <c r="AE4" s="46">
        <v>0</v>
      </c>
      <c r="AF4" s="1">
        <v>0</v>
      </c>
      <c r="AG4" s="1">
        <v>0</v>
      </c>
      <c r="AH4" s="46">
        <v>0</v>
      </c>
      <c r="AI4" s="1">
        <v>0</v>
      </c>
      <c r="AJ4" s="1">
        <v>0</v>
      </c>
      <c r="AK4" s="46">
        <v>0</v>
      </c>
      <c r="AL4" s="1">
        <v>0</v>
      </c>
      <c r="AM4" s="1">
        <v>0</v>
      </c>
      <c r="AN4" s="46">
        <v>0</v>
      </c>
      <c r="AO4" s="1">
        <v>0</v>
      </c>
      <c r="AP4" s="1">
        <v>0</v>
      </c>
      <c r="AQ4" s="46">
        <v>0</v>
      </c>
      <c r="AR4" s="1">
        <v>0</v>
      </c>
      <c r="AS4" s="1">
        <v>0</v>
      </c>
      <c r="AT4" s="46">
        <v>0</v>
      </c>
      <c r="AU4" s="1">
        <v>0</v>
      </c>
      <c r="AV4" s="1">
        <v>0</v>
      </c>
      <c r="AW4" s="46">
        <v>0</v>
      </c>
      <c r="AX4" s="1">
        <v>0</v>
      </c>
      <c r="AY4" s="1">
        <v>0</v>
      </c>
      <c r="AZ4" s="46">
        <v>0</v>
      </c>
      <c r="BA4" s="1">
        <v>0</v>
      </c>
      <c r="BB4" s="1">
        <v>0</v>
      </c>
      <c r="BC4" s="46">
        <v>0</v>
      </c>
      <c r="BD4" s="1">
        <v>0</v>
      </c>
      <c r="BE4" s="1">
        <v>0</v>
      </c>
      <c r="BF4" s="46">
        <v>0</v>
      </c>
      <c r="BG4" s="1">
        <v>0</v>
      </c>
      <c r="BH4" s="1">
        <v>0</v>
      </c>
      <c r="BI4" s="46">
        <v>0</v>
      </c>
      <c r="BJ4" s="1">
        <v>0</v>
      </c>
      <c r="BK4" s="1">
        <v>0</v>
      </c>
      <c r="BL4">
        <v>0</v>
      </c>
    </row>
    <row r="5" spans="1:64" ht="15.5" x14ac:dyDescent="0.35">
      <c r="A5" t="s">
        <v>67</v>
      </c>
      <c r="B5" s="1">
        <v>2832160.03</v>
      </c>
      <c r="C5" s="1">
        <v>2773746.66</v>
      </c>
      <c r="D5" s="46">
        <v>2759874.59</v>
      </c>
      <c r="E5" s="1">
        <v>2709688.8</v>
      </c>
      <c r="F5" s="1">
        <v>2618570.25</v>
      </c>
      <c r="G5" s="46">
        <v>2618570.25</v>
      </c>
      <c r="H5" s="1">
        <v>2605630.6</v>
      </c>
      <c r="I5" s="1">
        <v>2555964.08</v>
      </c>
      <c r="J5" s="46">
        <v>2484266.15</v>
      </c>
      <c r="K5" s="1">
        <v>2463636.25</v>
      </c>
      <c r="L5" s="1">
        <v>2445115.7400000002</v>
      </c>
      <c r="M5" s="46">
        <v>2417550.36</v>
      </c>
      <c r="N5" s="1">
        <v>2407052.34</v>
      </c>
      <c r="O5" s="1">
        <v>2407052.34</v>
      </c>
      <c r="P5" s="46">
        <v>2393892.12</v>
      </c>
      <c r="Q5" s="1">
        <v>2359434.87</v>
      </c>
      <c r="R5" s="1">
        <v>2320155.98</v>
      </c>
      <c r="S5" s="46">
        <v>2314962.0099999998</v>
      </c>
      <c r="T5" s="1">
        <v>2314962.0099999998</v>
      </c>
      <c r="U5" s="1">
        <v>2308784.6</v>
      </c>
      <c r="V5" s="46">
        <v>2274941.6</v>
      </c>
      <c r="W5" s="1">
        <v>2212006.0499999998</v>
      </c>
      <c r="X5" s="1">
        <v>2212006.0499999998</v>
      </c>
      <c r="Y5" s="46">
        <v>2162887.14</v>
      </c>
      <c r="Z5" s="1">
        <v>2051361.87</v>
      </c>
      <c r="AA5" s="1">
        <v>2041022.34</v>
      </c>
      <c r="AB5" s="46">
        <v>2014180.44</v>
      </c>
      <c r="AC5" s="1">
        <v>1996129.25</v>
      </c>
      <c r="AD5" s="1">
        <v>1390629.11</v>
      </c>
      <c r="AE5" s="46">
        <v>1050077.01</v>
      </c>
      <c r="AF5" s="1">
        <v>1033364.73</v>
      </c>
      <c r="AG5" s="1">
        <v>1033364.73</v>
      </c>
      <c r="AH5" s="46">
        <v>964178.44000000006</v>
      </c>
      <c r="AI5" s="1">
        <v>895972.9800000001</v>
      </c>
      <c r="AJ5" s="1">
        <v>822188.65999999992</v>
      </c>
      <c r="AK5" s="46">
        <v>780572.74000000011</v>
      </c>
      <c r="AL5" s="1">
        <v>723772.82</v>
      </c>
      <c r="AM5" s="1">
        <v>612902.66</v>
      </c>
      <c r="AN5" s="46">
        <v>510634.6</v>
      </c>
      <c r="AO5" s="1">
        <v>500910.94000000012</v>
      </c>
      <c r="AP5" s="1">
        <v>488102.95000000013</v>
      </c>
      <c r="AQ5" s="46">
        <v>433183.37000000011</v>
      </c>
      <c r="AR5" s="1">
        <v>433183.37000000011</v>
      </c>
      <c r="AS5" s="1">
        <v>420031.67</v>
      </c>
      <c r="AT5" s="46">
        <v>346412.79999999999</v>
      </c>
      <c r="AU5" s="1">
        <v>346412.79999999999</v>
      </c>
      <c r="AV5" s="1">
        <v>346412.79999999999</v>
      </c>
      <c r="AW5" s="46">
        <v>301434.93000000011</v>
      </c>
      <c r="AX5" s="1">
        <v>254432.35</v>
      </c>
      <c r="AY5" s="1">
        <v>213090.31</v>
      </c>
      <c r="AZ5" s="46">
        <v>190296.73</v>
      </c>
      <c r="BA5" s="1">
        <v>175324.01</v>
      </c>
      <c r="BB5" s="1">
        <v>175324.01</v>
      </c>
      <c r="BC5" s="46">
        <v>132263.5</v>
      </c>
      <c r="BD5" s="1">
        <v>132263.5</v>
      </c>
      <c r="BE5" s="1">
        <v>132263.5</v>
      </c>
      <c r="BF5" s="46">
        <v>132263.5</v>
      </c>
      <c r="BG5" s="1">
        <v>132263.5</v>
      </c>
      <c r="BH5" s="1">
        <v>15534.58</v>
      </c>
      <c r="BI5" s="46">
        <v>7767.29</v>
      </c>
      <c r="BJ5" s="1">
        <v>0</v>
      </c>
      <c r="BK5" s="1">
        <v>0</v>
      </c>
      <c r="BL5">
        <v>0</v>
      </c>
    </row>
    <row r="6" spans="1:64" ht="15.5" x14ac:dyDescent="0.35">
      <c r="A6" t="s">
        <v>68</v>
      </c>
      <c r="B6" s="1">
        <v>1335058.17</v>
      </c>
      <c r="C6" s="1">
        <v>1307065.2</v>
      </c>
      <c r="D6" s="46">
        <v>1301631.58</v>
      </c>
      <c r="E6" s="1">
        <v>1277865.43</v>
      </c>
      <c r="F6" s="1">
        <v>1232276.1299999999</v>
      </c>
      <c r="G6" s="46">
        <v>1232276.1299999999</v>
      </c>
      <c r="H6" s="1">
        <v>1228257.33</v>
      </c>
      <c r="I6" s="1">
        <v>1211855.6100000001</v>
      </c>
      <c r="J6" s="46">
        <v>1180219.31</v>
      </c>
      <c r="K6" s="1">
        <v>1169041.2</v>
      </c>
      <c r="L6" s="1">
        <v>1161008.3700000001</v>
      </c>
      <c r="M6" s="46">
        <v>1149841.57</v>
      </c>
      <c r="N6" s="1">
        <v>1145273.94</v>
      </c>
      <c r="O6" s="1">
        <v>1145273.94</v>
      </c>
      <c r="P6" s="46">
        <v>1140292.3500000001</v>
      </c>
      <c r="Q6" s="1">
        <v>1121925.19</v>
      </c>
      <c r="R6" s="1">
        <v>1104997.67</v>
      </c>
      <c r="S6" s="46">
        <v>1102945.97</v>
      </c>
      <c r="T6" s="1">
        <v>1102945.97</v>
      </c>
      <c r="U6" s="1">
        <v>1100455.77</v>
      </c>
      <c r="V6" s="46">
        <v>1085670.71</v>
      </c>
      <c r="W6" s="1">
        <v>1058478.21</v>
      </c>
      <c r="X6" s="1">
        <v>1058478.21</v>
      </c>
      <c r="Y6" s="46">
        <v>1036345.58</v>
      </c>
      <c r="Z6" s="1">
        <v>979636.39</v>
      </c>
      <c r="AA6" s="1">
        <v>975933.22</v>
      </c>
      <c r="AB6" s="46">
        <v>963799.58</v>
      </c>
      <c r="AC6" s="1">
        <v>955841.36</v>
      </c>
      <c r="AD6" s="1">
        <v>627239.09000000008</v>
      </c>
      <c r="AE6" s="46">
        <v>432053.88</v>
      </c>
      <c r="AF6" s="1">
        <v>424379.52</v>
      </c>
      <c r="AG6" s="1">
        <v>424379.52</v>
      </c>
      <c r="AH6" s="46">
        <v>399187.27000000008</v>
      </c>
      <c r="AI6" s="1">
        <v>370350.14</v>
      </c>
      <c r="AJ6" s="1">
        <v>336641.52</v>
      </c>
      <c r="AK6" s="46">
        <v>319495.95000000013</v>
      </c>
      <c r="AL6" s="1">
        <v>287177.06</v>
      </c>
      <c r="AM6" s="1">
        <v>245787.56</v>
      </c>
      <c r="AN6" s="46">
        <v>210407.11</v>
      </c>
      <c r="AO6" s="1">
        <v>206831.09</v>
      </c>
      <c r="AP6" s="1">
        <v>202240.66</v>
      </c>
      <c r="AQ6" s="46">
        <v>184173.73</v>
      </c>
      <c r="AR6" s="1">
        <v>184173.73</v>
      </c>
      <c r="AS6" s="1">
        <v>179727.8</v>
      </c>
      <c r="AT6" s="46">
        <v>149046.81</v>
      </c>
      <c r="AU6" s="1">
        <v>149046.81</v>
      </c>
      <c r="AV6" s="1">
        <v>149046.81</v>
      </c>
      <c r="AW6" s="46">
        <v>129447.29</v>
      </c>
      <c r="AX6" s="1">
        <v>111746.82</v>
      </c>
      <c r="AY6" s="1">
        <v>95949.89</v>
      </c>
      <c r="AZ6" s="46">
        <v>87639.07</v>
      </c>
      <c r="BA6" s="1">
        <v>81678.350000000006</v>
      </c>
      <c r="BB6" s="1">
        <v>81678.350000000006</v>
      </c>
      <c r="BC6" s="46">
        <v>64032.02</v>
      </c>
      <c r="BD6" s="1">
        <v>64032.02</v>
      </c>
      <c r="BE6" s="1">
        <v>64032.02</v>
      </c>
      <c r="BF6" s="46">
        <v>64032.02</v>
      </c>
      <c r="BG6" s="1">
        <v>64032.02</v>
      </c>
      <c r="BH6" s="1">
        <v>5800.58</v>
      </c>
      <c r="BI6" s="46">
        <v>2900.29</v>
      </c>
      <c r="BJ6" s="1">
        <v>0</v>
      </c>
      <c r="BK6" s="1">
        <v>0</v>
      </c>
      <c r="BL6">
        <v>0</v>
      </c>
    </row>
    <row r="7" spans="1:64" ht="15.5" x14ac:dyDescent="0.35">
      <c r="A7" t="s">
        <v>69</v>
      </c>
      <c r="B7" s="1">
        <v>669414.57000000007</v>
      </c>
      <c r="C7" s="1">
        <v>656314.41000000015</v>
      </c>
      <c r="D7" s="46">
        <v>652778.12000000011</v>
      </c>
      <c r="E7" s="1">
        <v>644091.18000000017</v>
      </c>
      <c r="F7" s="1">
        <v>626082.14</v>
      </c>
      <c r="G7" s="46">
        <v>626082.14</v>
      </c>
      <c r="H7" s="1">
        <v>622756.65</v>
      </c>
      <c r="I7" s="1">
        <v>617202.18000000005</v>
      </c>
      <c r="J7" s="46">
        <v>599031.99</v>
      </c>
      <c r="K7" s="1">
        <v>593721.34999999986</v>
      </c>
      <c r="L7" s="1">
        <v>589392.18999999994</v>
      </c>
      <c r="M7" s="46">
        <v>584278.37000000011</v>
      </c>
      <c r="N7" s="1">
        <v>581861.79</v>
      </c>
      <c r="O7" s="1">
        <v>581861.79</v>
      </c>
      <c r="P7" s="46">
        <v>577761.52</v>
      </c>
      <c r="Q7" s="1">
        <v>573353.97000000009</v>
      </c>
      <c r="R7" s="1">
        <v>561570.08000000007</v>
      </c>
      <c r="S7" s="46">
        <v>560522.81000000006</v>
      </c>
      <c r="T7" s="1">
        <v>560522.81000000006</v>
      </c>
      <c r="U7" s="1">
        <v>558933.27</v>
      </c>
      <c r="V7" s="46">
        <v>548652.77</v>
      </c>
      <c r="W7" s="1">
        <v>530148.27000000014</v>
      </c>
      <c r="X7" s="1">
        <v>530148.27000000014</v>
      </c>
      <c r="Y7" s="46">
        <v>516911.24</v>
      </c>
      <c r="Z7" s="1">
        <v>500017.1</v>
      </c>
      <c r="AA7" s="1">
        <v>498112.08</v>
      </c>
      <c r="AB7" s="46">
        <v>488716.58</v>
      </c>
      <c r="AC7" s="1">
        <v>481987.55</v>
      </c>
      <c r="AD7" s="1">
        <v>375649.70000000013</v>
      </c>
      <c r="AE7" s="46">
        <v>288873.58</v>
      </c>
      <c r="AF7" s="1">
        <v>283889.82</v>
      </c>
      <c r="AG7" s="1">
        <v>283889.82</v>
      </c>
      <c r="AH7" s="46">
        <v>263925.18</v>
      </c>
      <c r="AI7" s="1">
        <v>240932.07</v>
      </c>
      <c r="AJ7" s="1">
        <v>220439.49</v>
      </c>
      <c r="AK7" s="46">
        <v>206346.64</v>
      </c>
      <c r="AL7" s="1">
        <v>196992.93</v>
      </c>
      <c r="AM7" s="1">
        <v>169449.17</v>
      </c>
      <c r="AN7" s="46">
        <v>138915.46</v>
      </c>
      <c r="AO7" s="1">
        <v>135708.57999999999</v>
      </c>
      <c r="AP7" s="1">
        <v>132538.72</v>
      </c>
      <c r="AQ7" s="46">
        <v>116468.51</v>
      </c>
      <c r="AR7" s="1">
        <v>116468.51</v>
      </c>
      <c r="AS7" s="1">
        <v>113868.18</v>
      </c>
      <c r="AT7" s="46">
        <v>95400.65</v>
      </c>
      <c r="AU7" s="1">
        <v>95400.65</v>
      </c>
      <c r="AV7" s="1">
        <v>95400.65</v>
      </c>
      <c r="AW7" s="46">
        <v>83789.23</v>
      </c>
      <c r="AX7" s="1">
        <v>70613.83</v>
      </c>
      <c r="AY7" s="1">
        <v>58891.95</v>
      </c>
      <c r="AZ7" s="46">
        <v>51863.13</v>
      </c>
      <c r="BA7" s="1">
        <v>47607.5</v>
      </c>
      <c r="BB7" s="1">
        <v>47607.5</v>
      </c>
      <c r="BC7" s="46">
        <v>34350.379999999997</v>
      </c>
      <c r="BD7" s="1">
        <v>34350.379999999997</v>
      </c>
      <c r="BE7" s="1">
        <v>34350.379999999997</v>
      </c>
      <c r="BF7" s="46">
        <v>34350.379999999997</v>
      </c>
      <c r="BG7" s="1">
        <v>34350.379999999997</v>
      </c>
      <c r="BH7" s="1">
        <v>2964.26</v>
      </c>
      <c r="BI7" s="46">
        <v>1482.13</v>
      </c>
      <c r="BJ7" s="1">
        <v>0</v>
      </c>
      <c r="BK7" s="1">
        <v>0</v>
      </c>
      <c r="BL7">
        <v>0</v>
      </c>
    </row>
    <row r="8" spans="1:64" ht="15.5" x14ac:dyDescent="0.35">
      <c r="A8" t="s">
        <v>70</v>
      </c>
      <c r="B8" s="1">
        <v>186639.61</v>
      </c>
      <c r="C8" s="1">
        <v>183142.2</v>
      </c>
      <c r="D8" s="46">
        <v>181959.37</v>
      </c>
      <c r="E8" s="1">
        <v>178007.26</v>
      </c>
      <c r="F8" s="1">
        <v>170890.59</v>
      </c>
      <c r="G8" s="46">
        <v>170890.59</v>
      </c>
      <c r="H8" s="1">
        <v>169950.57</v>
      </c>
      <c r="I8" s="1">
        <v>167337.32999999999</v>
      </c>
      <c r="J8" s="46">
        <v>162023.09</v>
      </c>
      <c r="K8" s="1">
        <v>161032.94</v>
      </c>
      <c r="L8" s="1">
        <v>159684.4</v>
      </c>
      <c r="M8" s="46">
        <v>158448.4</v>
      </c>
      <c r="N8" s="1">
        <v>157613.16</v>
      </c>
      <c r="O8" s="1">
        <v>157613.16</v>
      </c>
      <c r="P8" s="46">
        <v>156662.67000000001</v>
      </c>
      <c r="Q8" s="1">
        <v>154751.53</v>
      </c>
      <c r="R8" s="1">
        <v>151389.18</v>
      </c>
      <c r="S8" s="46">
        <v>150969.18</v>
      </c>
      <c r="T8" s="1">
        <v>150969.18</v>
      </c>
      <c r="U8" s="1">
        <v>150409.51</v>
      </c>
      <c r="V8" s="46">
        <v>148110.26999999999</v>
      </c>
      <c r="W8" s="1">
        <v>143671.64000000001</v>
      </c>
      <c r="X8" s="1">
        <v>143671.64000000001</v>
      </c>
      <c r="Y8" s="46">
        <v>140027.79</v>
      </c>
      <c r="Z8" s="1">
        <v>133372.66</v>
      </c>
      <c r="AA8" s="1">
        <v>132309.54</v>
      </c>
      <c r="AB8" s="46">
        <v>130108.02</v>
      </c>
      <c r="AC8" s="1">
        <v>128555.28</v>
      </c>
      <c r="AD8" s="1">
        <v>96881.010000000009</v>
      </c>
      <c r="AE8" s="46">
        <v>82355.970000000016</v>
      </c>
      <c r="AF8" s="1">
        <v>82005.97</v>
      </c>
      <c r="AG8" s="1">
        <v>82005.97</v>
      </c>
      <c r="AH8" s="46">
        <v>76608.17</v>
      </c>
      <c r="AI8" s="1">
        <v>70373.45</v>
      </c>
      <c r="AJ8" s="1">
        <v>64817.58</v>
      </c>
      <c r="AK8" s="46">
        <v>61191.080000000009</v>
      </c>
      <c r="AL8" s="1">
        <v>57084.15</v>
      </c>
      <c r="AM8" s="1">
        <v>48781.55</v>
      </c>
      <c r="AN8" s="46">
        <v>40141.980000000003</v>
      </c>
      <c r="AO8" s="1">
        <v>39337.37999999999</v>
      </c>
      <c r="AP8" s="1">
        <v>38241.759999999987</v>
      </c>
      <c r="AQ8" s="46">
        <v>33760.339999999997</v>
      </c>
      <c r="AR8" s="1">
        <v>33760.339999999997</v>
      </c>
      <c r="AS8" s="1">
        <v>32640.23</v>
      </c>
      <c r="AT8" s="46">
        <v>26660.16</v>
      </c>
      <c r="AU8" s="1">
        <v>26660.16</v>
      </c>
      <c r="AV8" s="1">
        <v>26660.16</v>
      </c>
      <c r="AW8" s="46">
        <v>23395.46</v>
      </c>
      <c r="AX8" s="1">
        <v>19969.88</v>
      </c>
      <c r="AY8" s="1">
        <v>16614.509999999998</v>
      </c>
      <c r="AZ8" s="46">
        <v>14587.14</v>
      </c>
      <c r="BA8" s="1">
        <v>13455.19</v>
      </c>
      <c r="BB8" s="1">
        <v>13455.19</v>
      </c>
      <c r="BC8" s="46">
        <v>9977.6700000000019</v>
      </c>
      <c r="BD8" s="1">
        <v>9977.6700000000019</v>
      </c>
      <c r="BE8" s="1">
        <v>9977.6700000000019</v>
      </c>
      <c r="BF8" s="46">
        <v>9977.6700000000019</v>
      </c>
      <c r="BG8" s="1">
        <v>9977.6700000000019</v>
      </c>
      <c r="BH8" s="1">
        <v>875.54</v>
      </c>
      <c r="BI8" s="46">
        <v>437.77</v>
      </c>
      <c r="BJ8" s="1">
        <v>0</v>
      </c>
      <c r="BK8" s="1">
        <v>0</v>
      </c>
      <c r="BL8">
        <v>0</v>
      </c>
    </row>
    <row r="9" spans="1:64" ht="15.5" x14ac:dyDescent="0.35">
      <c r="A9" t="s">
        <v>71</v>
      </c>
      <c r="B9" s="1">
        <v>6942279.4499999993</v>
      </c>
      <c r="C9" s="1">
        <v>6397228.6600000001</v>
      </c>
      <c r="D9" s="46">
        <v>6342435.6999999993</v>
      </c>
      <c r="E9" s="1">
        <v>5931107.5600000015</v>
      </c>
      <c r="F9" s="1">
        <v>5410978.9399999985</v>
      </c>
      <c r="G9" s="46">
        <v>5410978.9399999985</v>
      </c>
      <c r="H9" s="1">
        <v>5386378.9100000001</v>
      </c>
      <c r="I9" s="1">
        <v>5047483.9700000007</v>
      </c>
      <c r="J9" s="46">
        <v>4901312.8</v>
      </c>
      <c r="K9" s="1">
        <v>4876841.0500000007</v>
      </c>
      <c r="L9" s="1">
        <v>4829281.63</v>
      </c>
      <c r="M9" s="46">
        <v>4538736.58</v>
      </c>
      <c r="N9" s="1">
        <v>4516571.58</v>
      </c>
      <c r="O9" s="1">
        <v>4516571.58</v>
      </c>
      <c r="P9" s="46">
        <v>4490514.78</v>
      </c>
      <c r="Q9" s="1">
        <v>4345792.6499999994</v>
      </c>
      <c r="R9" s="1">
        <v>4196215.12</v>
      </c>
      <c r="S9" s="46">
        <v>4158169.36</v>
      </c>
      <c r="T9" s="1">
        <v>4158169.36</v>
      </c>
      <c r="U9" s="1">
        <v>4096723.36</v>
      </c>
      <c r="V9" s="46">
        <v>4089463.36</v>
      </c>
      <c r="W9" s="1">
        <v>4064704.56</v>
      </c>
      <c r="X9" s="1">
        <v>4064704.56</v>
      </c>
      <c r="Y9" s="46">
        <v>3979313.580000001</v>
      </c>
      <c r="Z9" s="1">
        <v>3517381.7800000012</v>
      </c>
      <c r="AA9" s="1">
        <v>3474864.580000001</v>
      </c>
      <c r="AB9" s="46">
        <v>3442290.94</v>
      </c>
      <c r="AC9" s="1">
        <v>3430800.3400000008</v>
      </c>
      <c r="AD9" s="1">
        <v>2639586.6600000011</v>
      </c>
      <c r="AE9" s="46">
        <v>2420696.7200000002</v>
      </c>
      <c r="AF9" s="1">
        <v>2411879.12</v>
      </c>
      <c r="AG9" s="1">
        <v>2411879.12</v>
      </c>
      <c r="AH9" s="46">
        <v>2200268.9900000002</v>
      </c>
      <c r="AI9" s="1">
        <v>1975302.49</v>
      </c>
      <c r="AJ9" s="1">
        <v>1818573.35</v>
      </c>
      <c r="AK9" s="46">
        <v>1773817.47</v>
      </c>
      <c r="AL9" s="1">
        <v>1697883.9</v>
      </c>
      <c r="AM9" s="1">
        <v>1155357.42</v>
      </c>
      <c r="AN9" s="46">
        <v>902838.75000000012</v>
      </c>
      <c r="AO9" s="1">
        <v>859143.23</v>
      </c>
      <c r="AP9" s="1">
        <v>825311.63</v>
      </c>
      <c r="AQ9" s="46">
        <v>648740.31999999995</v>
      </c>
      <c r="AR9" s="1">
        <v>648740.31999999995</v>
      </c>
      <c r="AS9" s="1">
        <v>569987.02</v>
      </c>
      <c r="AT9" s="46">
        <v>391297.51</v>
      </c>
      <c r="AU9" s="1">
        <v>391297.51</v>
      </c>
      <c r="AV9" s="1">
        <v>391297.51</v>
      </c>
      <c r="AW9" s="46">
        <v>338644.91</v>
      </c>
      <c r="AX9" s="1">
        <v>227410.67</v>
      </c>
      <c r="AY9" s="1">
        <v>175692.53</v>
      </c>
      <c r="AZ9" s="46">
        <v>129329.51</v>
      </c>
      <c r="BA9" s="1">
        <v>100156.3</v>
      </c>
      <c r="BB9" s="1">
        <v>100156.3</v>
      </c>
      <c r="BC9" s="46">
        <v>50718.21</v>
      </c>
      <c r="BD9" s="1">
        <v>50718.21</v>
      </c>
      <c r="BE9" s="1">
        <v>50718.21</v>
      </c>
      <c r="BF9" s="46">
        <v>50718.21</v>
      </c>
      <c r="BG9" s="1">
        <v>50718.21</v>
      </c>
      <c r="BH9" s="1">
        <v>6700.32</v>
      </c>
      <c r="BI9" s="46">
        <v>1675.08</v>
      </c>
      <c r="BJ9" s="1">
        <v>0</v>
      </c>
      <c r="BK9" s="1">
        <v>0</v>
      </c>
      <c r="BL9">
        <v>0</v>
      </c>
    </row>
    <row r="10" spans="1:64" ht="15.5" x14ac:dyDescent="0.35">
      <c r="A10" t="s">
        <v>72</v>
      </c>
      <c r="B10" s="1">
        <v>4316191.8599999994</v>
      </c>
      <c r="C10" s="1">
        <v>4066856.100000001</v>
      </c>
      <c r="D10" s="46">
        <v>4024995.87</v>
      </c>
      <c r="E10" s="1">
        <v>3808584.21</v>
      </c>
      <c r="F10" s="1">
        <v>3655750.54</v>
      </c>
      <c r="G10" s="46">
        <v>3655750.54</v>
      </c>
      <c r="H10" s="1">
        <v>3639271.48</v>
      </c>
      <c r="I10" s="1">
        <v>3619089.9200000009</v>
      </c>
      <c r="J10" s="46">
        <v>3529239.67</v>
      </c>
      <c r="K10" s="1">
        <v>3525166.5</v>
      </c>
      <c r="L10" s="1">
        <v>3480302.34</v>
      </c>
      <c r="M10" s="46">
        <v>3473930.2</v>
      </c>
      <c r="N10" s="1">
        <v>3453495.9900000012</v>
      </c>
      <c r="O10" s="1">
        <v>3453495.9900000012</v>
      </c>
      <c r="P10" s="46">
        <v>3447404.93</v>
      </c>
      <c r="Q10" s="1">
        <v>3379009.61</v>
      </c>
      <c r="R10" s="1">
        <v>3303156.52</v>
      </c>
      <c r="S10" s="46">
        <v>3292854.7</v>
      </c>
      <c r="T10" s="1">
        <v>3292854.7</v>
      </c>
      <c r="U10" s="1">
        <v>3239794.09</v>
      </c>
      <c r="V10" s="46">
        <v>3232534.09</v>
      </c>
      <c r="W10" s="1">
        <v>3207775.29</v>
      </c>
      <c r="X10" s="1">
        <v>3207775.29</v>
      </c>
      <c r="Y10" s="46">
        <v>3167235.83</v>
      </c>
      <c r="Z10" s="1">
        <v>2944560.43</v>
      </c>
      <c r="AA10" s="1">
        <v>2918135.55</v>
      </c>
      <c r="AB10" s="46">
        <v>2898173.17</v>
      </c>
      <c r="AC10" s="1">
        <v>2886682.57</v>
      </c>
      <c r="AD10" s="1">
        <v>2127257.27</v>
      </c>
      <c r="AE10" s="46">
        <v>1941367.51</v>
      </c>
      <c r="AF10" s="1">
        <v>1932549.91</v>
      </c>
      <c r="AG10" s="1">
        <v>1932549.91</v>
      </c>
      <c r="AH10" s="46">
        <v>1785349</v>
      </c>
      <c r="AI10" s="1">
        <v>1601202.72</v>
      </c>
      <c r="AJ10" s="1">
        <v>1465845.56</v>
      </c>
      <c r="AK10" s="46">
        <v>1428521.26</v>
      </c>
      <c r="AL10" s="1">
        <v>1367924.1</v>
      </c>
      <c r="AM10" s="1">
        <v>987076.03</v>
      </c>
      <c r="AN10" s="46">
        <v>807074.67</v>
      </c>
      <c r="AO10" s="1">
        <v>771288.27</v>
      </c>
      <c r="AP10" s="1">
        <v>755122.10000000009</v>
      </c>
      <c r="AQ10" s="46">
        <v>599909.66</v>
      </c>
      <c r="AR10" s="1">
        <v>599909.66</v>
      </c>
      <c r="AS10" s="1">
        <v>528585.47</v>
      </c>
      <c r="AT10" s="46">
        <v>369067.23</v>
      </c>
      <c r="AU10" s="1">
        <v>369067.23</v>
      </c>
      <c r="AV10" s="1">
        <v>369067.23</v>
      </c>
      <c r="AW10" s="46">
        <v>316414.63</v>
      </c>
      <c r="AX10" s="1">
        <v>212671.31</v>
      </c>
      <c r="AY10" s="1">
        <v>164504.59</v>
      </c>
      <c r="AZ10" s="46">
        <v>124307.14</v>
      </c>
      <c r="BA10" s="1">
        <v>98455.510000000009</v>
      </c>
      <c r="BB10" s="1">
        <v>98455.510000000009</v>
      </c>
      <c r="BC10" s="46">
        <v>50718.21</v>
      </c>
      <c r="BD10" s="1">
        <v>50718.21</v>
      </c>
      <c r="BE10" s="1">
        <v>50718.21</v>
      </c>
      <c r="BF10" s="46">
        <v>50718.21</v>
      </c>
      <c r="BG10" s="1">
        <v>50718.21</v>
      </c>
      <c r="BH10" s="1">
        <v>6700.32</v>
      </c>
      <c r="BI10" s="46">
        <v>1675.08</v>
      </c>
      <c r="BJ10" s="1">
        <v>0</v>
      </c>
      <c r="BK10" s="1">
        <v>0</v>
      </c>
      <c r="BL10">
        <v>0</v>
      </c>
    </row>
    <row r="11" spans="1:64" ht="15.5" x14ac:dyDescent="0.35">
      <c r="A11" t="s">
        <v>73</v>
      </c>
      <c r="B11" s="1">
        <v>281559.46999999997</v>
      </c>
      <c r="C11" s="1">
        <v>279108.83</v>
      </c>
      <c r="D11" s="46">
        <v>276531.02</v>
      </c>
      <c r="E11" s="1">
        <v>274028.37</v>
      </c>
      <c r="F11" s="1">
        <v>268235.32</v>
      </c>
      <c r="G11" s="46">
        <v>268235.32</v>
      </c>
      <c r="H11" s="1">
        <v>266368.15000000002</v>
      </c>
      <c r="I11" s="1">
        <v>263440.53999999998</v>
      </c>
      <c r="J11" s="46">
        <v>252414.63</v>
      </c>
      <c r="K11" s="1">
        <v>250140.2</v>
      </c>
      <c r="L11" s="1">
        <v>247091.68</v>
      </c>
      <c r="M11" s="46">
        <v>246644.24</v>
      </c>
      <c r="N11" s="1">
        <v>244818.17</v>
      </c>
      <c r="O11" s="1">
        <v>244818.17</v>
      </c>
      <c r="P11" s="46">
        <v>242776</v>
      </c>
      <c r="Q11" s="1">
        <v>239464.41</v>
      </c>
      <c r="R11" s="1">
        <v>238371.97</v>
      </c>
      <c r="S11" s="46">
        <v>238296.97</v>
      </c>
      <c r="T11" s="1">
        <v>238296.97</v>
      </c>
      <c r="U11" s="1">
        <v>238221.97</v>
      </c>
      <c r="V11" s="46">
        <v>233195.77</v>
      </c>
      <c r="W11" s="1">
        <v>223440.65</v>
      </c>
      <c r="X11" s="1">
        <v>223440.65</v>
      </c>
      <c r="Y11" s="46">
        <v>219475.28</v>
      </c>
      <c r="Z11" s="1">
        <v>205090.17</v>
      </c>
      <c r="AA11" s="1">
        <v>202811.8</v>
      </c>
      <c r="AB11" s="46">
        <v>202661.8</v>
      </c>
      <c r="AC11" s="1">
        <v>201941.8</v>
      </c>
      <c r="AD11" s="1">
        <v>143544.13</v>
      </c>
      <c r="AE11" s="46">
        <v>109802.77</v>
      </c>
      <c r="AF11" s="1">
        <v>107200.81</v>
      </c>
      <c r="AG11" s="1">
        <v>107200.81</v>
      </c>
      <c r="AH11" s="46">
        <v>97679.900000000009</v>
      </c>
      <c r="AI11" s="1">
        <v>95519.900000000009</v>
      </c>
      <c r="AJ11" s="1">
        <v>88839.3</v>
      </c>
      <c r="AK11" s="46">
        <v>85543.48000000001</v>
      </c>
      <c r="AL11" s="1">
        <v>76972.56</v>
      </c>
      <c r="AM11" s="1">
        <v>68034</v>
      </c>
      <c r="AN11" s="46">
        <v>51037.38</v>
      </c>
      <c r="AO11" s="1">
        <v>50887.38</v>
      </c>
      <c r="AP11" s="1">
        <v>48473.1</v>
      </c>
      <c r="AQ11" s="46">
        <v>38930.420000000013</v>
      </c>
      <c r="AR11" s="1">
        <v>38930.420000000013</v>
      </c>
      <c r="AS11" s="1">
        <v>36570.199999999997</v>
      </c>
      <c r="AT11" s="46">
        <v>27560.25</v>
      </c>
      <c r="AU11" s="1">
        <v>27560.25</v>
      </c>
      <c r="AV11" s="1">
        <v>27560.25</v>
      </c>
      <c r="AW11" s="46">
        <v>20818.919999999998</v>
      </c>
      <c r="AX11" s="1">
        <v>17237.07</v>
      </c>
      <c r="AY11" s="1">
        <v>12058.26</v>
      </c>
      <c r="AZ11" s="46">
        <v>9769.8799999999992</v>
      </c>
      <c r="BA11" s="1">
        <v>8797.57</v>
      </c>
      <c r="BB11" s="1">
        <v>8797.57</v>
      </c>
      <c r="BC11" s="46">
        <v>5880.64</v>
      </c>
      <c r="BD11" s="1">
        <v>5880.64</v>
      </c>
      <c r="BE11" s="1">
        <v>5880.64</v>
      </c>
      <c r="BF11" s="46">
        <v>5880.64</v>
      </c>
      <c r="BG11" s="1">
        <v>5880.64</v>
      </c>
      <c r="BH11" s="1">
        <v>2544.04</v>
      </c>
      <c r="BI11" s="46">
        <v>1272.02</v>
      </c>
      <c r="BJ11" s="1">
        <v>0</v>
      </c>
      <c r="BK11" s="1">
        <v>0</v>
      </c>
      <c r="BL11">
        <v>0</v>
      </c>
    </row>
    <row r="12" spans="1:64" ht="15.5" x14ac:dyDescent="0.35">
      <c r="A12" t="s">
        <v>74</v>
      </c>
      <c r="B12" s="1">
        <v>99085652.5</v>
      </c>
      <c r="C12" s="1">
        <v>96985220.700000003</v>
      </c>
      <c r="D12" s="46">
        <v>96393804.450000003</v>
      </c>
      <c r="E12" s="1">
        <v>94720803.450000003</v>
      </c>
      <c r="F12" s="1">
        <v>91318987.319999993</v>
      </c>
      <c r="G12" s="46">
        <v>91318987.319999993</v>
      </c>
      <c r="H12" s="1">
        <v>90890407.319999993</v>
      </c>
      <c r="I12" s="1">
        <v>89595781.379999995</v>
      </c>
      <c r="J12" s="46">
        <v>86977059.689999998</v>
      </c>
      <c r="K12" s="1">
        <v>86106510.300000012</v>
      </c>
      <c r="L12" s="1">
        <v>85432236.280000001</v>
      </c>
      <c r="M12" s="46">
        <v>84502587.520000011</v>
      </c>
      <c r="N12" s="1">
        <v>84084967.160000011</v>
      </c>
      <c r="O12" s="1">
        <v>84084967.160000011</v>
      </c>
      <c r="P12" s="46">
        <v>83609720.480000019</v>
      </c>
      <c r="Q12" s="1">
        <v>82684139.129999995</v>
      </c>
      <c r="R12" s="1">
        <v>81034096.030000001</v>
      </c>
      <c r="S12" s="46">
        <v>80845231.780000001</v>
      </c>
      <c r="T12" s="1">
        <v>80845231.780000001</v>
      </c>
      <c r="U12" s="1">
        <v>80565395.760000005</v>
      </c>
      <c r="V12" s="46">
        <v>79415772.359999999</v>
      </c>
      <c r="W12" s="1">
        <v>77196451.799999967</v>
      </c>
      <c r="X12" s="1">
        <v>77196451.799999967</v>
      </c>
      <c r="Y12" s="46">
        <v>75447119.170000002</v>
      </c>
      <c r="Z12" s="1">
        <v>72175148.789999977</v>
      </c>
      <c r="AA12" s="1">
        <v>71677685.900000006</v>
      </c>
      <c r="AB12" s="46">
        <v>70576915.939999998</v>
      </c>
      <c r="AC12" s="1">
        <v>69800537.179999977</v>
      </c>
      <c r="AD12" s="1">
        <v>54053386.440000013</v>
      </c>
      <c r="AE12" s="46">
        <v>42224801.149999999</v>
      </c>
      <c r="AF12" s="1">
        <v>41620620.830000013</v>
      </c>
      <c r="AG12" s="1">
        <v>41620620.830000013</v>
      </c>
      <c r="AH12" s="46">
        <v>38727947.140000001</v>
      </c>
      <c r="AI12" s="1">
        <v>35408761.950000003</v>
      </c>
      <c r="AJ12" s="1">
        <v>32366909.670000002</v>
      </c>
      <c r="AK12" s="46">
        <v>30553653.879999999</v>
      </c>
      <c r="AL12" s="1">
        <v>28500181.800000001</v>
      </c>
      <c r="AM12" s="1">
        <v>24298679.559999999</v>
      </c>
      <c r="AN12" s="46">
        <v>20048866.25</v>
      </c>
      <c r="AO12" s="1">
        <v>19646556.670000009</v>
      </c>
      <c r="AP12" s="1">
        <v>19098746.300000001</v>
      </c>
      <c r="AQ12" s="46">
        <v>16858028.010000002</v>
      </c>
      <c r="AR12" s="1">
        <v>16858028.010000002</v>
      </c>
      <c r="AS12" s="1">
        <v>16297968.689999999</v>
      </c>
      <c r="AT12" s="46">
        <v>13330121.460000001</v>
      </c>
      <c r="AU12" s="1">
        <v>13330121.460000001</v>
      </c>
      <c r="AV12" s="1">
        <v>13330121.460000001</v>
      </c>
      <c r="AW12" s="46">
        <v>11697763.48</v>
      </c>
      <c r="AX12" s="1">
        <v>9984963.620000001</v>
      </c>
      <c r="AY12" s="1">
        <v>8307271.6999999993</v>
      </c>
      <c r="AZ12" s="46">
        <v>7293582.5599999996</v>
      </c>
      <c r="BA12" s="1">
        <v>6727607.4800000004</v>
      </c>
      <c r="BB12" s="1">
        <v>6727607.4800000004</v>
      </c>
      <c r="BC12" s="46">
        <v>4988847.29</v>
      </c>
      <c r="BD12" s="1">
        <v>4988847.29</v>
      </c>
      <c r="BE12" s="1">
        <v>4988847.29</v>
      </c>
      <c r="BF12" s="46">
        <v>4988847.29</v>
      </c>
      <c r="BG12" s="1">
        <v>4988847.29</v>
      </c>
      <c r="BH12" s="1">
        <v>437774.24</v>
      </c>
      <c r="BI12" s="46">
        <v>218887.12</v>
      </c>
      <c r="BJ12" s="1">
        <v>0</v>
      </c>
      <c r="BK12" s="1">
        <v>0</v>
      </c>
      <c r="BL12">
        <v>0</v>
      </c>
    </row>
    <row r="13" spans="1:64" ht="15.5" x14ac:dyDescent="0.35">
      <c r="A13" t="s">
        <v>75</v>
      </c>
      <c r="B13" s="1">
        <v>78646427.539999992</v>
      </c>
      <c r="C13" s="1">
        <v>77748632.049999982</v>
      </c>
      <c r="D13" s="46">
        <v>76110964.359999999</v>
      </c>
      <c r="E13" s="1">
        <v>74122381.61999999</v>
      </c>
      <c r="F13" s="1">
        <v>71309641.499999985</v>
      </c>
      <c r="G13" s="46">
        <v>70077365.36999999</v>
      </c>
      <c r="H13" s="1">
        <v>68566990.589999989</v>
      </c>
      <c r="I13" s="1">
        <v>66878293.030000001</v>
      </c>
      <c r="J13" s="46">
        <v>64058087.279999986</v>
      </c>
      <c r="K13" s="1">
        <v>62392678.38000001</v>
      </c>
      <c r="L13" s="1">
        <v>60830512.209999993</v>
      </c>
      <c r="M13" s="46">
        <v>59363390.070000008</v>
      </c>
      <c r="N13" s="1">
        <v>57960362.819999993</v>
      </c>
      <c r="O13" s="1">
        <v>56815088.880000003</v>
      </c>
      <c r="P13" s="46">
        <v>55373905.5</v>
      </c>
      <c r="Q13" s="1">
        <v>53938020.99000001</v>
      </c>
      <c r="R13" s="1">
        <v>51903528.790000007</v>
      </c>
      <c r="S13" s="46">
        <v>50717697.190000013</v>
      </c>
      <c r="T13" s="1">
        <v>49614751.220000014</v>
      </c>
      <c r="U13" s="1">
        <v>48378891.030000001</v>
      </c>
      <c r="V13" s="46">
        <v>46468868.24000001</v>
      </c>
      <c r="W13" s="1">
        <v>43871660.980000012</v>
      </c>
      <c r="X13" s="1">
        <v>42813182.770000011</v>
      </c>
      <c r="Y13" s="46">
        <v>40808344.969999999</v>
      </c>
      <c r="Z13" s="1">
        <v>38700514.970000014</v>
      </c>
      <c r="AA13" s="1">
        <v>37534665.159999996</v>
      </c>
      <c r="AB13" s="46">
        <v>35882639.380000003</v>
      </c>
      <c r="AC13" s="1">
        <v>34426077.280000009</v>
      </c>
      <c r="AD13" s="1">
        <v>29064244.089999989</v>
      </c>
      <c r="AE13" s="46">
        <v>23808152.920000002</v>
      </c>
      <c r="AF13" s="1">
        <v>23048195.68</v>
      </c>
      <c r="AG13" s="1">
        <v>22623816.16</v>
      </c>
      <c r="AH13" s="46">
        <v>20646987.339999989</v>
      </c>
      <c r="AI13" s="1">
        <v>18634432.879999999</v>
      </c>
      <c r="AJ13" s="1">
        <v>16845198.649999999</v>
      </c>
      <c r="AK13" s="46">
        <v>15458882.93999999</v>
      </c>
      <c r="AL13" s="1">
        <v>14485406.23</v>
      </c>
      <c r="AM13" s="1">
        <v>12402828.25</v>
      </c>
      <c r="AN13" s="46">
        <v>9991492.2099999972</v>
      </c>
      <c r="AO13" s="1">
        <v>9589760.700000003</v>
      </c>
      <c r="AP13" s="1">
        <v>9110545.0400000028</v>
      </c>
      <c r="AQ13" s="46">
        <v>7818095.5900000008</v>
      </c>
      <c r="AR13" s="1">
        <v>7633921.8600000003</v>
      </c>
      <c r="AS13" s="1">
        <v>7205349.8399999999</v>
      </c>
      <c r="AT13" s="46">
        <v>5916481.5599999996</v>
      </c>
      <c r="AU13" s="1">
        <v>5767434.7499999991</v>
      </c>
      <c r="AV13" s="1">
        <v>5618387.9399999985</v>
      </c>
      <c r="AW13" s="46">
        <v>4993354.8299999991</v>
      </c>
      <c r="AX13" s="1">
        <v>4154773.7600000012</v>
      </c>
      <c r="AY13" s="1">
        <v>3270112.51</v>
      </c>
      <c r="AZ13" s="46">
        <v>2682303.379999999</v>
      </c>
      <c r="BA13" s="1">
        <v>2386332.4299999988</v>
      </c>
      <c r="BB13" s="1">
        <v>2304654.08</v>
      </c>
      <c r="BC13" s="46">
        <v>1536918.79</v>
      </c>
      <c r="BD13" s="1">
        <v>1472886.77</v>
      </c>
      <c r="BE13" s="1">
        <v>1408854.75</v>
      </c>
      <c r="BF13" s="46">
        <v>1344822.73</v>
      </c>
      <c r="BG13" s="1">
        <v>1280790.71</v>
      </c>
      <c r="BH13" s="1">
        <v>101340.6</v>
      </c>
      <c r="BI13" s="46">
        <v>50670.299999999988</v>
      </c>
      <c r="BJ13" s="1">
        <v>0</v>
      </c>
      <c r="BK13" s="1">
        <v>0</v>
      </c>
      <c r="BL13">
        <v>0</v>
      </c>
    </row>
    <row r="14" spans="1:64" ht="15.5" x14ac:dyDescent="0.35">
      <c r="A14" t="s">
        <v>76</v>
      </c>
      <c r="B14" s="1">
        <v>0</v>
      </c>
      <c r="C14" s="1">
        <v>0</v>
      </c>
      <c r="D14" s="46">
        <v>0</v>
      </c>
      <c r="E14" s="1">
        <v>0</v>
      </c>
      <c r="F14" s="1">
        <v>0</v>
      </c>
      <c r="G14" s="46">
        <v>0</v>
      </c>
      <c r="H14" s="1">
        <v>0</v>
      </c>
      <c r="I14" s="1">
        <v>0</v>
      </c>
      <c r="J14" s="46">
        <v>0</v>
      </c>
      <c r="K14" s="1">
        <v>0</v>
      </c>
      <c r="L14" s="1">
        <v>0</v>
      </c>
      <c r="M14" s="46">
        <v>0</v>
      </c>
      <c r="N14" s="1">
        <v>0</v>
      </c>
      <c r="O14" s="1">
        <v>0</v>
      </c>
      <c r="P14" s="46">
        <v>0</v>
      </c>
      <c r="Q14" s="1">
        <v>0</v>
      </c>
      <c r="R14" s="1">
        <v>0</v>
      </c>
      <c r="S14" s="46">
        <v>0</v>
      </c>
      <c r="T14" s="1">
        <v>0</v>
      </c>
      <c r="U14" s="1">
        <v>0</v>
      </c>
      <c r="V14" s="46">
        <v>0</v>
      </c>
      <c r="W14" s="1">
        <v>0</v>
      </c>
      <c r="X14" s="1">
        <v>0</v>
      </c>
      <c r="Y14" s="46">
        <v>0</v>
      </c>
      <c r="Z14" s="1">
        <v>0</v>
      </c>
      <c r="AA14" s="1">
        <v>0</v>
      </c>
      <c r="AB14" s="46">
        <v>0</v>
      </c>
      <c r="AC14" s="1">
        <v>0</v>
      </c>
      <c r="AD14" s="1">
        <v>0</v>
      </c>
      <c r="AE14" s="46">
        <v>0</v>
      </c>
      <c r="AF14" s="1">
        <v>0</v>
      </c>
      <c r="AG14" s="1">
        <v>0</v>
      </c>
      <c r="AH14" s="46">
        <v>0</v>
      </c>
      <c r="AI14" s="1">
        <v>0</v>
      </c>
      <c r="AJ14" s="1">
        <v>0</v>
      </c>
      <c r="AK14" s="46">
        <v>0</v>
      </c>
      <c r="AL14" s="1">
        <v>0</v>
      </c>
      <c r="AM14" s="1">
        <v>0</v>
      </c>
      <c r="AN14" s="46">
        <v>0</v>
      </c>
      <c r="AO14" s="1">
        <v>0</v>
      </c>
      <c r="AP14" s="1">
        <v>0</v>
      </c>
      <c r="AQ14" s="46">
        <v>0</v>
      </c>
      <c r="AR14" s="1">
        <v>0</v>
      </c>
      <c r="AS14" s="1">
        <v>0</v>
      </c>
      <c r="AT14" s="46">
        <v>0</v>
      </c>
      <c r="AU14" s="1">
        <v>0</v>
      </c>
      <c r="AV14" s="1">
        <v>0</v>
      </c>
      <c r="AW14" s="46">
        <v>0</v>
      </c>
      <c r="AX14" s="1">
        <v>0</v>
      </c>
      <c r="AY14" s="1">
        <v>0</v>
      </c>
      <c r="AZ14" s="46">
        <v>0</v>
      </c>
      <c r="BA14" s="1">
        <v>0</v>
      </c>
      <c r="BB14" s="1">
        <v>0</v>
      </c>
      <c r="BC14" s="46">
        <v>0</v>
      </c>
      <c r="BD14" s="1">
        <v>0</v>
      </c>
      <c r="BE14" s="1">
        <v>0</v>
      </c>
      <c r="BF14" s="46">
        <v>0</v>
      </c>
      <c r="BG14" s="1">
        <v>0</v>
      </c>
      <c r="BH14" s="1">
        <v>0</v>
      </c>
      <c r="BI14" s="46">
        <v>0</v>
      </c>
      <c r="BJ14" s="1">
        <v>0</v>
      </c>
      <c r="BK14" s="1">
        <v>0</v>
      </c>
      <c r="BL14">
        <v>0</v>
      </c>
    </row>
    <row r="15" spans="1:64" ht="15.5" x14ac:dyDescent="0.35">
      <c r="A15" t="s">
        <v>77</v>
      </c>
      <c r="B15" s="1">
        <v>0</v>
      </c>
      <c r="C15" s="1">
        <v>8</v>
      </c>
      <c r="D15" s="46">
        <v>1</v>
      </c>
      <c r="E15" s="1">
        <v>7</v>
      </c>
      <c r="F15" s="1">
        <v>10</v>
      </c>
      <c r="G15" s="46">
        <v>0</v>
      </c>
      <c r="H15" s="1">
        <v>1</v>
      </c>
      <c r="I15" s="1">
        <v>3</v>
      </c>
      <c r="J15" s="46">
        <v>7</v>
      </c>
      <c r="K15" s="1">
        <v>1</v>
      </c>
      <c r="L15" s="1">
        <v>2</v>
      </c>
      <c r="M15" s="46">
        <v>3</v>
      </c>
      <c r="N15" s="1">
        <v>1</v>
      </c>
      <c r="O15" s="1">
        <v>0</v>
      </c>
      <c r="P15" s="46">
        <v>1</v>
      </c>
      <c r="Q15" s="1">
        <v>3</v>
      </c>
      <c r="R15" s="1">
        <v>4</v>
      </c>
      <c r="S15" s="46">
        <v>1</v>
      </c>
      <c r="T15" s="1">
        <v>0</v>
      </c>
      <c r="U15" s="1">
        <v>1</v>
      </c>
      <c r="V15" s="46">
        <v>2</v>
      </c>
      <c r="W15" s="1">
        <v>4</v>
      </c>
      <c r="X15" s="1">
        <v>0</v>
      </c>
      <c r="Y15" s="46">
        <v>4</v>
      </c>
      <c r="Z15" s="1">
        <v>5</v>
      </c>
      <c r="AA15" s="1">
        <v>1</v>
      </c>
      <c r="AB15" s="46">
        <v>2</v>
      </c>
      <c r="AC15" s="1">
        <v>2</v>
      </c>
      <c r="AD15" s="1">
        <v>14</v>
      </c>
      <c r="AE15" s="46">
        <v>10</v>
      </c>
      <c r="AF15" s="1">
        <v>1</v>
      </c>
      <c r="AG15" s="1">
        <v>0</v>
      </c>
      <c r="AH15" s="46">
        <v>5</v>
      </c>
      <c r="AI15" s="1">
        <v>6</v>
      </c>
      <c r="AJ15" s="1">
        <v>6</v>
      </c>
      <c r="AK15" s="46">
        <v>4</v>
      </c>
      <c r="AL15" s="1">
        <v>2</v>
      </c>
      <c r="AM15" s="1">
        <v>14</v>
      </c>
      <c r="AN15" s="46">
        <v>10</v>
      </c>
      <c r="AO15" s="1">
        <v>2</v>
      </c>
      <c r="AP15" s="1">
        <v>1</v>
      </c>
      <c r="AQ15" s="46">
        <v>4</v>
      </c>
      <c r="AR15" s="1">
        <v>0</v>
      </c>
      <c r="AS15" s="1">
        <v>1</v>
      </c>
      <c r="AT15" s="46">
        <v>6</v>
      </c>
      <c r="AU15" s="1">
        <v>0</v>
      </c>
      <c r="AV15" s="1">
        <v>0</v>
      </c>
      <c r="AW15" s="46">
        <v>2</v>
      </c>
      <c r="AX15" s="1">
        <v>3</v>
      </c>
      <c r="AY15" s="1">
        <v>3</v>
      </c>
      <c r="AZ15" s="46">
        <v>2</v>
      </c>
      <c r="BA15" s="1">
        <v>1</v>
      </c>
      <c r="BB15" s="1">
        <v>0</v>
      </c>
      <c r="BC15" s="46">
        <v>3</v>
      </c>
      <c r="BD15" s="1">
        <v>0</v>
      </c>
      <c r="BE15" s="1">
        <v>0</v>
      </c>
      <c r="BF15" s="46">
        <v>0</v>
      </c>
      <c r="BG15" s="1">
        <v>0</v>
      </c>
      <c r="BH15" s="1">
        <v>2</v>
      </c>
      <c r="BI15" s="46">
        <v>1</v>
      </c>
      <c r="BJ15" s="1">
        <v>1</v>
      </c>
      <c r="BK15" s="1">
        <v>0</v>
      </c>
      <c r="BL15">
        <v>0</v>
      </c>
    </row>
    <row r="16" spans="1:64" ht="15.5" x14ac:dyDescent="0.35">
      <c r="A16" t="s">
        <v>78</v>
      </c>
      <c r="B16" s="1">
        <v>0</v>
      </c>
      <c r="C16" s="1">
        <v>0</v>
      </c>
      <c r="D16" s="46">
        <v>0</v>
      </c>
      <c r="E16" s="1">
        <v>0</v>
      </c>
      <c r="F16" s="1">
        <v>0</v>
      </c>
      <c r="G16" s="46">
        <v>0</v>
      </c>
      <c r="H16" s="1">
        <v>0</v>
      </c>
      <c r="I16" s="1">
        <v>0</v>
      </c>
      <c r="J16" s="46">
        <v>0</v>
      </c>
      <c r="K16" s="1">
        <v>1</v>
      </c>
      <c r="L16" s="1">
        <v>0</v>
      </c>
      <c r="M16" s="46">
        <v>0</v>
      </c>
      <c r="N16" s="1">
        <v>0</v>
      </c>
      <c r="O16" s="1">
        <v>0</v>
      </c>
      <c r="P16" s="46">
        <v>0</v>
      </c>
      <c r="Q16" s="1">
        <v>0</v>
      </c>
      <c r="R16" s="1">
        <v>0</v>
      </c>
      <c r="S16" s="46">
        <v>0</v>
      </c>
      <c r="T16" s="1">
        <v>0</v>
      </c>
      <c r="U16" s="1">
        <v>0</v>
      </c>
      <c r="V16" s="46">
        <v>0</v>
      </c>
      <c r="W16" s="1">
        <v>0</v>
      </c>
      <c r="X16" s="1">
        <v>0</v>
      </c>
      <c r="Y16" s="46">
        <v>0</v>
      </c>
      <c r="Z16" s="1">
        <v>1</v>
      </c>
      <c r="AA16" s="1">
        <v>0</v>
      </c>
      <c r="AB16" s="46">
        <v>0</v>
      </c>
      <c r="AC16" s="1">
        <v>0</v>
      </c>
      <c r="AD16" s="1">
        <v>0</v>
      </c>
      <c r="AE16" s="46">
        <v>5</v>
      </c>
      <c r="AF16" s="1">
        <v>0</v>
      </c>
      <c r="AG16" s="1">
        <v>0</v>
      </c>
      <c r="AH16" s="46">
        <v>0</v>
      </c>
      <c r="AI16" s="1">
        <v>0</v>
      </c>
      <c r="AJ16" s="1">
        <v>0</v>
      </c>
      <c r="AK16" s="46">
        <v>0</v>
      </c>
      <c r="AL16" s="1">
        <v>1</v>
      </c>
      <c r="AM16" s="1">
        <v>0</v>
      </c>
      <c r="AN16" s="46">
        <v>0</v>
      </c>
      <c r="AO16" s="1">
        <v>0</v>
      </c>
      <c r="AP16" s="1">
        <v>0</v>
      </c>
      <c r="AQ16" s="46">
        <v>0</v>
      </c>
      <c r="AR16" s="1">
        <v>0</v>
      </c>
      <c r="AS16" s="1">
        <v>0</v>
      </c>
      <c r="AT16" s="46">
        <v>0</v>
      </c>
      <c r="AU16" s="1">
        <v>0</v>
      </c>
      <c r="AV16" s="1">
        <v>0</v>
      </c>
      <c r="AW16" s="46">
        <v>0</v>
      </c>
      <c r="AX16" s="1">
        <v>0</v>
      </c>
      <c r="AY16" s="1">
        <v>0</v>
      </c>
      <c r="AZ16" s="46">
        <v>0</v>
      </c>
      <c r="BA16" s="1">
        <v>0</v>
      </c>
      <c r="BB16" s="1">
        <v>0</v>
      </c>
      <c r="BC16" s="46">
        <v>0</v>
      </c>
      <c r="BD16" s="1">
        <v>0</v>
      </c>
      <c r="BE16" s="1">
        <v>0</v>
      </c>
      <c r="BF16" s="46">
        <v>0</v>
      </c>
      <c r="BG16" s="1">
        <v>0</v>
      </c>
      <c r="BH16" s="1">
        <v>1</v>
      </c>
      <c r="BI16" s="46">
        <v>0</v>
      </c>
      <c r="BJ16" s="1">
        <v>0</v>
      </c>
      <c r="BK16" s="1">
        <v>0</v>
      </c>
      <c r="BL1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L16"/>
  <sheetViews>
    <sheetView workbookViewId="0"/>
  </sheetViews>
  <sheetFormatPr defaultRowHeight="14.5" x14ac:dyDescent="0.35"/>
  <cols>
    <col min="1" max="1" width="13" bestFit="1" customWidth="1"/>
    <col min="2" max="3" width="13" hidden="1" bestFit="1" customWidth="1"/>
    <col min="4" max="4" width="13" bestFit="1" customWidth="1"/>
    <col min="5" max="6" width="13" hidden="1" bestFit="1" customWidth="1"/>
    <col min="7" max="7" width="13" bestFit="1" customWidth="1"/>
    <col min="8" max="9" width="13" hidden="1" bestFit="1" customWidth="1"/>
    <col min="10" max="10" width="13" bestFit="1" customWidth="1"/>
    <col min="11" max="12" width="13" hidden="1" bestFit="1" customWidth="1"/>
    <col min="13" max="13" width="13" bestFit="1" customWidth="1"/>
    <col min="14" max="15" width="13" hidden="1" bestFit="1" customWidth="1"/>
    <col min="16" max="16" width="13" bestFit="1" customWidth="1"/>
    <col min="17" max="18" width="13" hidden="1" bestFit="1" customWidth="1"/>
    <col min="19" max="19" width="13" bestFit="1" customWidth="1"/>
    <col min="20" max="21" width="13" hidden="1" bestFit="1" customWidth="1"/>
    <col min="22" max="22" width="13" bestFit="1" customWidth="1"/>
    <col min="23" max="24" width="13" hidden="1" bestFit="1" customWidth="1"/>
    <col min="25" max="25" width="13" bestFit="1" customWidth="1"/>
    <col min="26" max="27" width="13" hidden="1" bestFit="1" customWidth="1"/>
    <col min="28" max="28" width="13" bestFit="1" customWidth="1"/>
    <col min="29" max="30" width="13" hidden="1" bestFit="1" customWidth="1"/>
    <col min="31" max="31" width="13" bestFit="1" customWidth="1"/>
    <col min="32" max="33" width="13" hidden="1" bestFit="1" customWidth="1"/>
    <col min="34" max="34" width="13" bestFit="1" customWidth="1"/>
    <col min="35" max="36" width="13" hidden="1" bestFit="1" customWidth="1"/>
    <col min="37" max="37" width="13" bestFit="1" customWidth="1"/>
    <col min="38" max="39" width="13" hidden="1" bestFit="1" customWidth="1"/>
    <col min="40" max="40" width="13" bestFit="1" customWidth="1"/>
    <col min="41" max="42" width="13" hidden="1" bestFit="1" customWidth="1"/>
    <col min="43" max="43" width="13" bestFit="1" customWidth="1"/>
    <col min="44" max="45" width="13" hidden="1" bestFit="1" customWidth="1"/>
    <col min="46" max="46" width="13" bestFit="1" customWidth="1"/>
    <col min="47" max="48" width="13" hidden="1" bestFit="1" customWidth="1"/>
    <col min="49" max="49" width="13" bestFit="1" customWidth="1"/>
    <col min="50" max="51" width="13" hidden="1" bestFit="1" customWidth="1"/>
    <col min="52" max="52" width="13" bestFit="1" customWidth="1"/>
    <col min="53" max="54" width="13" hidden="1" bestFit="1" customWidth="1"/>
    <col min="55" max="55" width="13" bestFit="1" customWidth="1"/>
    <col min="56" max="57" width="13" hidden="1" bestFit="1" customWidth="1"/>
    <col min="58" max="58" width="13" bestFit="1" customWidth="1"/>
    <col min="59" max="60" width="13" hidden="1" bestFit="1" customWidth="1"/>
    <col min="61" max="61" width="13" bestFit="1" customWidth="1"/>
    <col min="62" max="62" width="13" hidden="1" bestFit="1" customWidth="1"/>
  </cols>
  <sheetData>
    <row r="1" spans="1:64" x14ac:dyDescent="0.35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t="s">
        <v>5</v>
      </c>
      <c r="G1" s="16" t="s">
        <v>6</v>
      </c>
      <c r="H1" t="s">
        <v>7</v>
      </c>
      <c r="I1" t="s">
        <v>8</v>
      </c>
      <c r="J1" s="16" t="s">
        <v>9</v>
      </c>
      <c r="K1" t="s">
        <v>10</v>
      </c>
      <c r="L1" t="s">
        <v>11</v>
      </c>
      <c r="M1" s="16" t="s">
        <v>12</v>
      </c>
      <c r="N1" t="s">
        <v>13</v>
      </c>
      <c r="O1" t="s">
        <v>14</v>
      </c>
      <c r="P1" s="16" t="s">
        <v>15</v>
      </c>
      <c r="Q1" t="s">
        <v>16</v>
      </c>
      <c r="R1" t="s">
        <v>17</v>
      </c>
      <c r="S1" s="16" t="s">
        <v>18</v>
      </c>
      <c r="T1" t="s">
        <v>19</v>
      </c>
      <c r="U1" t="s">
        <v>20</v>
      </c>
      <c r="V1" s="16" t="s">
        <v>21</v>
      </c>
      <c r="W1" t="s">
        <v>22</v>
      </c>
      <c r="X1" t="s">
        <v>23</v>
      </c>
      <c r="Y1" s="16" t="s">
        <v>24</v>
      </c>
      <c r="Z1" t="s">
        <v>25</v>
      </c>
      <c r="AA1" t="s">
        <v>26</v>
      </c>
      <c r="AB1" s="16" t="s">
        <v>27</v>
      </c>
      <c r="AC1" t="s">
        <v>28</v>
      </c>
      <c r="AD1" t="s">
        <v>29</v>
      </c>
      <c r="AE1" s="16" t="s">
        <v>30</v>
      </c>
      <c r="AF1" t="s">
        <v>31</v>
      </c>
      <c r="AG1" t="s">
        <v>32</v>
      </c>
      <c r="AH1" s="16" t="s">
        <v>33</v>
      </c>
      <c r="AI1" t="s">
        <v>34</v>
      </c>
      <c r="AJ1" t="s">
        <v>35</v>
      </c>
      <c r="AK1" s="16" t="s">
        <v>36</v>
      </c>
      <c r="AL1" t="s">
        <v>37</v>
      </c>
      <c r="AM1" t="s">
        <v>38</v>
      </c>
      <c r="AN1" s="16" t="s">
        <v>39</v>
      </c>
      <c r="AO1" t="s">
        <v>40</v>
      </c>
      <c r="AP1" t="s">
        <v>41</v>
      </c>
      <c r="AQ1" s="16" t="s">
        <v>42</v>
      </c>
      <c r="AR1" t="s">
        <v>43</v>
      </c>
      <c r="AS1" t="s">
        <v>44</v>
      </c>
      <c r="AT1" s="16" t="s">
        <v>45</v>
      </c>
      <c r="AU1" t="s">
        <v>46</v>
      </c>
      <c r="AV1" t="s">
        <v>47</v>
      </c>
      <c r="AW1" s="16" t="s">
        <v>48</v>
      </c>
      <c r="AX1" t="s">
        <v>49</v>
      </c>
      <c r="AY1" t="s">
        <v>50</v>
      </c>
      <c r="AZ1" s="16" t="s">
        <v>51</v>
      </c>
      <c r="BA1" t="s">
        <v>52</v>
      </c>
      <c r="BB1" t="s">
        <v>53</v>
      </c>
      <c r="BC1" s="16" t="s">
        <v>54</v>
      </c>
      <c r="BD1" t="s">
        <v>55</v>
      </c>
      <c r="BE1" t="s">
        <v>56</v>
      </c>
      <c r="BF1" s="16" t="s">
        <v>57</v>
      </c>
      <c r="BG1" t="s">
        <v>58</v>
      </c>
      <c r="BH1" t="s">
        <v>59</v>
      </c>
      <c r="BI1" s="16" t="s">
        <v>60</v>
      </c>
      <c r="BJ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1">
        <v>489</v>
      </c>
      <c r="C2" s="1">
        <v>455</v>
      </c>
      <c r="D2" s="46">
        <v>446</v>
      </c>
      <c r="E2" s="1">
        <v>438</v>
      </c>
      <c r="F2" s="1">
        <v>430</v>
      </c>
      <c r="G2" s="46">
        <v>419</v>
      </c>
      <c r="H2" s="1">
        <v>407</v>
      </c>
      <c r="I2" s="1">
        <v>403</v>
      </c>
      <c r="J2" s="46">
        <v>392</v>
      </c>
      <c r="K2" s="1">
        <v>384</v>
      </c>
      <c r="L2" s="1">
        <v>375</v>
      </c>
      <c r="M2" s="46">
        <v>370</v>
      </c>
      <c r="N2" s="1">
        <v>360</v>
      </c>
      <c r="O2" s="1">
        <v>358</v>
      </c>
      <c r="P2" s="46">
        <v>352</v>
      </c>
      <c r="Q2" s="1">
        <v>345</v>
      </c>
      <c r="R2" s="1">
        <v>337</v>
      </c>
      <c r="S2" s="46">
        <v>334</v>
      </c>
      <c r="T2" s="1">
        <v>326</v>
      </c>
      <c r="U2" s="1">
        <v>319</v>
      </c>
      <c r="V2" s="46">
        <v>317</v>
      </c>
      <c r="W2" s="1">
        <v>315</v>
      </c>
      <c r="X2" s="1">
        <v>308</v>
      </c>
      <c r="Y2" s="46">
        <v>302</v>
      </c>
      <c r="Z2" s="1">
        <v>278</v>
      </c>
      <c r="AA2" s="1">
        <v>271</v>
      </c>
      <c r="AB2" s="46">
        <v>265</v>
      </c>
      <c r="AC2" s="1">
        <v>259</v>
      </c>
      <c r="AD2" s="1">
        <v>207</v>
      </c>
      <c r="AE2" s="46">
        <v>195</v>
      </c>
      <c r="AF2" s="1">
        <v>158</v>
      </c>
      <c r="AG2" s="1">
        <v>138</v>
      </c>
      <c r="AH2" s="46">
        <v>124</v>
      </c>
      <c r="AI2" s="1">
        <v>121</v>
      </c>
      <c r="AJ2" s="1">
        <v>118</v>
      </c>
      <c r="AK2" s="46">
        <v>114</v>
      </c>
      <c r="AL2" s="1">
        <v>112</v>
      </c>
      <c r="AM2" s="1">
        <v>108</v>
      </c>
      <c r="AN2" s="46">
        <v>102</v>
      </c>
      <c r="AO2" s="1">
        <v>97</v>
      </c>
      <c r="AP2" s="1">
        <v>85</v>
      </c>
      <c r="AQ2" s="46">
        <v>84</v>
      </c>
      <c r="AR2" s="1">
        <v>74</v>
      </c>
      <c r="AS2" s="1">
        <v>71</v>
      </c>
      <c r="AT2" s="46">
        <v>70</v>
      </c>
      <c r="AU2" s="1">
        <v>69</v>
      </c>
      <c r="AV2" s="1">
        <v>66</v>
      </c>
      <c r="AW2" s="46">
        <v>53</v>
      </c>
      <c r="AX2" s="1">
        <v>41</v>
      </c>
      <c r="AY2" s="1">
        <v>38</v>
      </c>
      <c r="AZ2" s="46">
        <v>36</v>
      </c>
      <c r="BA2" s="1">
        <v>33</v>
      </c>
      <c r="BB2" s="1">
        <v>29</v>
      </c>
      <c r="BC2" s="46">
        <v>25</v>
      </c>
      <c r="BD2" s="1">
        <v>24</v>
      </c>
      <c r="BE2" s="1">
        <v>20</v>
      </c>
      <c r="BF2" s="46">
        <v>13</v>
      </c>
      <c r="BG2" s="1">
        <v>12</v>
      </c>
      <c r="BH2" s="1">
        <v>9</v>
      </c>
      <c r="BI2" s="46">
        <v>5</v>
      </c>
      <c r="BJ2" s="1">
        <v>0</v>
      </c>
      <c r="BK2" s="1">
        <v>0</v>
      </c>
      <c r="BL2">
        <v>0</v>
      </c>
    </row>
    <row r="3" spans="1:64" ht="15.5" x14ac:dyDescent="0.35">
      <c r="A3" t="s">
        <v>65</v>
      </c>
      <c r="B3" s="1">
        <v>280</v>
      </c>
      <c r="C3" s="1">
        <v>280</v>
      </c>
      <c r="D3" s="46">
        <v>280</v>
      </c>
      <c r="E3" s="1">
        <v>279</v>
      </c>
      <c r="F3" s="1">
        <v>279</v>
      </c>
      <c r="G3" s="46">
        <v>273</v>
      </c>
      <c r="H3" s="1">
        <v>262</v>
      </c>
      <c r="I3" s="1">
        <v>262</v>
      </c>
      <c r="J3" s="46">
        <v>258</v>
      </c>
      <c r="K3" s="1">
        <v>258</v>
      </c>
      <c r="L3" s="1">
        <v>258</v>
      </c>
      <c r="M3" s="46">
        <v>258</v>
      </c>
      <c r="N3" s="1">
        <v>258</v>
      </c>
      <c r="O3" s="1">
        <v>258</v>
      </c>
      <c r="P3" s="46">
        <v>253</v>
      </c>
      <c r="Q3" s="1">
        <v>228</v>
      </c>
      <c r="R3" s="1">
        <v>226</v>
      </c>
      <c r="S3" s="46">
        <v>226</v>
      </c>
      <c r="T3" s="1">
        <v>222</v>
      </c>
      <c r="U3" s="1">
        <v>222</v>
      </c>
      <c r="V3" s="46">
        <v>221</v>
      </c>
      <c r="W3" s="1">
        <v>215</v>
      </c>
      <c r="X3" s="1">
        <v>198</v>
      </c>
      <c r="Y3" s="46">
        <v>198</v>
      </c>
      <c r="Z3" s="1">
        <v>185</v>
      </c>
      <c r="AA3" s="1">
        <v>180</v>
      </c>
      <c r="AB3" s="46">
        <v>179</v>
      </c>
      <c r="AC3" s="1">
        <v>171</v>
      </c>
      <c r="AD3" s="1">
        <v>164</v>
      </c>
      <c r="AE3" s="46">
        <v>157</v>
      </c>
      <c r="AF3" s="1">
        <v>149</v>
      </c>
      <c r="AG3" s="1">
        <v>144</v>
      </c>
      <c r="AH3" s="46">
        <v>141</v>
      </c>
      <c r="AI3" s="1">
        <v>137</v>
      </c>
      <c r="AJ3" s="1">
        <v>118</v>
      </c>
      <c r="AK3" s="46">
        <v>115</v>
      </c>
      <c r="AL3" s="1">
        <v>103</v>
      </c>
      <c r="AM3" s="1">
        <v>103</v>
      </c>
      <c r="AN3" s="46">
        <v>102</v>
      </c>
      <c r="AO3" s="1">
        <v>93</v>
      </c>
      <c r="AP3" s="1">
        <v>67</v>
      </c>
      <c r="AQ3" s="46">
        <v>59</v>
      </c>
      <c r="AR3" s="1">
        <v>51</v>
      </c>
      <c r="AS3" s="1">
        <v>51</v>
      </c>
      <c r="AT3" s="46">
        <v>43</v>
      </c>
      <c r="AU3" s="1">
        <v>40</v>
      </c>
      <c r="AV3" s="1">
        <v>36</v>
      </c>
      <c r="AW3" s="46">
        <v>21</v>
      </c>
      <c r="AX3" s="1">
        <v>20</v>
      </c>
      <c r="AY3" s="1">
        <v>20</v>
      </c>
      <c r="AZ3" s="46">
        <v>19</v>
      </c>
      <c r="BA3" s="1">
        <v>19</v>
      </c>
      <c r="BB3" s="1">
        <v>14</v>
      </c>
      <c r="BC3" s="46">
        <v>13</v>
      </c>
      <c r="BD3" s="1">
        <v>10</v>
      </c>
      <c r="BE3" s="1">
        <v>6</v>
      </c>
      <c r="BF3" s="46">
        <v>6</v>
      </c>
      <c r="BG3" s="1">
        <v>6</v>
      </c>
      <c r="BH3" s="1">
        <v>6</v>
      </c>
      <c r="BI3" s="46">
        <v>6</v>
      </c>
      <c r="BJ3" s="1">
        <v>6</v>
      </c>
      <c r="BK3" s="1">
        <v>6</v>
      </c>
      <c r="BL3">
        <v>4</v>
      </c>
    </row>
    <row r="4" spans="1:64" ht="15.5" x14ac:dyDescent="0.35">
      <c r="A4" t="s">
        <v>66</v>
      </c>
      <c r="B4" s="1">
        <v>0</v>
      </c>
      <c r="C4" s="1">
        <v>0</v>
      </c>
      <c r="D4" s="46">
        <v>0</v>
      </c>
      <c r="E4" s="1">
        <v>0</v>
      </c>
      <c r="F4" s="1">
        <v>0</v>
      </c>
      <c r="G4" s="46">
        <v>0</v>
      </c>
      <c r="H4" s="1">
        <v>0</v>
      </c>
      <c r="I4" s="1">
        <v>0</v>
      </c>
      <c r="J4" s="46">
        <v>0</v>
      </c>
      <c r="K4" s="1">
        <v>0</v>
      </c>
      <c r="L4" s="1">
        <v>0</v>
      </c>
      <c r="M4" s="46">
        <v>0</v>
      </c>
      <c r="N4" s="1">
        <v>0</v>
      </c>
      <c r="O4" s="1">
        <v>0</v>
      </c>
      <c r="P4" s="46">
        <v>0</v>
      </c>
      <c r="Q4" s="1">
        <v>0</v>
      </c>
      <c r="R4" s="1">
        <v>0</v>
      </c>
      <c r="S4" s="46">
        <v>0</v>
      </c>
      <c r="T4" s="1">
        <v>0</v>
      </c>
      <c r="U4" s="1">
        <v>0</v>
      </c>
      <c r="V4" s="46">
        <v>0</v>
      </c>
      <c r="W4" s="1">
        <v>0</v>
      </c>
      <c r="X4" s="1">
        <v>0</v>
      </c>
      <c r="Y4" s="46">
        <v>0</v>
      </c>
      <c r="Z4" s="1">
        <v>0</v>
      </c>
      <c r="AA4" s="1">
        <v>0</v>
      </c>
      <c r="AB4" s="46">
        <v>0</v>
      </c>
      <c r="AC4" s="1">
        <v>0</v>
      </c>
      <c r="AD4" s="1">
        <v>0</v>
      </c>
      <c r="AE4" s="46">
        <v>0</v>
      </c>
      <c r="AF4" s="1">
        <v>0</v>
      </c>
      <c r="AG4" s="1">
        <v>0</v>
      </c>
      <c r="AH4" s="46">
        <v>0</v>
      </c>
      <c r="AI4" s="1">
        <v>0</v>
      </c>
      <c r="AJ4" s="1">
        <v>0</v>
      </c>
      <c r="AK4" s="46">
        <v>0</v>
      </c>
      <c r="AL4" s="1">
        <v>0</v>
      </c>
      <c r="AM4" s="1">
        <v>0</v>
      </c>
      <c r="AN4" s="46">
        <v>0</v>
      </c>
      <c r="AO4" s="1">
        <v>0</v>
      </c>
      <c r="AP4" s="1">
        <v>0</v>
      </c>
      <c r="AQ4" s="46">
        <v>0</v>
      </c>
      <c r="AR4" s="1">
        <v>0</v>
      </c>
      <c r="AS4" s="1">
        <v>0</v>
      </c>
      <c r="AT4" s="46">
        <v>0</v>
      </c>
      <c r="AU4" s="1">
        <v>0</v>
      </c>
      <c r="AV4" s="1">
        <v>0</v>
      </c>
      <c r="AW4" s="46">
        <v>0</v>
      </c>
      <c r="AX4" s="1">
        <v>0</v>
      </c>
      <c r="AY4" s="1">
        <v>0</v>
      </c>
      <c r="AZ4" s="46">
        <v>0</v>
      </c>
      <c r="BA4" s="1">
        <v>0</v>
      </c>
      <c r="BB4" s="1">
        <v>0</v>
      </c>
      <c r="BC4" s="46">
        <v>0</v>
      </c>
      <c r="BD4" s="1">
        <v>0</v>
      </c>
      <c r="BE4" s="1">
        <v>0</v>
      </c>
      <c r="BF4" s="46">
        <v>0</v>
      </c>
      <c r="BG4" s="1">
        <v>0</v>
      </c>
      <c r="BH4" s="1">
        <v>0</v>
      </c>
      <c r="BI4" s="46">
        <v>0</v>
      </c>
      <c r="BJ4" s="1">
        <v>0</v>
      </c>
      <c r="BK4" s="1">
        <v>0</v>
      </c>
      <c r="BL4">
        <v>0</v>
      </c>
    </row>
    <row r="5" spans="1:64" ht="15.5" x14ac:dyDescent="0.35">
      <c r="A5" t="s">
        <v>67</v>
      </c>
      <c r="B5" s="1">
        <v>15156088.710000001</v>
      </c>
      <c r="C5" s="1">
        <v>14727819.75</v>
      </c>
      <c r="D5" s="46">
        <v>14601697.380000001</v>
      </c>
      <c r="E5" s="1">
        <v>14485619.1</v>
      </c>
      <c r="F5" s="1">
        <v>14397505.99</v>
      </c>
      <c r="G5" s="46">
        <v>14199747.93</v>
      </c>
      <c r="H5" s="1">
        <v>13951529.75</v>
      </c>
      <c r="I5" s="1">
        <v>13908961.970000001</v>
      </c>
      <c r="J5" s="46">
        <v>13773239.07</v>
      </c>
      <c r="K5" s="1">
        <v>13695707.550000001</v>
      </c>
      <c r="L5" s="1">
        <v>13579650.539999999</v>
      </c>
      <c r="M5" s="46">
        <v>13504249.449999999</v>
      </c>
      <c r="N5" s="1">
        <v>13379913.550000001</v>
      </c>
      <c r="O5" s="1">
        <v>13365530.51</v>
      </c>
      <c r="P5" s="46">
        <v>12971988.23</v>
      </c>
      <c r="Q5" s="1">
        <v>12285264.34</v>
      </c>
      <c r="R5" s="1">
        <v>12085984.789999999</v>
      </c>
      <c r="S5" s="46">
        <v>12069663.27</v>
      </c>
      <c r="T5" s="1">
        <v>11643985.17</v>
      </c>
      <c r="U5" s="1">
        <v>11516623.34</v>
      </c>
      <c r="V5" s="46">
        <v>11447476.25</v>
      </c>
      <c r="W5" s="1">
        <v>11309391.050000001</v>
      </c>
      <c r="X5" s="1">
        <v>10901560.130000001</v>
      </c>
      <c r="Y5" s="46">
        <v>10801011.539999999</v>
      </c>
      <c r="Z5" s="1">
        <v>8912397.25</v>
      </c>
      <c r="AA5" s="1">
        <v>8555919.7899999991</v>
      </c>
      <c r="AB5" s="46">
        <v>8429126.1300000008</v>
      </c>
      <c r="AC5" s="1">
        <v>8015799.0300000003</v>
      </c>
      <c r="AD5" s="1">
        <v>7389261.8500000006</v>
      </c>
      <c r="AE5" s="46">
        <v>7046672.7400000002</v>
      </c>
      <c r="AF5" s="1">
        <v>5930247.0800000001</v>
      </c>
      <c r="AG5" s="1">
        <v>5638546.5499999998</v>
      </c>
      <c r="AH5" s="46">
        <v>5482704.9499999993</v>
      </c>
      <c r="AI5" s="1">
        <v>5358314.26</v>
      </c>
      <c r="AJ5" s="1">
        <v>4846302.8699999992</v>
      </c>
      <c r="AK5" s="46">
        <v>4696772.6500000004</v>
      </c>
      <c r="AL5" s="1">
        <v>4588137.3400000017</v>
      </c>
      <c r="AM5" s="1">
        <v>4554178.9700000007</v>
      </c>
      <c r="AN5" s="46">
        <v>4451110.41</v>
      </c>
      <c r="AO5" s="1">
        <v>4096252.87</v>
      </c>
      <c r="AP5" s="1">
        <v>3446013.44</v>
      </c>
      <c r="AQ5" s="46">
        <v>3160216.67</v>
      </c>
      <c r="AR5" s="1">
        <v>2912052.2</v>
      </c>
      <c r="AS5" s="1">
        <v>2774331.07</v>
      </c>
      <c r="AT5" s="46">
        <v>2434863.14</v>
      </c>
      <c r="AU5" s="1">
        <v>2371674.1</v>
      </c>
      <c r="AV5" s="1">
        <v>2265539.2400000002</v>
      </c>
      <c r="AW5" s="46">
        <v>1684934.61</v>
      </c>
      <c r="AX5" s="1">
        <v>1004796.7</v>
      </c>
      <c r="AY5" s="1">
        <v>964179.85</v>
      </c>
      <c r="AZ5" s="46">
        <v>885264.45</v>
      </c>
      <c r="BA5" s="1">
        <v>838511.62</v>
      </c>
      <c r="BB5" s="1">
        <v>721483.95</v>
      </c>
      <c r="BC5" s="46">
        <v>548730.75</v>
      </c>
      <c r="BD5" s="1">
        <v>491961.04999999987</v>
      </c>
      <c r="BE5" s="1">
        <v>426353.41999999993</v>
      </c>
      <c r="BF5" s="46">
        <v>331322.06</v>
      </c>
      <c r="BG5" s="1">
        <v>325111.36</v>
      </c>
      <c r="BH5" s="1">
        <v>274169.65000000002</v>
      </c>
      <c r="BI5" s="46">
        <v>224995.19</v>
      </c>
      <c r="BJ5" s="1">
        <v>174349.56</v>
      </c>
      <c r="BK5" s="1">
        <v>174349.56</v>
      </c>
      <c r="BL5">
        <v>121653.35</v>
      </c>
    </row>
    <row r="6" spans="1:64" ht="15.5" x14ac:dyDescent="0.35">
      <c r="A6" t="s">
        <v>68</v>
      </c>
      <c r="B6" s="1">
        <v>8201963.5199999996</v>
      </c>
      <c r="C6" s="1">
        <v>8033111.5500000007</v>
      </c>
      <c r="D6" s="46">
        <v>7974913.5999999996</v>
      </c>
      <c r="E6" s="1">
        <v>7920070.7200000007</v>
      </c>
      <c r="F6" s="1">
        <v>7890832.7000000002</v>
      </c>
      <c r="G6" s="46">
        <v>7795628.7300000004</v>
      </c>
      <c r="H6" s="1">
        <v>7662311.1399999997</v>
      </c>
      <c r="I6" s="1">
        <v>7644524.6799999997</v>
      </c>
      <c r="J6" s="46">
        <v>7579210.3799999999</v>
      </c>
      <c r="K6" s="1">
        <v>7546512.3300000001</v>
      </c>
      <c r="L6" s="1">
        <v>7489411.4299999997</v>
      </c>
      <c r="M6" s="46">
        <v>7448470.8499999996</v>
      </c>
      <c r="N6" s="1">
        <v>7389366.8700000001</v>
      </c>
      <c r="O6" s="1">
        <v>7384988.3899999997</v>
      </c>
      <c r="P6" s="46">
        <v>7103488.3200000003</v>
      </c>
      <c r="Q6" s="1">
        <v>6783277.5599999996</v>
      </c>
      <c r="R6" s="1">
        <v>6661274.5800000001</v>
      </c>
      <c r="S6" s="46">
        <v>6655505.6199999992</v>
      </c>
      <c r="T6" s="1">
        <v>6363040.3799999999</v>
      </c>
      <c r="U6" s="1">
        <v>6294200.8399999999</v>
      </c>
      <c r="V6" s="46">
        <v>6246207.6799999997</v>
      </c>
      <c r="W6" s="1">
        <v>6171696.0099999998</v>
      </c>
      <c r="X6" s="1">
        <v>5926868.5600000015</v>
      </c>
      <c r="Y6" s="46">
        <v>5879391.9800000004</v>
      </c>
      <c r="Z6" s="1">
        <v>4881102.32</v>
      </c>
      <c r="AA6" s="1">
        <v>4661593.6400000006</v>
      </c>
      <c r="AB6" s="46">
        <v>4598662.07</v>
      </c>
      <c r="AC6" s="1">
        <v>4347106.84</v>
      </c>
      <c r="AD6" s="1">
        <v>4019246.07</v>
      </c>
      <c r="AE6" s="46">
        <v>3824780.32</v>
      </c>
      <c r="AF6" s="1">
        <v>3268683.37</v>
      </c>
      <c r="AG6" s="1">
        <v>3123879.87</v>
      </c>
      <c r="AH6" s="46">
        <v>3050154.41</v>
      </c>
      <c r="AI6" s="1">
        <v>2985724.68</v>
      </c>
      <c r="AJ6" s="1">
        <v>2651657.4300000011</v>
      </c>
      <c r="AK6" s="46">
        <v>2565162.4300000011</v>
      </c>
      <c r="AL6" s="1">
        <v>2501614.330000001</v>
      </c>
      <c r="AM6" s="1">
        <v>2488286.48</v>
      </c>
      <c r="AN6" s="46">
        <v>2444453.12</v>
      </c>
      <c r="AO6" s="1">
        <v>2253340.2599999998</v>
      </c>
      <c r="AP6" s="1">
        <v>1853834.8</v>
      </c>
      <c r="AQ6" s="46">
        <v>1683177.02</v>
      </c>
      <c r="AR6" s="1">
        <v>1555576.92</v>
      </c>
      <c r="AS6" s="1">
        <v>1488684.18</v>
      </c>
      <c r="AT6" s="46">
        <v>1275763.28</v>
      </c>
      <c r="AU6" s="1">
        <v>1233785.3899999999</v>
      </c>
      <c r="AV6" s="1">
        <v>1172590.69</v>
      </c>
      <c r="AW6" s="46">
        <v>858723.98</v>
      </c>
      <c r="AX6" s="1">
        <v>498810.76</v>
      </c>
      <c r="AY6" s="1">
        <v>481324.73</v>
      </c>
      <c r="AZ6" s="46">
        <v>439054.24999999988</v>
      </c>
      <c r="BA6" s="1">
        <v>416147.37</v>
      </c>
      <c r="BB6" s="1">
        <v>353226.62</v>
      </c>
      <c r="BC6" s="46">
        <v>252298.58</v>
      </c>
      <c r="BD6" s="1">
        <v>224053.14</v>
      </c>
      <c r="BE6" s="1">
        <v>196168.59</v>
      </c>
      <c r="BF6" s="46">
        <v>154448.32999999999</v>
      </c>
      <c r="BG6" s="1">
        <v>152487.23000000001</v>
      </c>
      <c r="BH6" s="1">
        <v>132421.20000000001</v>
      </c>
      <c r="BI6" s="46">
        <v>112372.34</v>
      </c>
      <c r="BJ6" s="1">
        <v>94724.610000000015</v>
      </c>
      <c r="BK6" s="1">
        <v>94724.610000000015</v>
      </c>
      <c r="BL6">
        <v>66722.81</v>
      </c>
    </row>
    <row r="7" spans="1:64" ht="15.5" x14ac:dyDescent="0.35">
      <c r="A7" t="s">
        <v>69</v>
      </c>
      <c r="B7" s="1">
        <v>3953274.13</v>
      </c>
      <c r="C7" s="1">
        <v>3876094.34</v>
      </c>
      <c r="D7" s="46">
        <v>3857718.79</v>
      </c>
      <c r="E7" s="1">
        <v>3831989.91</v>
      </c>
      <c r="F7" s="1">
        <v>3813492.600000001</v>
      </c>
      <c r="G7" s="46">
        <v>3782917.939999999</v>
      </c>
      <c r="H7" s="1">
        <v>3724373.65</v>
      </c>
      <c r="I7" s="1">
        <v>3710995.38</v>
      </c>
      <c r="J7" s="46">
        <v>3672164.85</v>
      </c>
      <c r="K7" s="1">
        <v>3650754.05</v>
      </c>
      <c r="L7" s="1">
        <v>3619263.51</v>
      </c>
      <c r="M7" s="46">
        <v>3599665.89</v>
      </c>
      <c r="N7" s="1">
        <v>3560191.71</v>
      </c>
      <c r="O7" s="1">
        <v>3556610.71</v>
      </c>
      <c r="P7" s="46">
        <v>3485679.95</v>
      </c>
      <c r="Q7" s="1">
        <v>3214834.83</v>
      </c>
      <c r="R7" s="1">
        <v>3172988.8900000011</v>
      </c>
      <c r="S7" s="46">
        <v>3165738.72</v>
      </c>
      <c r="T7" s="1">
        <v>3083118.73</v>
      </c>
      <c r="U7" s="1">
        <v>3062154.92</v>
      </c>
      <c r="V7" s="46">
        <v>3050005.6</v>
      </c>
      <c r="W7" s="1">
        <v>3003510.38</v>
      </c>
      <c r="X7" s="1">
        <v>2882510.31</v>
      </c>
      <c r="Y7" s="46">
        <v>2862657.21</v>
      </c>
      <c r="Z7" s="1">
        <v>2370337.81</v>
      </c>
      <c r="AA7" s="1">
        <v>2289400.12</v>
      </c>
      <c r="AB7" s="46">
        <v>2252085.6</v>
      </c>
      <c r="AC7" s="1">
        <v>2136601.87</v>
      </c>
      <c r="AD7" s="1">
        <v>1985862.37</v>
      </c>
      <c r="AE7" s="46">
        <v>1889334.96</v>
      </c>
      <c r="AF7" s="1">
        <v>1582483.5</v>
      </c>
      <c r="AG7" s="1">
        <v>1499516.78</v>
      </c>
      <c r="AH7" s="46">
        <v>1460760.64</v>
      </c>
      <c r="AI7" s="1">
        <v>1427169.69</v>
      </c>
      <c r="AJ7" s="1">
        <v>1296642.26</v>
      </c>
      <c r="AK7" s="46">
        <v>1251473.69</v>
      </c>
      <c r="AL7" s="1">
        <v>1220410.44</v>
      </c>
      <c r="AM7" s="1">
        <v>1208436.49</v>
      </c>
      <c r="AN7" s="46">
        <v>1177646.04</v>
      </c>
      <c r="AO7" s="1">
        <v>1085661.23</v>
      </c>
      <c r="AP7" s="1">
        <v>919751.08</v>
      </c>
      <c r="AQ7" s="46">
        <v>830583.11999999988</v>
      </c>
      <c r="AR7" s="1">
        <v>758754.84</v>
      </c>
      <c r="AS7" s="1">
        <v>724749.09</v>
      </c>
      <c r="AT7" s="46">
        <v>633516.80000000005</v>
      </c>
      <c r="AU7" s="1">
        <v>619258.77999999991</v>
      </c>
      <c r="AV7" s="1">
        <v>591174.43999999983</v>
      </c>
      <c r="AW7" s="46">
        <v>454388.63000000012</v>
      </c>
      <c r="AX7" s="1">
        <v>304743</v>
      </c>
      <c r="AY7" s="1">
        <v>293278.71999999997</v>
      </c>
      <c r="AZ7" s="46">
        <v>268982.75000000012</v>
      </c>
      <c r="BA7" s="1">
        <v>257063.14</v>
      </c>
      <c r="BB7" s="1">
        <v>223952.73</v>
      </c>
      <c r="BC7" s="46">
        <v>177739.72</v>
      </c>
      <c r="BD7" s="1">
        <v>158991.98000000001</v>
      </c>
      <c r="BE7" s="1">
        <v>135602.03</v>
      </c>
      <c r="BF7" s="46">
        <v>109655.59</v>
      </c>
      <c r="BG7" s="1">
        <v>107546.43</v>
      </c>
      <c r="BH7" s="1">
        <v>92048.010000000009</v>
      </c>
      <c r="BI7" s="46">
        <v>77638.559999999998</v>
      </c>
      <c r="BJ7" s="1">
        <v>59750.34</v>
      </c>
      <c r="BK7" s="1">
        <v>59750.34</v>
      </c>
      <c r="BL7">
        <v>41375.53</v>
      </c>
    </row>
    <row r="8" spans="1:64" ht="15.5" x14ac:dyDescent="0.35">
      <c r="A8" t="s">
        <v>70</v>
      </c>
      <c r="B8" s="1">
        <v>1060878.74</v>
      </c>
      <c r="C8" s="1">
        <v>1023716.34</v>
      </c>
      <c r="D8" s="46">
        <v>1015851.65</v>
      </c>
      <c r="E8" s="1">
        <v>1008496.23</v>
      </c>
      <c r="F8" s="1">
        <v>1001665.73</v>
      </c>
      <c r="G8" s="46">
        <v>978875.64</v>
      </c>
      <c r="H8" s="1">
        <v>966026.6100000001</v>
      </c>
      <c r="I8" s="1">
        <v>963464.49000000011</v>
      </c>
      <c r="J8" s="46">
        <v>953421.55</v>
      </c>
      <c r="K8" s="1">
        <v>949737.92000000016</v>
      </c>
      <c r="L8" s="1">
        <v>942139.78</v>
      </c>
      <c r="M8" s="46">
        <v>936241.1</v>
      </c>
      <c r="N8" s="1">
        <v>927069.47000000009</v>
      </c>
      <c r="O8" s="1">
        <v>925269.94000000006</v>
      </c>
      <c r="P8" s="46">
        <v>905500.95000000007</v>
      </c>
      <c r="Q8" s="1">
        <v>838326.78</v>
      </c>
      <c r="R8" s="1">
        <v>826272.74</v>
      </c>
      <c r="S8" s="46">
        <v>824606.74</v>
      </c>
      <c r="T8" s="1">
        <v>798582.6399999999</v>
      </c>
      <c r="U8" s="1">
        <v>792861.27</v>
      </c>
      <c r="V8" s="46">
        <v>788809.2699999999</v>
      </c>
      <c r="W8" s="1">
        <v>777972.02999999991</v>
      </c>
      <c r="X8" s="1">
        <v>748603.79</v>
      </c>
      <c r="Y8" s="46">
        <v>741703.39999999991</v>
      </c>
      <c r="Z8" s="1">
        <v>615201.67999999993</v>
      </c>
      <c r="AA8" s="1">
        <v>597027.75</v>
      </c>
      <c r="AB8" s="46">
        <v>586536.05000000005</v>
      </c>
      <c r="AC8" s="1">
        <v>555886.46</v>
      </c>
      <c r="AD8" s="1">
        <v>525054.66999999993</v>
      </c>
      <c r="AE8" s="46">
        <v>502876.97</v>
      </c>
      <c r="AF8" s="1">
        <v>422172.48</v>
      </c>
      <c r="AG8" s="1">
        <v>404681.27</v>
      </c>
      <c r="AH8" s="46">
        <v>396133.15</v>
      </c>
      <c r="AI8" s="1">
        <v>387254.59</v>
      </c>
      <c r="AJ8" s="1">
        <v>350376.93999999989</v>
      </c>
      <c r="AK8" s="46">
        <v>341535.14</v>
      </c>
      <c r="AL8" s="1">
        <v>332992.68000000011</v>
      </c>
      <c r="AM8" s="1">
        <v>330784.34999999998</v>
      </c>
      <c r="AN8" s="46">
        <v>323273.40000000002</v>
      </c>
      <c r="AO8" s="1">
        <v>296319.48</v>
      </c>
      <c r="AP8" s="1">
        <v>249109.28</v>
      </c>
      <c r="AQ8" s="46">
        <v>227611</v>
      </c>
      <c r="AR8" s="1">
        <v>210357.94</v>
      </c>
      <c r="AS8" s="1">
        <v>199741.9</v>
      </c>
      <c r="AT8" s="46">
        <v>172832.75</v>
      </c>
      <c r="AU8" s="1">
        <v>169247.75</v>
      </c>
      <c r="AV8" s="1">
        <v>161149.13</v>
      </c>
      <c r="AW8" s="46">
        <v>122252.67</v>
      </c>
      <c r="AX8" s="1">
        <v>74251.809999999983</v>
      </c>
      <c r="AY8" s="1">
        <v>72816.829999999987</v>
      </c>
      <c r="AZ8" s="46">
        <v>66604.449999999983</v>
      </c>
      <c r="BA8" s="1">
        <v>63143.81</v>
      </c>
      <c r="BB8" s="1">
        <v>55296.7</v>
      </c>
      <c r="BC8" s="46">
        <v>42749.23</v>
      </c>
      <c r="BD8" s="1">
        <v>37278.71</v>
      </c>
      <c r="BE8" s="1">
        <v>31282.2</v>
      </c>
      <c r="BF8" s="46">
        <v>27950.92</v>
      </c>
      <c r="BG8" s="1">
        <v>27710.94</v>
      </c>
      <c r="BH8" s="1">
        <v>24543.39</v>
      </c>
      <c r="BI8" s="46">
        <v>21750.22</v>
      </c>
      <c r="BJ8" s="1">
        <v>18714.61</v>
      </c>
      <c r="BK8" s="1">
        <v>18714.61</v>
      </c>
      <c r="BL8">
        <v>13135.01</v>
      </c>
    </row>
    <row r="9" spans="1:64" ht="15.5" x14ac:dyDescent="0.35">
      <c r="A9" t="s">
        <v>71</v>
      </c>
      <c r="B9" s="1">
        <v>26687095.129999999</v>
      </c>
      <c r="C9" s="1">
        <v>22420305.059999999</v>
      </c>
      <c r="D9" s="46">
        <v>21269362.309999999</v>
      </c>
      <c r="E9" s="1">
        <v>20671374.699999999</v>
      </c>
      <c r="F9" s="1">
        <v>20073908.59</v>
      </c>
      <c r="G9" s="46">
        <v>19335946.629999999</v>
      </c>
      <c r="H9" s="1">
        <v>18373454.140000001</v>
      </c>
      <c r="I9" s="1">
        <v>18152245.809999999</v>
      </c>
      <c r="J9" s="46">
        <v>17698090.469999999</v>
      </c>
      <c r="K9" s="1">
        <v>17289418.440000001</v>
      </c>
      <c r="L9" s="1">
        <v>16710381.859999999</v>
      </c>
      <c r="M9" s="46">
        <v>16462579.08</v>
      </c>
      <c r="N9" s="1">
        <v>16186300.82</v>
      </c>
      <c r="O9" s="1">
        <v>16086793.99</v>
      </c>
      <c r="P9" s="46">
        <v>15645622.630000001</v>
      </c>
      <c r="Q9" s="1">
        <v>15156855.390000001</v>
      </c>
      <c r="R9" s="1">
        <v>14743187.289999999</v>
      </c>
      <c r="S9" s="46">
        <v>14696162.189999999</v>
      </c>
      <c r="T9" s="1">
        <v>14248768.66</v>
      </c>
      <c r="U9" s="1">
        <v>13968003.17</v>
      </c>
      <c r="V9" s="46">
        <v>13819520</v>
      </c>
      <c r="W9" s="1">
        <v>13779369.52</v>
      </c>
      <c r="X9" s="1">
        <v>13660816.77</v>
      </c>
      <c r="Y9" s="46">
        <v>13292717.869999999</v>
      </c>
      <c r="Z9" s="1">
        <v>9655084.5700000003</v>
      </c>
      <c r="AA9" s="1">
        <v>8996522.4600000009</v>
      </c>
      <c r="AB9" s="46">
        <v>8749146.1400000006</v>
      </c>
      <c r="AC9" s="1">
        <v>8510604.4499999993</v>
      </c>
      <c r="AD9" s="1">
        <v>7386622.9700000007</v>
      </c>
      <c r="AE9" s="46">
        <v>7154225.2199999988</v>
      </c>
      <c r="AF9" s="1">
        <v>4668783.3000000007</v>
      </c>
      <c r="AG9" s="1">
        <v>4233714.8899999997</v>
      </c>
      <c r="AH9" s="46">
        <v>4037417.36</v>
      </c>
      <c r="AI9" s="1">
        <v>3877300.16</v>
      </c>
      <c r="AJ9" s="1">
        <v>3815225.39</v>
      </c>
      <c r="AK9" s="46">
        <v>3768272.23</v>
      </c>
      <c r="AL9" s="1">
        <v>3706443.74</v>
      </c>
      <c r="AM9" s="1">
        <v>3619001.92</v>
      </c>
      <c r="AN9" s="46">
        <v>3283320.12</v>
      </c>
      <c r="AO9" s="1">
        <v>2843451.79</v>
      </c>
      <c r="AP9" s="1">
        <v>2553079.73</v>
      </c>
      <c r="AQ9" s="46">
        <v>2514507.73</v>
      </c>
      <c r="AR9" s="1">
        <v>2095557</v>
      </c>
      <c r="AS9" s="1">
        <v>1641317.11</v>
      </c>
      <c r="AT9" s="46">
        <v>1565102.17</v>
      </c>
      <c r="AU9" s="1">
        <v>1518578.17</v>
      </c>
      <c r="AV9" s="1">
        <v>1453129.61</v>
      </c>
      <c r="AW9" s="46">
        <v>1125103.77</v>
      </c>
      <c r="AX9" s="1">
        <v>581329.80999999982</v>
      </c>
      <c r="AY9" s="1">
        <v>519736.37</v>
      </c>
      <c r="AZ9" s="46">
        <v>474119.17</v>
      </c>
      <c r="BA9" s="1">
        <v>391366.29</v>
      </c>
      <c r="BB9" s="1">
        <v>300318.78000000003</v>
      </c>
      <c r="BC9" s="46">
        <v>229986.38</v>
      </c>
      <c r="BD9" s="1">
        <v>205374.38</v>
      </c>
      <c r="BE9" s="1">
        <v>167018.78</v>
      </c>
      <c r="BF9" s="46">
        <v>72203.37000000001</v>
      </c>
      <c r="BG9" s="1">
        <v>65018.37</v>
      </c>
      <c r="BH9" s="1">
        <v>31125.27</v>
      </c>
      <c r="BI9" s="46">
        <v>12939.75</v>
      </c>
      <c r="BJ9" s="1">
        <v>0</v>
      </c>
      <c r="BK9" s="1">
        <v>0</v>
      </c>
      <c r="BL9">
        <v>0</v>
      </c>
    </row>
    <row r="10" spans="1:64" ht="15.5" x14ac:dyDescent="0.35">
      <c r="A10" t="s">
        <v>72</v>
      </c>
      <c r="B10" s="1">
        <v>16351996.51</v>
      </c>
      <c r="C10" s="1">
        <v>14769214.1</v>
      </c>
      <c r="D10" s="46">
        <v>14115314.789999999</v>
      </c>
      <c r="E10" s="1">
        <v>13841889.75</v>
      </c>
      <c r="F10" s="1">
        <v>13427111.779999999</v>
      </c>
      <c r="G10" s="46">
        <v>13123101.810000001</v>
      </c>
      <c r="H10" s="1">
        <v>12673731.130000001</v>
      </c>
      <c r="I10" s="1">
        <v>12530811.539999999</v>
      </c>
      <c r="J10" s="46">
        <v>12582002.75</v>
      </c>
      <c r="K10" s="1">
        <v>12536978.84</v>
      </c>
      <c r="L10" s="1">
        <v>12155236.960000001</v>
      </c>
      <c r="M10" s="46">
        <v>11936923.550000001</v>
      </c>
      <c r="N10" s="1">
        <v>11740793.1</v>
      </c>
      <c r="O10" s="1">
        <v>11675543.91</v>
      </c>
      <c r="P10" s="46">
        <v>11485620.01</v>
      </c>
      <c r="Q10" s="1">
        <v>11325156.34</v>
      </c>
      <c r="R10" s="1">
        <v>11143468.960000001</v>
      </c>
      <c r="S10" s="46">
        <v>11101338.76</v>
      </c>
      <c r="T10" s="1">
        <v>10825433.33</v>
      </c>
      <c r="U10" s="1">
        <v>10625739.970000001</v>
      </c>
      <c r="V10" s="46">
        <v>10540809.060000001</v>
      </c>
      <c r="W10" s="1">
        <v>10500658.58</v>
      </c>
      <c r="X10" s="1">
        <v>10412879.689999999</v>
      </c>
      <c r="Y10" s="46">
        <v>10124422.609999999</v>
      </c>
      <c r="Z10" s="1">
        <v>7350593.4800000004</v>
      </c>
      <c r="AA10" s="1">
        <v>6858270.5999999996</v>
      </c>
      <c r="AB10" s="46">
        <v>6718347.6600000001</v>
      </c>
      <c r="AC10" s="1">
        <v>6552157.5700000003</v>
      </c>
      <c r="AD10" s="1">
        <v>5544827.9300000006</v>
      </c>
      <c r="AE10" s="46">
        <v>5338236.7300000004</v>
      </c>
      <c r="AF10" s="1">
        <v>3602437.99</v>
      </c>
      <c r="AG10" s="1">
        <v>3205503.9</v>
      </c>
      <c r="AH10" s="46">
        <v>3010905.43</v>
      </c>
      <c r="AI10" s="1">
        <v>2875351.23</v>
      </c>
      <c r="AJ10" s="1">
        <v>2815896.53</v>
      </c>
      <c r="AK10" s="46">
        <v>2769386.84</v>
      </c>
      <c r="AL10" s="1">
        <v>2709667</v>
      </c>
      <c r="AM10" s="1">
        <v>2628449.8199999989</v>
      </c>
      <c r="AN10" s="46">
        <v>2316089.08</v>
      </c>
      <c r="AO10" s="1">
        <v>1962141.42</v>
      </c>
      <c r="AP10" s="1">
        <v>1694386.46</v>
      </c>
      <c r="AQ10" s="46">
        <v>1662956.35</v>
      </c>
      <c r="AR10" s="1">
        <v>1308593.51</v>
      </c>
      <c r="AS10" s="1">
        <v>1115514.5900000001</v>
      </c>
      <c r="AT10" s="46">
        <v>1061229.1399999999</v>
      </c>
      <c r="AU10" s="1">
        <v>1022568.8</v>
      </c>
      <c r="AV10" s="1">
        <v>957120.24000000011</v>
      </c>
      <c r="AW10" s="46">
        <v>642888.99999999988</v>
      </c>
      <c r="AX10" s="1">
        <v>555151.42999999993</v>
      </c>
      <c r="AY10" s="1">
        <v>498647.11</v>
      </c>
      <c r="AZ10" s="46">
        <v>465154.31</v>
      </c>
      <c r="BA10" s="1">
        <v>384015.44</v>
      </c>
      <c r="BB10" s="1">
        <v>294033.8</v>
      </c>
      <c r="BC10" s="46">
        <v>223701.4</v>
      </c>
      <c r="BD10" s="1">
        <v>199089.4</v>
      </c>
      <c r="BE10" s="1">
        <v>161096.16</v>
      </c>
      <c r="BF10" s="46">
        <v>66280.760000000009</v>
      </c>
      <c r="BG10" s="1">
        <v>59527.66</v>
      </c>
      <c r="BH10" s="1">
        <v>31125.27</v>
      </c>
      <c r="BI10" s="46">
        <v>12939.75</v>
      </c>
      <c r="BJ10" s="1">
        <v>0</v>
      </c>
      <c r="BK10" s="1">
        <v>0</v>
      </c>
      <c r="BL10">
        <v>0</v>
      </c>
    </row>
    <row r="11" spans="1:64" ht="15.5" x14ac:dyDescent="0.35">
      <c r="A11" t="s">
        <v>73</v>
      </c>
      <c r="B11" s="1">
        <v>324408.09999999998</v>
      </c>
      <c r="C11" s="1">
        <v>294288.83</v>
      </c>
      <c r="D11" s="46">
        <v>289219.27</v>
      </c>
      <c r="E11" s="1">
        <v>286285.53999999998</v>
      </c>
      <c r="F11" s="1">
        <v>283042.03000000003</v>
      </c>
      <c r="G11" s="46">
        <v>260582.01</v>
      </c>
      <c r="H11" s="1">
        <v>249290.2</v>
      </c>
      <c r="I11" s="1">
        <v>245937.92000000001</v>
      </c>
      <c r="J11" s="46">
        <v>237091.05</v>
      </c>
      <c r="K11" s="1">
        <v>233274.77</v>
      </c>
      <c r="L11" s="1">
        <v>229296.84</v>
      </c>
      <c r="M11" s="46">
        <v>225950.32</v>
      </c>
      <c r="N11" s="1">
        <v>222931.59</v>
      </c>
      <c r="O11" s="1">
        <v>222543.59</v>
      </c>
      <c r="P11" s="46">
        <v>219439.19</v>
      </c>
      <c r="Q11" s="1">
        <v>208049.65</v>
      </c>
      <c r="R11" s="1">
        <v>204434.3</v>
      </c>
      <c r="S11" s="46">
        <v>203590.63</v>
      </c>
      <c r="T11" s="1">
        <v>198999.28</v>
      </c>
      <c r="U11" s="1">
        <v>194261.74</v>
      </c>
      <c r="V11" s="46">
        <v>192840.79</v>
      </c>
      <c r="W11" s="1">
        <v>188691.89</v>
      </c>
      <c r="X11" s="1">
        <v>182358.14</v>
      </c>
      <c r="Y11" s="46">
        <v>179768.04</v>
      </c>
      <c r="Z11" s="1">
        <v>168439.43</v>
      </c>
      <c r="AA11" s="1">
        <v>163385.57999999999</v>
      </c>
      <c r="AB11" s="46">
        <v>158556.20000000001</v>
      </c>
      <c r="AC11" s="1">
        <v>152506.16</v>
      </c>
      <c r="AD11" s="1">
        <v>133978.97</v>
      </c>
      <c r="AE11" s="46">
        <v>128784.24</v>
      </c>
      <c r="AF11" s="1">
        <v>115061.92</v>
      </c>
      <c r="AG11" s="1">
        <v>107457.21</v>
      </c>
      <c r="AH11" s="46">
        <v>103547.53</v>
      </c>
      <c r="AI11" s="1">
        <v>98460.73</v>
      </c>
      <c r="AJ11" s="1">
        <v>93298.27</v>
      </c>
      <c r="AK11" s="46">
        <v>91129.580000000016</v>
      </c>
      <c r="AL11" s="1">
        <v>87546.66</v>
      </c>
      <c r="AM11" s="1">
        <v>85756.02</v>
      </c>
      <c r="AN11" s="46">
        <v>81975.490000000005</v>
      </c>
      <c r="AO11" s="1">
        <v>78740.13</v>
      </c>
      <c r="AP11" s="1">
        <v>66746.63</v>
      </c>
      <c r="AQ11" s="46">
        <v>64202.48</v>
      </c>
      <c r="AR11" s="1">
        <v>56603.360000000001</v>
      </c>
      <c r="AS11" s="1">
        <v>55622.879999999997</v>
      </c>
      <c r="AT11" s="46">
        <v>52732.87</v>
      </c>
      <c r="AU11" s="1">
        <v>51880.74</v>
      </c>
      <c r="AV11" s="1">
        <v>49957.26</v>
      </c>
      <c r="AW11" s="46">
        <v>39358.49</v>
      </c>
      <c r="AX11" s="1">
        <v>34548.489999999991</v>
      </c>
      <c r="AY11" s="1">
        <v>31712.11</v>
      </c>
      <c r="AZ11" s="46">
        <v>30415.19</v>
      </c>
      <c r="BA11" s="1">
        <v>28994.73</v>
      </c>
      <c r="BB11" s="1">
        <v>24016.89</v>
      </c>
      <c r="BC11" s="46">
        <v>20717.05</v>
      </c>
      <c r="BD11" s="1">
        <v>19927.05</v>
      </c>
      <c r="BE11" s="1">
        <v>17646.23</v>
      </c>
      <c r="BF11" s="46">
        <v>10946.36</v>
      </c>
      <c r="BG11" s="1">
        <v>10482.9</v>
      </c>
      <c r="BH11" s="1">
        <v>7802.1399999999994</v>
      </c>
      <c r="BI11" s="46">
        <v>4971.92</v>
      </c>
      <c r="BJ11" s="1">
        <v>1160</v>
      </c>
      <c r="BK11" s="1">
        <v>1160</v>
      </c>
      <c r="BL11">
        <v>420</v>
      </c>
    </row>
    <row r="12" spans="1:64" ht="15.5" x14ac:dyDescent="0.35">
      <c r="A12" t="s">
        <v>74</v>
      </c>
      <c r="B12" s="1">
        <v>594131786.01999998</v>
      </c>
      <c r="C12" s="1">
        <v>579964313.32999992</v>
      </c>
      <c r="D12" s="46">
        <v>576194136.22000003</v>
      </c>
      <c r="E12" s="1">
        <v>572357529.79999995</v>
      </c>
      <c r="F12" s="1">
        <v>569077622.81999993</v>
      </c>
      <c r="G12" s="46">
        <v>561852282.25</v>
      </c>
      <c r="H12" s="1">
        <v>552531978.98000002</v>
      </c>
      <c r="I12" s="1">
        <v>550675739.85000002</v>
      </c>
      <c r="J12" s="46">
        <v>545104442.90999997</v>
      </c>
      <c r="K12" s="1">
        <v>542074841.99000001</v>
      </c>
      <c r="L12" s="1">
        <v>537776312.37</v>
      </c>
      <c r="M12" s="46">
        <v>535024386.79000002</v>
      </c>
      <c r="N12" s="1">
        <v>529855435.35000002</v>
      </c>
      <c r="O12" s="1">
        <v>529230170.92000002</v>
      </c>
      <c r="P12" s="46">
        <v>517195341.73000002</v>
      </c>
      <c r="Q12" s="1">
        <v>480178179.88999999</v>
      </c>
      <c r="R12" s="1">
        <v>473755169.08999997</v>
      </c>
      <c r="S12" s="46">
        <v>472874091.91000003</v>
      </c>
      <c r="T12" s="1">
        <v>459612500.83999997</v>
      </c>
      <c r="U12" s="1">
        <v>456452590.47000003</v>
      </c>
      <c r="V12" s="46">
        <v>454464572.17000002</v>
      </c>
      <c r="W12" s="1">
        <v>448217298.64999998</v>
      </c>
      <c r="X12" s="1">
        <v>430715630.27999997</v>
      </c>
      <c r="Y12" s="46">
        <v>427630341.26999998</v>
      </c>
      <c r="Z12" s="1">
        <v>357564364.25999999</v>
      </c>
      <c r="AA12" s="1">
        <v>344039113.42000002</v>
      </c>
      <c r="AB12" s="46">
        <v>338899678.88999999</v>
      </c>
      <c r="AC12" s="1">
        <v>322010802.22000003</v>
      </c>
      <c r="AD12" s="1">
        <v>299835900.81</v>
      </c>
      <c r="AE12" s="46">
        <v>285922279.98000002</v>
      </c>
      <c r="AF12" s="1">
        <v>242268049.94</v>
      </c>
      <c r="AG12" s="1">
        <v>230504197.46000001</v>
      </c>
      <c r="AH12" s="46">
        <v>224909119.84999999</v>
      </c>
      <c r="AI12" s="1">
        <v>220020675.06999999</v>
      </c>
      <c r="AJ12" s="1">
        <v>199550023.31</v>
      </c>
      <c r="AK12" s="46">
        <v>192979451.96000001</v>
      </c>
      <c r="AL12" s="1">
        <v>188071059.81999999</v>
      </c>
      <c r="AM12" s="1">
        <v>186411813.96000001</v>
      </c>
      <c r="AN12" s="46">
        <v>182176978.72999999</v>
      </c>
      <c r="AO12" s="1">
        <v>168404661.47999999</v>
      </c>
      <c r="AP12" s="1">
        <v>142164357.52000001</v>
      </c>
      <c r="AQ12" s="46">
        <v>128882481.45</v>
      </c>
      <c r="AR12" s="1">
        <v>118063167.73</v>
      </c>
      <c r="AS12" s="1">
        <v>112765141.8</v>
      </c>
      <c r="AT12" s="46">
        <v>98581519.569999993</v>
      </c>
      <c r="AU12" s="1">
        <v>96101468.680000007</v>
      </c>
      <c r="AV12" s="1">
        <v>91761939.920000017</v>
      </c>
      <c r="AW12" s="46">
        <v>70325261.309999987</v>
      </c>
      <c r="AX12" s="1">
        <v>46334802.609999999</v>
      </c>
      <c r="AY12" s="1">
        <v>44612814.719999991</v>
      </c>
      <c r="AZ12" s="46">
        <v>40923601.539999999</v>
      </c>
      <c r="BA12" s="1">
        <v>39042477.520000003</v>
      </c>
      <c r="BB12" s="1">
        <v>33801404.969999991</v>
      </c>
      <c r="BC12" s="46">
        <v>26243251.760000002</v>
      </c>
      <c r="BD12" s="1">
        <v>23527990.609999999</v>
      </c>
      <c r="BE12" s="1">
        <v>20318326.030000001</v>
      </c>
      <c r="BF12" s="46">
        <v>16320740.369999999</v>
      </c>
      <c r="BG12" s="1">
        <v>16032763.119999999</v>
      </c>
      <c r="BH12" s="1">
        <v>13844413.560000001</v>
      </c>
      <c r="BI12" s="46">
        <v>11758024.66</v>
      </c>
      <c r="BJ12" s="1">
        <v>9357305.1699999999</v>
      </c>
      <c r="BK12" s="1">
        <v>9357305.1699999999</v>
      </c>
      <c r="BL12">
        <v>6567505.1699999999</v>
      </c>
    </row>
    <row r="13" spans="1:64" ht="15.5" x14ac:dyDescent="0.35">
      <c r="A13" t="s">
        <v>75</v>
      </c>
      <c r="B13" s="1">
        <v>452486724.63999999</v>
      </c>
      <c r="C13" s="1">
        <v>448144344.02999997</v>
      </c>
      <c r="D13" s="46">
        <v>438995763.22000003</v>
      </c>
      <c r="E13" s="1">
        <v>429156585.88999999</v>
      </c>
      <c r="F13" s="1">
        <v>419552432.25999999</v>
      </c>
      <c r="G13" s="46">
        <v>409161163.98999989</v>
      </c>
      <c r="H13" s="1">
        <v>397691565</v>
      </c>
      <c r="I13" s="1">
        <v>388897418.14999998</v>
      </c>
      <c r="J13" s="46">
        <v>378233486.14999998</v>
      </c>
      <c r="K13" s="1">
        <v>368891183.58999997</v>
      </c>
      <c r="L13" s="1">
        <v>359075876.94</v>
      </c>
      <c r="M13" s="46">
        <v>350339862.94</v>
      </c>
      <c r="N13" s="1">
        <v>339776313.86999989</v>
      </c>
      <c r="O13" s="1">
        <v>332045183.73000002</v>
      </c>
      <c r="P13" s="46">
        <v>322981419.57999998</v>
      </c>
      <c r="Q13" s="1">
        <v>293259927.43000001</v>
      </c>
      <c r="R13" s="1">
        <v>284615450.51999998</v>
      </c>
      <c r="S13" s="46">
        <v>277355671.83999997</v>
      </c>
      <c r="T13" s="1">
        <v>268105705.65000001</v>
      </c>
      <c r="U13" s="1">
        <v>260432581.91999999</v>
      </c>
      <c r="V13" s="46">
        <v>253524212.72</v>
      </c>
      <c r="W13" s="1">
        <v>244453060.31</v>
      </c>
      <c r="X13" s="1">
        <v>231709551.94</v>
      </c>
      <c r="Y13" s="46">
        <v>224748528.25999999</v>
      </c>
      <c r="Z13" s="1">
        <v>188888317.78</v>
      </c>
      <c r="AA13" s="1">
        <v>180680007.66999999</v>
      </c>
      <c r="AB13" s="46">
        <v>173506830.34999999</v>
      </c>
      <c r="AC13" s="1">
        <v>163655779.16</v>
      </c>
      <c r="AD13" s="1">
        <v>150227928.93000001</v>
      </c>
      <c r="AE13" s="46">
        <v>140781628.50999999</v>
      </c>
      <c r="AF13" s="1">
        <v>118130666.31</v>
      </c>
      <c r="AG13" s="1">
        <v>109672125.56</v>
      </c>
      <c r="AH13" s="46">
        <v>104132355.18000001</v>
      </c>
      <c r="AI13" s="1">
        <v>99173761.140000015</v>
      </c>
      <c r="AJ13" s="1">
        <v>90726272.23999998</v>
      </c>
      <c r="AK13" s="46">
        <v>85003818.889999971</v>
      </c>
      <c r="AL13" s="1">
        <v>81040387.809999973</v>
      </c>
      <c r="AM13" s="1">
        <v>77640079.869999975</v>
      </c>
      <c r="AN13" s="46">
        <v>73094540.639999986</v>
      </c>
      <c r="AO13" s="1">
        <v>66420361.399999961</v>
      </c>
      <c r="AP13" s="1">
        <v>57911856.790000007</v>
      </c>
      <c r="AQ13" s="46">
        <v>51027580.499999993</v>
      </c>
      <c r="AR13" s="1">
        <v>45703070.679999977</v>
      </c>
      <c r="AS13" s="1">
        <v>42846582.699999981</v>
      </c>
      <c r="AT13" s="46">
        <v>37352344.789999977</v>
      </c>
      <c r="AU13" s="1">
        <v>35772019.939999983</v>
      </c>
      <c r="AV13" s="1">
        <v>33247445.199999969</v>
      </c>
      <c r="AW13" s="46">
        <v>25906490.84</v>
      </c>
      <c r="AX13" s="1">
        <v>19478036.629999999</v>
      </c>
      <c r="AY13" s="1">
        <v>18230740.789999999</v>
      </c>
      <c r="AZ13" s="46">
        <v>16576159.609999999</v>
      </c>
      <c r="BA13" s="1">
        <v>15626465.77</v>
      </c>
      <c r="BB13" s="1">
        <v>13737456.380000001</v>
      </c>
      <c r="BC13" s="46">
        <v>11812283.619999999</v>
      </c>
      <c r="BD13" s="1">
        <v>10549088.74</v>
      </c>
      <c r="BE13" s="1">
        <v>8809296.0000000019</v>
      </c>
      <c r="BF13" s="46">
        <v>7096728.910000002</v>
      </c>
      <c r="BG13" s="1">
        <v>6771969.3300000001</v>
      </c>
      <c r="BH13" s="1">
        <v>5626952.8099999996</v>
      </c>
      <c r="BI13" s="46">
        <v>4591025.4499999983</v>
      </c>
      <c r="BJ13" s="1">
        <v>3126143.3699999978</v>
      </c>
      <c r="BK13" s="1">
        <v>3031418.7599999988</v>
      </c>
      <c r="BL13">
        <v>2135021.9500000002</v>
      </c>
    </row>
    <row r="14" spans="1:64" ht="15.5" x14ac:dyDescent="0.35">
      <c r="A14" t="s">
        <v>76</v>
      </c>
      <c r="B14" s="1">
        <v>0</v>
      </c>
      <c r="C14" s="1">
        <v>0</v>
      </c>
      <c r="D14" s="46">
        <v>0</v>
      </c>
      <c r="E14" s="1">
        <v>0</v>
      </c>
      <c r="F14" s="1">
        <v>0</v>
      </c>
      <c r="G14" s="46">
        <v>0</v>
      </c>
      <c r="H14" s="1">
        <v>0</v>
      </c>
      <c r="I14" s="1">
        <v>0</v>
      </c>
      <c r="J14" s="46">
        <v>0</v>
      </c>
      <c r="K14" s="1">
        <v>0</v>
      </c>
      <c r="L14" s="1">
        <v>0</v>
      </c>
      <c r="M14" s="46">
        <v>0</v>
      </c>
      <c r="N14" s="1">
        <v>0</v>
      </c>
      <c r="O14" s="1">
        <v>0</v>
      </c>
      <c r="P14" s="46">
        <v>0</v>
      </c>
      <c r="Q14" s="1">
        <v>0</v>
      </c>
      <c r="R14" s="1">
        <v>0</v>
      </c>
      <c r="S14" s="46">
        <v>0</v>
      </c>
      <c r="T14" s="1">
        <v>0</v>
      </c>
      <c r="U14" s="1">
        <v>0</v>
      </c>
      <c r="V14" s="46">
        <v>0</v>
      </c>
      <c r="W14" s="1">
        <v>0</v>
      </c>
      <c r="X14" s="1">
        <v>0</v>
      </c>
      <c r="Y14" s="46">
        <v>0</v>
      </c>
      <c r="Z14" s="1">
        <v>0</v>
      </c>
      <c r="AA14" s="1">
        <v>0</v>
      </c>
      <c r="AB14" s="46">
        <v>0</v>
      </c>
      <c r="AC14" s="1">
        <v>0</v>
      </c>
      <c r="AD14" s="1">
        <v>0</v>
      </c>
      <c r="AE14" s="46">
        <v>0</v>
      </c>
      <c r="AF14" s="1">
        <v>0</v>
      </c>
      <c r="AG14" s="1">
        <v>0</v>
      </c>
      <c r="AH14" s="46">
        <v>0</v>
      </c>
      <c r="AI14" s="1">
        <v>0</v>
      </c>
      <c r="AJ14" s="1">
        <v>0</v>
      </c>
      <c r="AK14" s="46">
        <v>0</v>
      </c>
      <c r="AL14" s="1">
        <v>0</v>
      </c>
      <c r="AM14" s="1">
        <v>0</v>
      </c>
      <c r="AN14" s="46">
        <v>0</v>
      </c>
      <c r="AO14" s="1">
        <v>0</v>
      </c>
      <c r="AP14" s="1">
        <v>0</v>
      </c>
      <c r="AQ14" s="46">
        <v>0</v>
      </c>
      <c r="AR14" s="1">
        <v>0</v>
      </c>
      <c r="AS14" s="1">
        <v>0</v>
      </c>
      <c r="AT14" s="46">
        <v>0</v>
      </c>
      <c r="AU14" s="1">
        <v>0</v>
      </c>
      <c r="AV14" s="1">
        <v>0</v>
      </c>
      <c r="AW14" s="46">
        <v>0</v>
      </c>
      <c r="AX14" s="1">
        <v>0</v>
      </c>
      <c r="AY14" s="1">
        <v>0</v>
      </c>
      <c r="AZ14" s="46">
        <v>0</v>
      </c>
      <c r="BA14" s="1">
        <v>0</v>
      </c>
      <c r="BB14" s="1">
        <v>0</v>
      </c>
      <c r="BC14" s="46">
        <v>0</v>
      </c>
      <c r="BD14" s="1">
        <v>0</v>
      </c>
      <c r="BE14" s="1">
        <v>0</v>
      </c>
      <c r="BF14" s="46">
        <v>0</v>
      </c>
      <c r="BG14" s="1">
        <v>0</v>
      </c>
      <c r="BH14" s="1">
        <v>0</v>
      </c>
      <c r="BI14" s="46">
        <v>0</v>
      </c>
      <c r="BJ14" s="1">
        <v>0</v>
      </c>
      <c r="BK14" s="1">
        <v>0</v>
      </c>
      <c r="BL14">
        <v>0</v>
      </c>
    </row>
    <row r="15" spans="1:64" ht="15.5" x14ac:dyDescent="0.35">
      <c r="A15" t="s">
        <v>77</v>
      </c>
      <c r="B15" s="1">
        <v>0</v>
      </c>
      <c r="C15" s="1">
        <v>34</v>
      </c>
      <c r="D15" s="46">
        <v>9</v>
      </c>
      <c r="E15" s="1">
        <v>8</v>
      </c>
      <c r="F15" s="1">
        <v>8</v>
      </c>
      <c r="G15" s="46">
        <v>11</v>
      </c>
      <c r="H15" s="1">
        <v>12</v>
      </c>
      <c r="I15" s="1">
        <v>4</v>
      </c>
      <c r="J15" s="46">
        <v>11</v>
      </c>
      <c r="K15" s="1">
        <v>8</v>
      </c>
      <c r="L15" s="1">
        <v>9</v>
      </c>
      <c r="M15" s="46">
        <v>5</v>
      </c>
      <c r="N15" s="1">
        <v>10</v>
      </c>
      <c r="O15" s="1">
        <v>2</v>
      </c>
      <c r="P15" s="46">
        <v>6</v>
      </c>
      <c r="Q15" s="1">
        <v>7</v>
      </c>
      <c r="R15" s="1">
        <v>8</v>
      </c>
      <c r="S15" s="46">
        <v>3</v>
      </c>
      <c r="T15" s="1">
        <v>8</v>
      </c>
      <c r="U15" s="1">
        <v>7</v>
      </c>
      <c r="V15" s="46">
        <v>2</v>
      </c>
      <c r="W15" s="1">
        <v>2</v>
      </c>
      <c r="X15" s="1">
        <v>7</v>
      </c>
      <c r="Y15" s="46">
        <v>6</v>
      </c>
      <c r="Z15" s="1">
        <v>24</v>
      </c>
      <c r="AA15" s="1">
        <v>7</v>
      </c>
      <c r="AB15" s="46">
        <v>6</v>
      </c>
      <c r="AC15" s="1">
        <v>6</v>
      </c>
      <c r="AD15" s="1">
        <v>52</v>
      </c>
      <c r="AE15" s="46">
        <v>12</v>
      </c>
      <c r="AF15" s="1">
        <v>37</v>
      </c>
      <c r="AG15" s="1">
        <v>20</v>
      </c>
      <c r="AH15" s="46">
        <v>14</v>
      </c>
      <c r="AI15" s="1">
        <v>3</v>
      </c>
      <c r="AJ15" s="1">
        <v>3</v>
      </c>
      <c r="AK15" s="46">
        <v>4</v>
      </c>
      <c r="AL15" s="1">
        <v>2</v>
      </c>
      <c r="AM15" s="1">
        <v>4</v>
      </c>
      <c r="AN15" s="46">
        <v>6</v>
      </c>
      <c r="AO15" s="1">
        <v>5</v>
      </c>
      <c r="AP15" s="1">
        <v>12</v>
      </c>
      <c r="AQ15" s="46">
        <v>1</v>
      </c>
      <c r="AR15" s="1">
        <v>10</v>
      </c>
      <c r="AS15" s="1">
        <v>3</v>
      </c>
      <c r="AT15" s="46">
        <v>1</v>
      </c>
      <c r="AU15" s="1">
        <v>1</v>
      </c>
      <c r="AV15" s="1">
        <v>3</v>
      </c>
      <c r="AW15" s="46">
        <v>13</v>
      </c>
      <c r="AX15" s="1">
        <v>12</v>
      </c>
      <c r="AY15" s="1">
        <v>3</v>
      </c>
      <c r="AZ15" s="46">
        <v>2</v>
      </c>
      <c r="BA15" s="1">
        <v>3</v>
      </c>
      <c r="BB15" s="1">
        <v>4</v>
      </c>
      <c r="BC15" s="46">
        <v>4</v>
      </c>
      <c r="BD15" s="1">
        <v>1</v>
      </c>
      <c r="BE15" s="1">
        <v>4</v>
      </c>
      <c r="BF15" s="46">
        <v>7</v>
      </c>
      <c r="BG15" s="1">
        <v>1</v>
      </c>
      <c r="BH15" s="1">
        <v>3</v>
      </c>
      <c r="BI15" s="46">
        <v>4</v>
      </c>
      <c r="BJ15" s="1">
        <v>5</v>
      </c>
      <c r="BK15" s="1">
        <v>0</v>
      </c>
      <c r="BL15">
        <v>0</v>
      </c>
    </row>
    <row r="16" spans="1:64" ht="15.5" x14ac:dyDescent="0.35">
      <c r="A16" t="s">
        <v>78</v>
      </c>
      <c r="B16" s="1">
        <v>0</v>
      </c>
      <c r="C16" s="1">
        <v>0</v>
      </c>
      <c r="D16" s="46">
        <v>0</v>
      </c>
      <c r="E16" s="1">
        <v>1</v>
      </c>
      <c r="F16" s="1">
        <v>0</v>
      </c>
      <c r="G16" s="46">
        <v>6</v>
      </c>
      <c r="H16" s="1">
        <v>11</v>
      </c>
      <c r="I16" s="1">
        <v>0</v>
      </c>
      <c r="J16" s="46">
        <v>4</v>
      </c>
      <c r="K16" s="1">
        <v>0</v>
      </c>
      <c r="L16" s="1">
        <v>0</v>
      </c>
      <c r="M16" s="46">
        <v>0</v>
      </c>
      <c r="N16" s="1">
        <v>0</v>
      </c>
      <c r="O16" s="1">
        <v>0</v>
      </c>
      <c r="P16" s="46">
        <v>5</v>
      </c>
      <c r="Q16" s="1">
        <v>25</v>
      </c>
      <c r="R16" s="1">
        <v>2</v>
      </c>
      <c r="S16" s="46">
        <v>0</v>
      </c>
      <c r="T16" s="1">
        <v>4</v>
      </c>
      <c r="U16" s="1">
        <v>0</v>
      </c>
      <c r="V16" s="46">
        <v>1</v>
      </c>
      <c r="W16" s="1">
        <v>6</v>
      </c>
      <c r="X16" s="1">
        <v>17</v>
      </c>
      <c r="Y16" s="46">
        <v>0</v>
      </c>
      <c r="Z16" s="1">
        <v>13</v>
      </c>
      <c r="AA16" s="1">
        <v>5</v>
      </c>
      <c r="AB16" s="46">
        <v>1</v>
      </c>
      <c r="AC16" s="1">
        <v>8</v>
      </c>
      <c r="AD16" s="1">
        <v>7</v>
      </c>
      <c r="AE16" s="46">
        <v>7</v>
      </c>
      <c r="AF16" s="1">
        <v>8</v>
      </c>
      <c r="AG16" s="1">
        <v>5</v>
      </c>
      <c r="AH16" s="46">
        <v>3</v>
      </c>
      <c r="AI16" s="1">
        <v>4</v>
      </c>
      <c r="AJ16" s="1">
        <v>19</v>
      </c>
      <c r="AK16" s="46">
        <v>3</v>
      </c>
      <c r="AL16" s="1">
        <v>12</v>
      </c>
      <c r="AM16" s="1">
        <v>0</v>
      </c>
      <c r="AN16" s="46">
        <v>1</v>
      </c>
      <c r="AO16" s="1">
        <v>9</v>
      </c>
      <c r="AP16" s="1">
        <v>26</v>
      </c>
      <c r="AQ16" s="46">
        <v>8</v>
      </c>
      <c r="AR16" s="1">
        <v>8</v>
      </c>
      <c r="AS16" s="1">
        <v>0</v>
      </c>
      <c r="AT16" s="46">
        <v>8</v>
      </c>
      <c r="AU16" s="1">
        <v>3</v>
      </c>
      <c r="AV16" s="1">
        <v>4</v>
      </c>
      <c r="AW16" s="46">
        <v>15</v>
      </c>
      <c r="AX16" s="1">
        <v>1</v>
      </c>
      <c r="AY16" s="1">
        <v>0</v>
      </c>
      <c r="AZ16" s="46">
        <v>1</v>
      </c>
      <c r="BA16" s="1">
        <v>0</v>
      </c>
      <c r="BB16" s="1">
        <v>5</v>
      </c>
      <c r="BC16" s="46">
        <v>1</v>
      </c>
      <c r="BD16" s="1">
        <v>3</v>
      </c>
      <c r="BE16" s="1">
        <v>4</v>
      </c>
      <c r="BF16" s="46">
        <v>0</v>
      </c>
      <c r="BG16" s="1">
        <v>0</v>
      </c>
      <c r="BH16" s="1">
        <v>0</v>
      </c>
      <c r="BI16" s="46">
        <v>0</v>
      </c>
      <c r="BJ16" s="1">
        <v>0</v>
      </c>
      <c r="BK16" s="1">
        <v>0</v>
      </c>
      <c r="BL16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16"/>
  <sheetViews>
    <sheetView workbookViewId="0">
      <selection sqref="A1:XFD1048576"/>
    </sheetView>
  </sheetViews>
  <sheetFormatPr defaultRowHeight="14.5" x14ac:dyDescent="0.35"/>
  <cols>
    <col min="1" max="1" width="13" bestFit="1" customWidth="1"/>
    <col min="2" max="3" width="13" hidden="1" bestFit="1" customWidth="1"/>
    <col min="4" max="4" width="13" bestFit="1" customWidth="1"/>
    <col min="5" max="6" width="13" hidden="1" bestFit="1" customWidth="1"/>
    <col min="7" max="7" width="13" bestFit="1" customWidth="1"/>
    <col min="8" max="9" width="13" hidden="1" bestFit="1" customWidth="1"/>
    <col min="10" max="10" width="13" bestFit="1" customWidth="1"/>
    <col min="11" max="12" width="13" hidden="1" bestFit="1" customWidth="1"/>
    <col min="13" max="13" width="13" bestFit="1" customWidth="1"/>
    <col min="14" max="15" width="13" hidden="1" bestFit="1" customWidth="1"/>
    <col min="16" max="16" width="13" bestFit="1" customWidth="1"/>
    <col min="17" max="18" width="13" hidden="1" bestFit="1" customWidth="1"/>
    <col min="19" max="19" width="13" bestFit="1" customWidth="1"/>
    <col min="20" max="21" width="13" hidden="1" bestFit="1" customWidth="1"/>
    <col min="22" max="22" width="13" bestFit="1" customWidth="1"/>
    <col min="23" max="24" width="13" hidden="1" bestFit="1" customWidth="1"/>
    <col min="25" max="25" width="13" bestFit="1" customWidth="1"/>
    <col min="26" max="27" width="13" hidden="1" bestFit="1" customWidth="1"/>
    <col min="28" max="28" width="13" bestFit="1" customWidth="1"/>
    <col min="29" max="30" width="13" hidden="1" bestFit="1" customWidth="1"/>
    <col min="31" max="31" width="13" bestFit="1" customWidth="1"/>
    <col min="32" max="33" width="13" hidden="1" bestFit="1" customWidth="1"/>
    <col min="34" max="34" width="13" bestFit="1" customWidth="1"/>
    <col min="35" max="36" width="13" hidden="1" bestFit="1" customWidth="1"/>
    <col min="37" max="37" width="13" bestFit="1" customWidth="1"/>
    <col min="38" max="39" width="13" hidden="1" bestFit="1" customWidth="1"/>
    <col min="40" max="40" width="13" bestFit="1" customWidth="1"/>
    <col min="41" max="42" width="13" hidden="1" bestFit="1" customWidth="1"/>
    <col min="43" max="43" width="13" bestFit="1" customWidth="1"/>
    <col min="44" max="45" width="13" hidden="1" bestFit="1" customWidth="1"/>
    <col min="46" max="46" width="13" bestFit="1" customWidth="1"/>
    <col min="47" max="48" width="13" hidden="1" bestFit="1" customWidth="1"/>
    <col min="49" max="49" width="13" bestFit="1" customWidth="1"/>
    <col min="50" max="51" width="13" hidden="1" bestFit="1" customWidth="1"/>
    <col min="52" max="52" width="13" bestFit="1" customWidth="1"/>
    <col min="53" max="54" width="13" hidden="1" bestFit="1" customWidth="1"/>
    <col min="55" max="55" width="13" bestFit="1" customWidth="1"/>
    <col min="56" max="57" width="13" hidden="1" bestFit="1" customWidth="1"/>
    <col min="58" max="58" width="13" bestFit="1" customWidth="1"/>
    <col min="59" max="60" width="13" hidden="1" bestFit="1" customWidth="1"/>
    <col min="61" max="61" width="13" bestFit="1" customWidth="1"/>
    <col min="62" max="62" width="13" hidden="1" bestFit="1" customWidth="1"/>
  </cols>
  <sheetData>
    <row r="1" spans="1:64" x14ac:dyDescent="0.35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t="s">
        <v>5</v>
      </c>
      <c r="G1" s="16" t="s">
        <v>6</v>
      </c>
      <c r="H1" t="s">
        <v>7</v>
      </c>
      <c r="I1" t="s">
        <v>8</v>
      </c>
      <c r="J1" s="16" t="s">
        <v>9</v>
      </c>
      <c r="K1" t="s">
        <v>10</v>
      </c>
      <c r="L1" t="s">
        <v>11</v>
      </c>
      <c r="M1" s="16" t="s">
        <v>12</v>
      </c>
      <c r="N1" t="s">
        <v>13</v>
      </c>
      <c r="O1" t="s">
        <v>14</v>
      </c>
      <c r="P1" s="16" t="s">
        <v>15</v>
      </c>
      <c r="Q1" t="s">
        <v>16</v>
      </c>
      <c r="R1" t="s">
        <v>17</v>
      </c>
      <c r="S1" s="16" t="s">
        <v>18</v>
      </c>
      <c r="T1" t="s">
        <v>19</v>
      </c>
      <c r="U1" t="s">
        <v>20</v>
      </c>
      <c r="V1" s="16" t="s">
        <v>21</v>
      </c>
      <c r="W1" t="s">
        <v>22</v>
      </c>
      <c r="X1" t="s">
        <v>23</v>
      </c>
      <c r="Y1" s="16" t="s">
        <v>24</v>
      </c>
      <c r="Z1" t="s">
        <v>25</v>
      </c>
      <c r="AA1" t="s">
        <v>26</v>
      </c>
      <c r="AB1" s="16" t="s">
        <v>27</v>
      </c>
      <c r="AC1" t="s">
        <v>28</v>
      </c>
      <c r="AD1" t="s">
        <v>29</v>
      </c>
      <c r="AE1" s="16" t="s">
        <v>30</v>
      </c>
      <c r="AF1" t="s">
        <v>31</v>
      </c>
      <c r="AG1" t="s">
        <v>32</v>
      </c>
      <c r="AH1" s="16" t="s">
        <v>33</v>
      </c>
      <c r="AI1" t="s">
        <v>34</v>
      </c>
      <c r="AJ1" t="s">
        <v>35</v>
      </c>
      <c r="AK1" s="16" t="s">
        <v>36</v>
      </c>
      <c r="AL1" t="s">
        <v>37</v>
      </c>
      <c r="AM1" t="s">
        <v>38</v>
      </c>
      <c r="AN1" s="16" t="s">
        <v>39</v>
      </c>
      <c r="AO1" t="s">
        <v>40</v>
      </c>
      <c r="AP1" t="s">
        <v>41</v>
      </c>
      <c r="AQ1" s="16" t="s">
        <v>42</v>
      </c>
      <c r="AR1" t="s">
        <v>43</v>
      </c>
      <c r="AS1" t="s">
        <v>44</v>
      </c>
      <c r="AT1" s="16" t="s">
        <v>45</v>
      </c>
      <c r="AU1" t="s">
        <v>46</v>
      </c>
      <c r="AV1" t="s">
        <v>47</v>
      </c>
      <c r="AW1" s="16" t="s">
        <v>48</v>
      </c>
      <c r="AX1" t="s">
        <v>49</v>
      </c>
      <c r="AY1" t="s">
        <v>50</v>
      </c>
      <c r="AZ1" s="16" t="s">
        <v>51</v>
      </c>
      <c r="BA1" t="s">
        <v>52</v>
      </c>
      <c r="BB1" t="s">
        <v>53</v>
      </c>
      <c r="BC1" s="16" t="s">
        <v>54</v>
      </c>
      <c r="BD1" t="s">
        <v>55</v>
      </c>
      <c r="BE1" t="s">
        <v>56</v>
      </c>
      <c r="BF1" s="16" t="s">
        <v>57</v>
      </c>
      <c r="BG1" t="s">
        <v>58</v>
      </c>
      <c r="BH1" t="s">
        <v>59</v>
      </c>
      <c r="BI1" s="16" t="s">
        <v>60</v>
      </c>
      <c r="BJ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1">
        <v>7588</v>
      </c>
      <c r="C2" s="1">
        <v>6835</v>
      </c>
      <c r="D2" s="46">
        <v>6625</v>
      </c>
      <c r="E2" s="1">
        <v>6401</v>
      </c>
      <c r="F2" s="1">
        <v>6198</v>
      </c>
      <c r="G2" s="46">
        <v>6019</v>
      </c>
      <c r="H2" s="1">
        <v>5766</v>
      </c>
      <c r="I2" s="1">
        <v>5546</v>
      </c>
      <c r="J2" s="46">
        <v>5356</v>
      </c>
      <c r="K2" s="1">
        <v>5180</v>
      </c>
      <c r="L2" s="1">
        <v>5008</v>
      </c>
      <c r="M2" s="46">
        <v>4869</v>
      </c>
      <c r="N2" s="1">
        <v>4687</v>
      </c>
      <c r="O2" s="1">
        <v>4439</v>
      </c>
      <c r="P2" s="46">
        <v>4281</v>
      </c>
      <c r="Q2" s="1">
        <v>4134</v>
      </c>
      <c r="R2" s="1">
        <v>3882</v>
      </c>
      <c r="S2" s="46">
        <v>3698</v>
      </c>
      <c r="T2" s="1">
        <v>3512</v>
      </c>
      <c r="U2" s="1">
        <v>3419</v>
      </c>
      <c r="V2" s="46">
        <v>3286</v>
      </c>
      <c r="W2" s="1">
        <v>3126</v>
      </c>
      <c r="X2" s="1">
        <v>2942</v>
      </c>
      <c r="Y2" s="46">
        <v>2795</v>
      </c>
      <c r="Z2" s="1">
        <v>2625</v>
      </c>
      <c r="AA2" s="1">
        <v>2368</v>
      </c>
      <c r="AB2" s="46">
        <v>2207</v>
      </c>
      <c r="AC2" s="1">
        <v>2061</v>
      </c>
      <c r="AD2" s="1">
        <v>1885</v>
      </c>
      <c r="AE2" s="46">
        <v>1766</v>
      </c>
      <c r="AF2" s="1">
        <v>1639</v>
      </c>
      <c r="AG2" s="1">
        <v>1525</v>
      </c>
      <c r="AH2" s="46">
        <v>1452</v>
      </c>
      <c r="AI2" s="1">
        <v>1370</v>
      </c>
      <c r="AJ2" s="1">
        <v>1258</v>
      </c>
      <c r="AK2" s="46">
        <v>1162</v>
      </c>
      <c r="AL2" s="1">
        <v>1068</v>
      </c>
      <c r="AM2" s="1">
        <v>1002</v>
      </c>
      <c r="AN2" s="46">
        <v>957</v>
      </c>
      <c r="AO2" s="1">
        <v>887</v>
      </c>
      <c r="AP2" s="1">
        <v>834</v>
      </c>
      <c r="AQ2" s="46">
        <v>763</v>
      </c>
      <c r="AR2" s="1">
        <v>682</v>
      </c>
      <c r="AS2" s="1">
        <v>614</v>
      </c>
      <c r="AT2" s="46">
        <v>580</v>
      </c>
      <c r="AU2" s="1">
        <v>549</v>
      </c>
      <c r="AV2" s="1">
        <v>502</v>
      </c>
      <c r="AW2" s="46">
        <v>447</v>
      </c>
      <c r="AX2" s="1">
        <v>392</v>
      </c>
      <c r="AY2" s="1">
        <v>359</v>
      </c>
      <c r="AZ2" s="46">
        <v>272</v>
      </c>
      <c r="BA2" s="1">
        <v>202</v>
      </c>
      <c r="BB2" s="1">
        <v>185</v>
      </c>
      <c r="BC2" s="46">
        <v>165</v>
      </c>
      <c r="BD2" s="1">
        <v>130</v>
      </c>
      <c r="BE2" s="1">
        <v>106</v>
      </c>
      <c r="BF2" s="46">
        <v>87</v>
      </c>
      <c r="BG2" s="1">
        <v>68</v>
      </c>
      <c r="BH2" s="1">
        <v>46</v>
      </c>
      <c r="BI2" s="46">
        <v>21</v>
      </c>
      <c r="BJ2" s="1">
        <v>11</v>
      </c>
      <c r="BK2" s="1">
        <v>9</v>
      </c>
      <c r="BL2">
        <v>6</v>
      </c>
    </row>
    <row r="3" spans="1:64" ht="15.5" x14ac:dyDescent="0.35">
      <c r="A3" t="s">
        <v>65</v>
      </c>
      <c r="B3" s="1">
        <v>1783</v>
      </c>
      <c r="C3" s="1">
        <v>1736</v>
      </c>
      <c r="D3" s="46">
        <v>1729</v>
      </c>
      <c r="E3" s="1">
        <v>1725</v>
      </c>
      <c r="F3" s="1">
        <v>1675</v>
      </c>
      <c r="G3" s="46">
        <v>1660</v>
      </c>
      <c r="H3" s="1">
        <v>1646</v>
      </c>
      <c r="I3" s="1">
        <v>1626</v>
      </c>
      <c r="J3" s="46">
        <v>1622</v>
      </c>
      <c r="K3" s="1">
        <v>1609</v>
      </c>
      <c r="L3" s="1">
        <v>1582</v>
      </c>
      <c r="M3" s="46">
        <v>1547</v>
      </c>
      <c r="N3" s="1">
        <v>1533</v>
      </c>
      <c r="O3" s="1">
        <v>1521</v>
      </c>
      <c r="P3" s="46">
        <v>1488</v>
      </c>
      <c r="Q3" s="1">
        <v>1453</v>
      </c>
      <c r="R3" s="1">
        <v>1409</v>
      </c>
      <c r="S3" s="46">
        <v>1361</v>
      </c>
      <c r="T3" s="1">
        <v>1339</v>
      </c>
      <c r="U3" s="1">
        <v>1316</v>
      </c>
      <c r="V3" s="46">
        <v>1310</v>
      </c>
      <c r="W3" s="1">
        <v>1281</v>
      </c>
      <c r="X3" s="1">
        <v>1252</v>
      </c>
      <c r="Y3" s="46">
        <v>1162</v>
      </c>
      <c r="Z3" s="1">
        <v>1149</v>
      </c>
      <c r="AA3" s="1">
        <v>1124</v>
      </c>
      <c r="AB3" s="46">
        <v>1108</v>
      </c>
      <c r="AC3" s="1">
        <v>1086</v>
      </c>
      <c r="AD3" s="1">
        <v>1069</v>
      </c>
      <c r="AE3" s="46">
        <v>1049</v>
      </c>
      <c r="AF3" s="1">
        <v>1025</v>
      </c>
      <c r="AG3" s="1">
        <v>1012</v>
      </c>
      <c r="AH3" s="46">
        <v>975</v>
      </c>
      <c r="AI3" s="1">
        <v>939</v>
      </c>
      <c r="AJ3" s="1">
        <v>906</v>
      </c>
      <c r="AK3" s="46">
        <v>878</v>
      </c>
      <c r="AL3" s="1">
        <v>823</v>
      </c>
      <c r="AM3" s="1">
        <v>726</v>
      </c>
      <c r="AN3" s="46">
        <v>652</v>
      </c>
      <c r="AO3" s="1">
        <v>466</v>
      </c>
      <c r="AP3" s="1">
        <v>403</v>
      </c>
      <c r="AQ3" s="46">
        <v>267</v>
      </c>
      <c r="AR3" s="1">
        <v>260</v>
      </c>
      <c r="AS3" s="1">
        <v>250</v>
      </c>
      <c r="AT3" s="46">
        <v>249</v>
      </c>
      <c r="AU3" s="1">
        <v>245</v>
      </c>
      <c r="AV3" s="1">
        <v>232</v>
      </c>
      <c r="AW3" s="46">
        <v>203</v>
      </c>
      <c r="AX3" s="1">
        <v>189</v>
      </c>
      <c r="AY3" s="1">
        <v>187</v>
      </c>
      <c r="AZ3" s="46">
        <v>152</v>
      </c>
      <c r="BA3" s="1">
        <v>142</v>
      </c>
      <c r="BB3" s="1">
        <v>142</v>
      </c>
      <c r="BC3" s="46">
        <v>142</v>
      </c>
      <c r="BD3" s="1">
        <v>139</v>
      </c>
      <c r="BE3" s="1">
        <v>124</v>
      </c>
      <c r="BF3" s="46">
        <v>120</v>
      </c>
      <c r="BG3" s="1">
        <v>107</v>
      </c>
      <c r="BH3" s="1">
        <v>102</v>
      </c>
      <c r="BI3" s="46">
        <v>99</v>
      </c>
      <c r="BJ3" s="1">
        <v>27</v>
      </c>
      <c r="BK3" s="1">
        <v>14</v>
      </c>
      <c r="BL3">
        <v>14</v>
      </c>
    </row>
    <row r="4" spans="1:64" ht="15.5" x14ac:dyDescent="0.35">
      <c r="A4" t="s">
        <v>66</v>
      </c>
      <c r="B4" s="1">
        <v>1</v>
      </c>
      <c r="C4" s="1">
        <v>1</v>
      </c>
      <c r="D4" s="46">
        <v>1</v>
      </c>
      <c r="E4" s="1">
        <v>1</v>
      </c>
      <c r="F4" s="1">
        <v>1</v>
      </c>
      <c r="G4" s="46">
        <v>1</v>
      </c>
      <c r="H4" s="1">
        <v>1</v>
      </c>
      <c r="I4" s="1">
        <v>1</v>
      </c>
      <c r="J4" s="46">
        <v>1</v>
      </c>
      <c r="K4" s="1">
        <v>1</v>
      </c>
      <c r="L4" s="1">
        <v>1</v>
      </c>
      <c r="M4" s="46">
        <v>1</v>
      </c>
      <c r="N4" s="1">
        <v>1</v>
      </c>
      <c r="O4" s="1">
        <v>0</v>
      </c>
      <c r="P4" s="46">
        <v>0</v>
      </c>
      <c r="Q4" s="1">
        <v>0</v>
      </c>
      <c r="R4" s="1">
        <v>0</v>
      </c>
      <c r="S4" s="46">
        <v>0</v>
      </c>
      <c r="T4" s="1">
        <v>0</v>
      </c>
      <c r="U4" s="1">
        <v>0</v>
      </c>
      <c r="V4" s="46">
        <v>0</v>
      </c>
      <c r="W4" s="1">
        <v>0</v>
      </c>
      <c r="X4" s="1">
        <v>0</v>
      </c>
      <c r="Y4" s="46">
        <v>0</v>
      </c>
      <c r="Z4" s="1">
        <v>0</v>
      </c>
      <c r="AA4" s="1">
        <v>0</v>
      </c>
      <c r="AB4" s="46">
        <v>0</v>
      </c>
      <c r="AC4" s="1">
        <v>0</v>
      </c>
      <c r="AD4" s="1">
        <v>0</v>
      </c>
      <c r="AE4" s="46">
        <v>0</v>
      </c>
      <c r="AF4" s="1">
        <v>0</v>
      </c>
      <c r="AG4" s="1">
        <v>0</v>
      </c>
      <c r="AH4" s="46">
        <v>0</v>
      </c>
      <c r="AI4" s="1">
        <v>0</v>
      </c>
      <c r="AJ4" s="1">
        <v>0</v>
      </c>
      <c r="AK4" s="46">
        <v>0</v>
      </c>
      <c r="AL4" s="1">
        <v>0</v>
      </c>
      <c r="AM4" s="1">
        <v>0</v>
      </c>
      <c r="AN4" s="46">
        <v>0</v>
      </c>
      <c r="AO4" s="1">
        <v>0</v>
      </c>
      <c r="AP4" s="1">
        <v>0</v>
      </c>
      <c r="AQ4" s="46">
        <v>0</v>
      </c>
      <c r="AR4" s="1">
        <v>0</v>
      </c>
      <c r="AS4" s="1">
        <v>0</v>
      </c>
      <c r="AT4" s="46">
        <v>0</v>
      </c>
      <c r="AU4" s="1">
        <v>0</v>
      </c>
      <c r="AV4" s="1">
        <v>0</v>
      </c>
      <c r="AW4" s="46">
        <v>0</v>
      </c>
      <c r="AX4" s="1">
        <v>0</v>
      </c>
      <c r="AY4" s="1">
        <v>0</v>
      </c>
      <c r="AZ4" s="46">
        <v>0</v>
      </c>
      <c r="BA4" s="1">
        <v>0</v>
      </c>
      <c r="BB4" s="1">
        <v>0</v>
      </c>
      <c r="BC4" s="46">
        <v>0</v>
      </c>
      <c r="BD4" s="1">
        <v>0</v>
      </c>
      <c r="BE4" s="1">
        <v>0</v>
      </c>
      <c r="BF4" s="46">
        <v>0</v>
      </c>
      <c r="BG4" s="1">
        <v>0</v>
      </c>
      <c r="BH4" s="1">
        <v>0</v>
      </c>
      <c r="BI4" s="46">
        <v>0</v>
      </c>
      <c r="BJ4" s="1">
        <v>0</v>
      </c>
      <c r="BK4" s="1">
        <v>0</v>
      </c>
      <c r="BL4">
        <v>0</v>
      </c>
    </row>
    <row r="5" spans="1:64" ht="15.5" x14ac:dyDescent="0.35">
      <c r="A5" t="s">
        <v>67</v>
      </c>
      <c r="B5" s="1">
        <v>103115333.48999999</v>
      </c>
      <c r="C5" s="1">
        <v>94747081.370000005</v>
      </c>
      <c r="D5" s="46">
        <v>92614010.180000007</v>
      </c>
      <c r="E5" s="1">
        <v>90561599.280000001</v>
      </c>
      <c r="F5" s="1">
        <v>88297921.359999999</v>
      </c>
      <c r="G5" s="46">
        <v>86341096.669999987</v>
      </c>
      <c r="H5" s="1">
        <v>83524879.840000004</v>
      </c>
      <c r="I5" s="1">
        <v>80729684.639999986</v>
      </c>
      <c r="J5" s="46">
        <v>78793362.269999996</v>
      </c>
      <c r="K5" s="1">
        <v>77126425.189999998</v>
      </c>
      <c r="L5" s="1">
        <v>75138700.900000006</v>
      </c>
      <c r="M5" s="46">
        <v>73128550.829999998</v>
      </c>
      <c r="N5" s="1">
        <v>71091708.590000004</v>
      </c>
      <c r="O5" s="1">
        <v>68552089.760000005</v>
      </c>
      <c r="P5" s="46">
        <v>65812191.509999998</v>
      </c>
      <c r="Q5" s="1">
        <v>62993677.459999993</v>
      </c>
      <c r="R5" s="1">
        <v>60152829.810000002</v>
      </c>
      <c r="S5" s="46">
        <v>57544683.760000013</v>
      </c>
      <c r="T5" s="1">
        <v>55369515.700000003</v>
      </c>
      <c r="U5" s="1">
        <v>53946081.109999999</v>
      </c>
      <c r="V5" s="46">
        <v>52559437.670000002</v>
      </c>
      <c r="W5" s="1">
        <v>50502034.630000003</v>
      </c>
      <c r="X5" s="1">
        <v>48123411.420000002</v>
      </c>
      <c r="Y5" s="46">
        <v>45812684.979999997</v>
      </c>
      <c r="Z5" s="1">
        <v>43556705.469999999</v>
      </c>
      <c r="AA5" s="1">
        <v>41239855.609999999</v>
      </c>
      <c r="AB5" s="46">
        <v>38735820.409999996</v>
      </c>
      <c r="AC5" s="1">
        <v>36000018.899999999</v>
      </c>
      <c r="AD5" s="1">
        <v>33765995.400000013</v>
      </c>
      <c r="AE5" s="46">
        <v>31713870.420000002</v>
      </c>
      <c r="AF5" s="1">
        <v>29042839.93</v>
      </c>
      <c r="AG5" s="1">
        <v>27427955.170000002</v>
      </c>
      <c r="AH5" s="46">
        <v>26124842.489999998</v>
      </c>
      <c r="AI5" s="1">
        <v>24900684.460000001</v>
      </c>
      <c r="AJ5" s="1">
        <v>22881341.43</v>
      </c>
      <c r="AK5" s="46">
        <v>21132194.870000001</v>
      </c>
      <c r="AL5" s="1">
        <v>19051617.510000002</v>
      </c>
      <c r="AM5" s="1">
        <v>17635526.870000001</v>
      </c>
      <c r="AN5" s="46">
        <v>16580320.5</v>
      </c>
      <c r="AO5" s="1">
        <v>14987369.1</v>
      </c>
      <c r="AP5" s="1">
        <v>13714706.33</v>
      </c>
      <c r="AQ5" s="46">
        <v>11705036.380000001</v>
      </c>
      <c r="AR5" s="1">
        <v>10292631.59</v>
      </c>
      <c r="AS5" s="1">
        <v>9379589.4700000007</v>
      </c>
      <c r="AT5" s="46">
        <v>8901671.7399999984</v>
      </c>
      <c r="AU5" s="1">
        <v>8474870.8900000006</v>
      </c>
      <c r="AV5" s="1">
        <v>7727438.1200000001</v>
      </c>
      <c r="AW5" s="46">
        <v>6522635.3899999997</v>
      </c>
      <c r="AX5" s="1">
        <v>5664392.0100000007</v>
      </c>
      <c r="AY5" s="1">
        <v>5365664.55</v>
      </c>
      <c r="AZ5" s="46">
        <v>4283088.2699999996</v>
      </c>
      <c r="BA5" s="1">
        <v>3507997.810000001</v>
      </c>
      <c r="BB5" s="1">
        <v>3282615.48</v>
      </c>
      <c r="BC5" s="46">
        <v>3055787.29</v>
      </c>
      <c r="BD5" s="1">
        <v>2699585.95</v>
      </c>
      <c r="BE5" s="1">
        <v>2391863.9500000002</v>
      </c>
      <c r="BF5" s="46">
        <v>2096048.76</v>
      </c>
      <c r="BG5" s="1">
        <v>1750038.66</v>
      </c>
      <c r="BH5" s="1">
        <v>1479987.55</v>
      </c>
      <c r="BI5" s="46">
        <v>1117617.8600000001</v>
      </c>
      <c r="BJ5" s="1">
        <v>391558.94000000012</v>
      </c>
      <c r="BK5" s="1">
        <v>245831.24999999991</v>
      </c>
      <c r="BL5">
        <v>219764.53</v>
      </c>
    </row>
    <row r="6" spans="1:64" ht="15.5" x14ac:dyDescent="0.35">
      <c r="A6" t="s">
        <v>68</v>
      </c>
      <c r="B6" s="1">
        <v>50043111.140000001</v>
      </c>
      <c r="C6" s="1">
        <v>46317167.159999996</v>
      </c>
      <c r="D6" s="46">
        <v>45365076.799999997</v>
      </c>
      <c r="E6" s="1">
        <v>44417109.479999997</v>
      </c>
      <c r="F6" s="1">
        <v>43318987.900000013</v>
      </c>
      <c r="G6" s="46">
        <v>42435458.770000003</v>
      </c>
      <c r="H6" s="1">
        <v>41191052.900000013</v>
      </c>
      <c r="I6" s="1">
        <v>39857014.869999997</v>
      </c>
      <c r="J6" s="46">
        <v>39047613.969999999</v>
      </c>
      <c r="K6" s="1">
        <v>38276716.329999998</v>
      </c>
      <c r="L6" s="1">
        <v>37317950.75</v>
      </c>
      <c r="M6" s="46">
        <v>36248905.810000002</v>
      </c>
      <c r="N6" s="1">
        <v>35273580.700000003</v>
      </c>
      <c r="O6" s="1">
        <v>34085920.590000004</v>
      </c>
      <c r="P6" s="46">
        <v>32706394.670000002</v>
      </c>
      <c r="Q6" s="1">
        <v>31129707.789999999</v>
      </c>
      <c r="R6" s="1">
        <v>29817123.719999999</v>
      </c>
      <c r="S6" s="46">
        <v>28494768.07</v>
      </c>
      <c r="T6" s="1">
        <v>27472600.34</v>
      </c>
      <c r="U6" s="1">
        <v>26750142.41</v>
      </c>
      <c r="V6" s="46">
        <v>26123694.760000002</v>
      </c>
      <c r="W6" s="1">
        <v>25081178.030000001</v>
      </c>
      <c r="X6" s="1">
        <v>23916410.300000001</v>
      </c>
      <c r="Y6" s="46">
        <v>22667818.149999999</v>
      </c>
      <c r="Z6" s="1">
        <v>21596972.210000001</v>
      </c>
      <c r="AA6" s="1">
        <v>20595622.489999998</v>
      </c>
      <c r="AB6" s="46">
        <v>19323880.629999999</v>
      </c>
      <c r="AC6" s="1">
        <v>17933788.710000001</v>
      </c>
      <c r="AD6" s="1">
        <v>16853036.82</v>
      </c>
      <c r="AE6" s="46">
        <v>15751925.67</v>
      </c>
      <c r="AF6" s="1">
        <v>14512482.439999999</v>
      </c>
      <c r="AG6" s="1">
        <v>13683678.289999999</v>
      </c>
      <c r="AH6" s="46">
        <v>13064332.84</v>
      </c>
      <c r="AI6" s="1">
        <v>12453129.109999999</v>
      </c>
      <c r="AJ6" s="1">
        <v>11573036.439999999</v>
      </c>
      <c r="AK6" s="46">
        <v>10616087.390000001</v>
      </c>
      <c r="AL6" s="1">
        <v>9444576.0199999996</v>
      </c>
      <c r="AM6" s="1">
        <v>8712191.8200000003</v>
      </c>
      <c r="AN6" s="46">
        <v>8182590.1699999999</v>
      </c>
      <c r="AO6" s="1">
        <v>7299416.4199999999</v>
      </c>
      <c r="AP6" s="1">
        <v>6554191.959999999</v>
      </c>
      <c r="AQ6" s="46">
        <v>5479307.75</v>
      </c>
      <c r="AR6" s="1">
        <v>4834354.58</v>
      </c>
      <c r="AS6" s="1">
        <v>4419020.79</v>
      </c>
      <c r="AT6" s="46">
        <v>4209030.91</v>
      </c>
      <c r="AU6" s="1">
        <v>4007618.34</v>
      </c>
      <c r="AV6" s="1">
        <v>3665135.19</v>
      </c>
      <c r="AW6" s="46">
        <v>3044639.55</v>
      </c>
      <c r="AX6" s="1">
        <v>2635582.7000000002</v>
      </c>
      <c r="AY6" s="1">
        <v>2517556.1800000002</v>
      </c>
      <c r="AZ6" s="46">
        <v>2005329.59</v>
      </c>
      <c r="BA6" s="1">
        <v>1664575.19</v>
      </c>
      <c r="BB6" s="1">
        <v>1568298.53</v>
      </c>
      <c r="BC6" s="46">
        <v>1476971.34</v>
      </c>
      <c r="BD6" s="1">
        <v>1335966.72</v>
      </c>
      <c r="BE6" s="1">
        <v>1185708.69</v>
      </c>
      <c r="BF6" s="46">
        <v>1066046.04</v>
      </c>
      <c r="BG6" s="1">
        <v>885303.47</v>
      </c>
      <c r="BH6" s="1">
        <v>753160.16</v>
      </c>
      <c r="BI6" s="46">
        <v>578583.21000000008</v>
      </c>
      <c r="BJ6" s="1">
        <v>183202.9</v>
      </c>
      <c r="BK6" s="1">
        <v>97291.22</v>
      </c>
      <c r="BL6">
        <v>87911.38</v>
      </c>
    </row>
    <row r="7" spans="1:64" ht="15.5" x14ac:dyDescent="0.35">
      <c r="A7" t="s">
        <v>69</v>
      </c>
      <c r="B7" s="1">
        <v>24455892.41</v>
      </c>
      <c r="C7" s="1">
        <v>23024793.879999999</v>
      </c>
      <c r="D7" s="46">
        <v>22584689.870000001</v>
      </c>
      <c r="E7" s="1">
        <v>22184813.82</v>
      </c>
      <c r="F7" s="1">
        <v>21742934.420000002</v>
      </c>
      <c r="G7" s="46">
        <v>21336837.82</v>
      </c>
      <c r="H7" s="1">
        <v>20790488.57</v>
      </c>
      <c r="I7" s="1">
        <v>20270313.809999999</v>
      </c>
      <c r="J7" s="46">
        <v>19898800.280000001</v>
      </c>
      <c r="K7" s="1">
        <v>19524889.25</v>
      </c>
      <c r="L7" s="1">
        <v>19078658.649999999</v>
      </c>
      <c r="M7" s="46">
        <v>18607925.09</v>
      </c>
      <c r="N7" s="1">
        <v>18137711.629999999</v>
      </c>
      <c r="O7" s="1">
        <v>17526861.77</v>
      </c>
      <c r="P7" s="46">
        <v>16903689.57</v>
      </c>
      <c r="Q7" s="1">
        <v>16239380.109999999</v>
      </c>
      <c r="R7" s="1">
        <v>15528159.390000001</v>
      </c>
      <c r="S7" s="46">
        <v>14885309.529999999</v>
      </c>
      <c r="T7" s="1">
        <v>14384160.960000001</v>
      </c>
      <c r="U7" s="1">
        <v>14030349.51</v>
      </c>
      <c r="V7" s="46">
        <v>13691752.130000001</v>
      </c>
      <c r="W7" s="1">
        <v>13195862.43</v>
      </c>
      <c r="X7" s="1">
        <v>12610237.08</v>
      </c>
      <c r="Y7" s="46">
        <v>12104806.93</v>
      </c>
      <c r="Z7" s="1">
        <v>11553015.289999999</v>
      </c>
      <c r="AA7" s="1">
        <v>10992056.289999999</v>
      </c>
      <c r="AB7" s="46">
        <v>10405401.869999999</v>
      </c>
      <c r="AC7" s="1">
        <v>9724270.629999999</v>
      </c>
      <c r="AD7" s="1">
        <v>9184117.3599999994</v>
      </c>
      <c r="AE7" s="46">
        <v>8691642.0899999999</v>
      </c>
      <c r="AF7" s="1">
        <v>7981874.9400000004</v>
      </c>
      <c r="AG7" s="1">
        <v>7563508.9499999993</v>
      </c>
      <c r="AH7" s="46">
        <v>7182167.5999999996</v>
      </c>
      <c r="AI7" s="1">
        <v>6860764.9500000011</v>
      </c>
      <c r="AJ7" s="1">
        <v>6362057.3700000001</v>
      </c>
      <c r="AK7" s="46">
        <v>5910587.4800000004</v>
      </c>
      <c r="AL7" s="1">
        <v>5375007.6600000001</v>
      </c>
      <c r="AM7" s="1">
        <v>4992308.2899999991</v>
      </c>
      <c r="AN7" s="46">
        <v>4685872.7300000004</v>
      </c>
      <c r="AO7" s="1">
        <v>4286406.26</v>
      </c>
      <c r="AP7" s="1">
        <v>3961490.99</v>
      </c>
      <c r="AQ7" s="46">
        <v>3414244.92</v>
      </c>
      <c r="AR7" s="1">
        <v>3029412.44</v>
      </c>
      <c r="AS7" s="1">
        <v>2755483.36</v>
      </c>
      <c r="AT7" s="46">
        <v>2616763.27</v>
      </c>
      <c r="AU7" s="1">
        <v>2492343.29</v>
      </c>
      <c r="AV7" s="1">
        <v>2270108.1800000002</v>
      </c>
      <c r="AW7" s="46">
        <v>1922980.69</v>
      </c>
      <c r="AX7" s="1">
        <v>1667162.8</v>
      </c>
      <c r="AY7" s="1">
        <v>1568889.96</v>
      </c>
      <c r="AZ7" s="46">
        <v>1235913.02</v>
      </c>
      <c r="BA7" s="1">
        <v>1000804.42</v>
      </c>
      <c r="BB7" s="1">
        <v>933223.90999999992</v>
      </c>
      <c r="BC7" s="46">
        <v>862479.3899999999</v>
      </c>
      <c r="BD7" s="1">
        <v>743452.31</v>
      </c>
      <c r="BE7" s="1">
        <v>656534.92999999993</v>
      </c>
      <c r="BF7" s="46">
        <v>568434.74</v>
      </c>
      <c r="BG7" s="1">
        <v>473312.35</v>
      </c>
      <c r="BH7" s="1">
        <v>394204.83</v>
      </c>
      <c r="BI7" s="46">
        <v>288743.37</v>
      </c>
      <c r="BJ7" s="1">
        <v>119689.94</v>
      </c>
      <c r="BK7" s="1">
        <v>82561.69</v>
      </c>
      <c r="BL7">
        <v>73925.710000000006</v>
      </c>
    </row>
    <row r="8" spans="1:64" ht="15.5" x14ac:dyDescent="0.35">
      <c r="A8" t="s">
        <v>70</v>
      </c>
      <c r="B8" s="1">
        <v>6069025</v>
      </c>
      <c r="C8" s="1">
        <v>5533016.0800000001</v>
      </c>
      <c r="D8" s="46">
        <v>5415095.21</v>
      </c>
      <c r="E8" s="1">
        <v>5304927.26</v>
      </c>
      <c r="F8" s="1">
        <v>5164334.33</v>
      </c>
      <c r="G8" s="46">
        <v>5056166.57</v>
      </c>
      <c r="H8" s="1">
        <v>4910657.16</v>
      </c>
      <c r="I8" s="1">
        <v>4649494.8499999996</v>
      </c>
      <c r="J8" s="46">
        <v>4546923.75</v>
      </c>
      <c r="K8" s="1">
        <v>4441953.91</v>
      </c>
      <c r="L8" s="1">
        <v>4318272.16</v>
      </c>
      <c r="M8" s="46">
        <v>4213870.2200000007</v>
      </c>
      <c r="N8" s="1">
        <v>4105551.45</v>
      </c>
      <c r="O8" s="1">
        <v>3963017.29</v>
      </c>
      <c r="P8" s="46">
        <v>3816204.7</v>
      </c>
      <c r="Q8" s="1">
        <v>3684263.67</v>
      </c>
      <c r="R8" s="1">
        <v>3532073.59</v>
      </c>
      <c r="S8" s="46">
        <v>3384848.35</v>
      </c>
      <c r="T8" s="1">
        <v>3232959.38</v>
      </c>
      <c r="U8" s="1">
        <v>3148994.93</v>
      </c>
      <c r="V8" s="46">
        <v>3076840.27</v>
      </c>
      <c r="W8" s="1">
        <v>2963680.18</v>
      </c>
      <c r="X8" s="1">
        <v>2834796.11</v>
      </c>
      <c r="Y8" s="46">
        <v>2716431.96</v>
      </c>
      <c r="Z8" s="1">
        <v>2572031.66</v>
      </c>
      <c r="AA8" s="1">
        <v>2446134.81</v>
      </c>
      <c r="AB8" s="46">
        <v>2309160.7799999998</v>
      </c>
      <c r="AC8" s="1">
        <v>2142676.63</v>
      </c>
      <c r="AD8" s="1">
        <v>2044286.11</v>
      </c>
      <c r="AE8" s="46">
        <v>1926717.25</v>
      </c>
      <c r="AF8" s="1">
        <v>1785234.19</v>
      </c>
      <c r="AG8" s="1">
        <v>1703516.14</v>
      </c>
      <c r="AH8" s="46">
        <v>1627422.97</v>
      </c>
      <c r="AI8" s="1">
        <v>1554672.13</v>
      </c>
      <c r="AJ8" s="1">
        <v>1440352.26</v>
      </c>
      <c r="AK8" s="46">
        <v>1337864.21</v>
      </c>
      <c r="AL8" s="1">
        <v>1251640.3500000001</v>
      </c>
      <c r="AM8" s="1">
        <v>1168116.74</v>
      </c>
      <c r="AN8" s="46">
        <v>1089847.4099999999</v>
      </c>
      <c r="AO8" s="1">
        <v>1007041.59</v>
      </c>
      <c r="AP8" s="1">
        <v>939358.19000000006</v>
      </c>
      <c r="AQ8" s="46">
        <v>808891.05</v>
      </c>
      <c r="AR8" s="1">
        <v>725483.53</v>
      </c>
      <c r="AS8" s="1">
        <v>667694.75</v>
      </c>
      <c r="AT8" s="46">
        <v>638126.46</v>
      </c>
      <c r="AU8" s="1">
        <v>614427.02</v>
      </c>
      <c r="AV8" s="1">
        <v>565319.76</v>
      </c>
      <c r="AW8" s="46">
        <v>488924.3</v>
      </c>
      <c r="AX8" s="1">
        <v>442802.16</v>
      </c>
      <c r="AY8" s="1">
        <v>426806.72</v>
      </c>
      <c r="AZ8" s="46">
        <v>360489.37</v>
      </c>
      <c r="BA8" s="1">
        <v>302512.28999999998</v>
      </c>
      <c r="BB8" s="1">
        <v>290126.56</v>
      </c>
      <c r="BC8" s="46">
        <v>277483.95</v>
      </c>
      <c r="BD8" s="1">
        <v>253405.44</v>
      </c>
      <c r="BE8" s="1">
        <v>233633.64</v>
      </c>
      <c r="BF8" s="46">
        <v>214292.43</v>
      </c>
      <c r="BG8" s="1">
        <v>190545.39</v>
      </c>
      <c r="BH8" s="1">
        <v>178186.21</v>
      </c>
      <c r="BI8" s="46">
        <v>157101.15</v>
      </c>
      <c r="BJ8" s="1">
        <v>51536.33</v>
      </c>
      <c r="BK8" s="1">
        <v>39483.129999999997</v>
      </c>
      <c r="BL8">
        <v>38469.370000000003</v>
      </c>
    </row>
    <row r="9" spans="1:64" ht="15.5" x14ac:dyDescent="0.35">
      <c r="A9" t="s">
        <v>71</v>
      </c>
      <c r="B9" s="1">
        <v>407795112.62</v>
      </c>
      <c r="C9" s="1">
        <v>332616724.83999997</v>
      </c>
      <c r="D9" s="46">
        <v>316199885.11000001</v>
      </c>
      <c r="E9" s="1">
        <v>301680043.54000002</v>
      </c>
      <c r="F9" s="1">
        <v>286938676.39999998</v>
      </c>
      <c r="G9" s="46">
        <v>274224486.00999999</v>
      </c>
      <c r="H9" s="1">
        <v>253169382.46000001</v>
      </c>
      <c r="I9" s="1">
        <v>237227323.49000001</v>
      </c>
      <c r="J9" s="46">
        <v>223898386.44999999</v>
      </c>
      <c r="K9" s="1">
        <v>214150246.06999999</v>
      </c>
      <c r="L9" s="1">
        <v>203464648.12</v>
      </c>
      <c r="M9" s="46">
        <v>195015903.71000001</v>
      </c>
      <c r="N9" s="1">
        <v>185012695.22999999</v>
      </c>
      <c r="O9" s="1">
        <v>171906029.66</v>
      </c>
      <c r="P9" s="46">
        <v>159944809.88999999</v>
      </c>
      <c r="Q9" s="1">
        <v>151205444.09</v>
      </c>
      <c r="R9" s="1">
        <v>139468036.46000001</v>
      </c>
      <c r="S9" s="46">
        <v>130211835.98999999</v>
      </c>
      <c r="T9" s="1">
        <v>120917651.56999999</v>
      </c>
      <c r="U9" s="1">
        <v>116912887.79000001</v>
      </c>
      <c r="V9" s="46">
        <v>111878079.56999999</v>
      </c>
      <c r="W9" s="1">
        <v>105651887.72</v>
      </c>
      <c r="X9" s="1">
        <v>98365990.549999982</v>
      </c>
      <c r="Y9" s="46">
        <v>93090692.959999993</v>
      </c>
      <c r="Z9" s="1">
        <v>84934426.650000006</v>
      </c>
      <c r="AA9" s="1">
        <v>75907808.680000007</v>
      </c>
      <c r="AB9" s="46">
        <v>68139348.900000006</v>
      </c>
      <c r="AC9" s="1">
        <v>62158754.840000004</v>
      </c>
      <c r="AD9" s="1">
        <v>56942523.200000003</v>
      </c>
      <c r="AE9" s="46">
        <v>51791104.82</v>
      </c>
      <c r="AF9" s="1">
        <v>43531535.859999999</v>
      </c>
      <c r="AG9" s="1">
        <v>40584406.810000002</v>
      </c>
      <c r="AH9" s="46">
        <v>38377357.109999999</v>
      </c>
      <c r="AI9" s="1">
        <v>36395244.580000013</v>
      </c>
      <c r="AJ9" s="1">
        <v>31285114.829999998</v>
      </c>
      <c r="AK9" s="46">
        <v>27969472.620000001</v>
      </c>
      <c r="AL9" s="1">
        <v>26052552.899999999</v>
      </c>
      <c r="AM9" s="1">
        <v>23681554.91</v>
      </c>
      <c r="AN9" s="46">
        <v>22332272.75</v>
      </c>
      <c r="AO9" s="1">
        <v>20479700.77</v>
      </c>
      <c r="AP9" s="1">
        <v>19011333.030000001</v>
      </c>
      <c r="AQ9" s="46">
        <v>15565237.859999999</v>
      </c>
      <c r="AR9" s="1">
        <v>11557503.74</v>
      </c>
      <c r="AS9" s="1">
        <v>10143466.92</v>
      </c>
      <c r="AT9" s="46">
        <v>9294443.2599999998</v>
      </c>
      <c r="AU9" s="1">
        <v>8645085.4299999997</v>
      </c>
      <c r="AV9" s="1">
        <v>8017529.9800000004</v>
      </c>
      <c r="AW9" s="46">
        <v>7138882.2599999998</v>
      </c>
      <c r="AX9" s="1">
        <v>6129418.6699999999</v>
      </c>
      <c r="AY9" s="1">
        <v>5475930.4199999999</v>
      </c>
      <c r="AZ9" s="46">
        <v>3848969.43</v>
      </c>
      <c r="BA9" s="1">
        <v>2426561.9900000002</v>
      </c>
      <c r="BB9" s="1">
        <v>2097698.33</v>
      </c>
      <c r="BC9" s="46">
        <v>1723238.41</v>
      </c>
      <c r="BD9" s="1">
        <v>1239365.43</v>
      </c>
      <c r="BE9" s="1">
        <v>951488.76</v>
      </c>
      <c r="BF9" s="46">
        <v>624205.92000000004</v>
      </c>
      <c r="BG9" s="1">
        <v>419661.55</v>
      </c>
      <c r="BH9" s="1">
        <v>288868.28999999998</v>
      </c>
      <c r="BI9" s="46">
        <v>169239.05</v>
      </c>
      <c r="BJ9" s="1">
        <v>127235.24</v>
      </c>
      <c r="BK9" s="1">
        <v>111043.8</v>
      </c>
      <c r="BL9">
        <v>61982.720000000001</v>
      </c>
    </row>
    <row r="10" spans="1:64" ht="15.5" x14ac:dyDescent="0.35">
      <c r="A10" t="s">
        <v>72</v>
      </c>
      <c r="B10" s="1">
        <v>243833872.16999999</v>
      </c>
      <c r="C10" s="1">
        <v>212329639.47999999</v>
      </c>
      <c r="D10" s="46">
        <v>204612615.03999999</v>
      </c>
      <c r="E10" s="1">
        <v>198351854.53</v>
      </c>
      <c r="F10" s="1">
        <v>191612565.53</v>
      </c>
      <c r="G10" s="46">
        <v>185502377.59</v>
      </c>
      <c r="H10" s="1">
        <v>175152081.90000001</v>
      </c>
      <c r="I10" s="1">
        <v>166769865.81</v>
      </c>
      <c r="J10" s="46">
        <v>158699591.28999999</v>
      </c>
      <c r="K10" s="1">
        <v>153350587.19999999</v>
      </c>
      <c r="L10" s="1">
        <v>146996829.19999999</v>
      </c>
      <c r="M10" s="46">
        <v>142206581.65000001</v>
      </c>
      <c r="N10" s="1">
        <v>136427004.62</v>
      </c>
      <c r="O10" s="1">
        <v>128407338.34</v>
      </c>
      <c r="P10" s="46">
        <v>122045868.94</v>
      </c>
      <c r="Q10" s="1">
        <v>116929833.2</v>
      </c>
      <c r="R10" s="1">
        <v>109217888.98999999</v>
      </c>
      <c r="S10" s="46">
        <v>102902756.97</v>
      </c>
      <c r="T10" s="1">
        <v>96489986.810000002</v>
      </c>
      <c r="U10" s="1">
        <v>93944956.099999994</v>
      </c>
      <c r="V10" s="46">
        <v>90432918.75999999</v>
      </c>
      <c r="W10" s="1">
        <v>85820818.590000004</v>
      </c>
      <c r="X10" s="1">
        <v>80398659.540000007</v>
      </c>
      <c r="Y10" s="46">
        <v>76311396.969999999</v>
      </c>
      <c r="Z10" s="1">
        <v>70510165.199999988</v>
      </c>
      <c r="AA10" s="1">
        <v>63189043.390000001</v>
      </c>
      <c r="AB10" s="46">
        <v>57105408.049999997</v>
      </c>
      <c r="AC10" s="1">
        <v>52649634.579999998</v>
      </c>
      <c r="AD10" s="1">
        <v>48393631.469999999</v>
      </c>
      <c r="AE10" s="46">
        <v>44618922.219999999</v>
      </c>
      <c r="AF10" s="1">
        <v>38044900.059999987</v>
      </c>
      <c r="AG10" s="1">
        <v>35667408.149999999</v>
      </c>
      <c r="AH10" s="46">
        <v>33646739.869999997</v>
      </c>
      <c r="AI10" s="1">
        <v>31844042.469999999</v>
      </c>
      <c r="AJ10" s="1">
        <v>27537365.07</v>
      </c>
      <c r="AK10" s="46">
        <v>24908700.710000001</v>
      </c>
      <c r="AL10" s="1">
        <v>23162573.280000001</v>
      </c>
      <c r="AM10" s="1">
        <v>21275357.440000001</v>
      </c>
      <c r="AN10" s="46">
        <v>20078780.289999999</v>
      </c>
      <c r="AO10" s="1">
        <v>18431291.379999999</v>
      </c>
      <c r="AP10" s="1">
        <v>17085069.239999998</v>
      </c>
      <c r="AQ10" s="46">
        <v>14314939.42</v>
      </c>
      <c r="AR10" s="1">
        <v>10714513.960000001</v>
      </c>
      <c r="AS10" s="1">
        <v>9519258.1099999994</v>
      </c>
      <c r="AT10" s="46">
        <v>8727002.4299999997</v>
      </c>
      <c r="AU10" s="1">
        <v>8234291.6299999999</v>
      </c>
      <c r="AV10" s="1">
        <v>7617068.8299999991</v>
      </c>
      <c r="AW10" s="46">
        <v>6867008.9900000002</v>
      </c>
      <c r="AX10" s="1">
        <v>6011694.2199999997</v>
      </c>
      <c r="AY10" s="1">
        <v>5388110.04</v>
      </c>
      <c r="AZ10" s="46">
        <v>3789106.17</v>
      </c>
      <c r="BA10" s="1">
        <v>2381529.2400000002</v>
      </c>
      <c r="BB10" s="1">
        <v>2073031.79</v>
      </c>
      <c r="BC10" s="46">
        <v>1700580.16</v>
      </c>
      <c r="BD10" s="1">
        <v>1223095.44</v>
      </c>
      <c r="BE10" s="1">
        <v>938755.63000000012</v>
      </c>
      <c r="BF10" s="46">
        <v>611472.79</v>
      </c>
      <c r="BG10" s="1">
        <v>414844.76</v>
      </c>
      <c r="BH10" s="1">
        <v>284051.5</v>
      </c>
      <c r="BI10" s="46">
        <v>165400.29999999999</v>
      </c>
      <c r="BJ10" s="1">
        <v>123396.55</v>
      </c>
      <c r="BK10" s="1">
        <v>109791.23</v>
      </c>
      <c r="BL10">
        <v>60730.150000000009</v>
      </c>
    </row>
    <row r="11" spans="1:64" ht="15.5" x14ac:dyDescent="0.35">
      <c r="A11" t="s">
        <v>73</v>
      </c>
      <c r="B11" s="1">
        <v>4526429.7699999996</v>
      </c>
      <c r="C11" s="1">
        <v>4087873.02</v>
      </c>
      <c r="D11" s="46">
        <v>3972847.14</v>
      </c>
      <c r="E11" s="1">
        <v>3838086.12</v>
      </c>
      <c r="F11" s="1">
        <v>3744785.26</v>
      </c>
      <c r="G11" s="46">
        <v>3649744.28</v>
      </c>
      <c r="H11" s="1">
        <v>3508742.05</v>
      </c>
      <c r="I11" s="1">
        <v>3378020.44</v>
      </c>
      <c r="J11" s="46">
        <v>3234763.06</v>
      </c>
      <c r="K11" s="1">
        <v>3166996.73</v>
      </c>
      <c r="L11" s="1">
        <v>3080922.11</v>
      </c>
      <c r="M11" s="46">
        <v>3005692.92</v>
      </c>
      <c r="N11" s="1">
        <v>2904346.310000001</v>
      </c>
      <c r="O11" s="1">
        <v>2781227.54</v>
      </c>
      <c r="P11" s="46">
        <v>2672345.1</v>
      </c>
      <c r="Q11" s="1">
        <v>2590929.65</v>
      </c>
      <c r="R11" s="1">
        <v>2378964.11</v>
      </c>
      <c r="S11" s="46">
        <v>2255651.0299999998</v>
      </c>
      <c r="T11" s="1">
        <v>2149872.91</v>
      </c>
      <c r="U11" s="1">
        <v>2098935.48</v>
      </c>
      <c r="V11" s="46">
        <v>2015233.82</v>
      </c>
      <c r="W11" s="1">
        <v>1922602.91</v>
      </c>
      <c r="X11" s="1">
        <v>1823698.86</v>
      </c>
      <c r="Y11" s="46">
        <v>1711061.46</v>
      </c>
      <c r="Z11" s="1">
        <v>1627726.51</v>
      </c>
      <c r="AA11" s="1">
        <v>1516693.28</v>
      </c>
      <c r="AB11" s="46">
        <v>1437296.3</v>
      </c>
      <c r="AC11" s="1">
        <v>1340933.8600000001</v>
      </c>
      <c r="AD11" s="1">
        <v>1212475.99</v>
      </c>
      <c r="AE11" s="46">
        <v>1156197.4099999999</v>
      </c>
      <c r="AF11" s="1">
        <v>1092794.5</v>
      </c>
      <c r="AG11" s="1">
        <v>1019205.43</v>
      </c>
      <c r="AH11" s="46">
        <v>974549.8</v>
      </c>
      <c r="AI11" s="1">
        <v>925373.42</v>
      </c>
      <c r="AJ11" s="1">
        <v>867575.09000000008</v>
      </c>
      <c r="AK11" s="46">
        <v>823080.16</v>
      </c>
      <c r="AL11" s="1">
        <v>763324.14999999991</v>
      </c>
      <c r="AM11" s="1">
        <v>706827.51</v>
      </c>
      <c r="AN11" s="46">
        <v>663686.71</v>
      </c>
      <c r="AO11" s="1">
        <v>597277.74000000011</v>
      </c>
      <c r="AP11" s="1">
        <v>558617.03</v>
      </c>
      <c r="AQ11" s="46">
        <v>493138.04</v>
      </c>
      <c r="AR11" s="1">
        <v>447365.51000000013</v>
      </c>
      <c r="AS11" s="1">
        <v>404847.74</v>
      </c>
      <c r="AT11" s="46">
        <v>390819.48</v>
      </c>
      <c r="AU11" s="1">
        <v>375327.9</v>
      </c>
      <c r="AV11" s="1">
        <v>346856.49</v>
      </c>
      <c r="AW11" s="46">
        <v>316403.45</v>
      </c>
      <c r="AX11" s="1">
        <v>282908.06</v>
      </c>
      <c r="AY11" s="1">
        <v>266320.12</v>
      </c>
      <c r="AZ11" s="46">
        <v>216598.28</v>
      </c>
      <c r="BA11" s="1">
        <v>174870.99</v>
      </c>
      <c r="BB11" s="1">
        <v>164003.46</v>
      </c>
      <c r="BC11" s="46">
        <v>151769.21</v>
      </c>
      <c r="BD11" s="1">
        <v>132380.97</v>
      </c>
      <c r="BE11" s="1">
        <v>113450.1</v>
      </c>
      <c r="BF11" s="46">
        <v>102363.35</v>
      </c>
      <c r="BG11" s="1">
        <v>88762.420000000013</v>
      </c>
      <c r="BH11" s="1">
        <v>77036.810000000012</v>
      </c>
      <c r="BI11" s="46">
        <v>59470.220000000023</v>
      </c>
      <c r="BJ11" s="1">
        <v>19741.439999999991</v>
      </c>
      <c r="BK11" s="1">
        <v>11938.99</v>
      </c>
      <c r="BL11">
        <v>9265.869999999999</v>
      </c>
    </row>
    <row r="12" spans="1:64" ht="15.5" x14ac:dyDescent="0.35">
      <c r="A12" t="s">
        <v>74</v>
      </c>
      <c r="B12" s="1">
        <v>3755333104.79</v>
      </c>
      <c r="C12" s="1">
        <v>3489216298.1199999</v>
      </c>
      <c r="D12" s="46">
        <v>3416117284.6599998</v>
      </c>
      <c r="E12" s="1">
        <v>3347416613.5799999</v>
      </c>
      <c r="F12" s="1">
        <v>3271948756.3099999</v>
      </c>
      <c r="G12" s="46">
        <v>3206491140.3099999</v>
      </c>
      <c r="H12" s="1">
        <v>3112852880.2600002</v>
      </c>
      <c r="I12" s="1">
        <v>3017093606.1599998</v>
      </c>
      <c r="J12" s="46">
        <v>2951072271.6500001</v>
      </c>
      <c r="K12" s="1">
        <v>2890542643.2800002</v>
      </c>
      <c r="L12" s="1">
        <v>2820633068.5700002</v>
      </c>
      <c r="M12" s="46">
        <v>2750704695.0300002</v>
      </c>
      <c r="N12" s="1">
        <v>2679452690.29</v>
      </c>
      <c r="O12" s="1">
        <v>2586571053.8600001</v>
      </c>
      <c r="P12" s="46">
        <v>2494073563.96</v>
      </c>
      <c r="Q12" s="1">
        <v>2394703193.8299999</v>
      </c>
      <c r="R12" s="1">
        <v>2292799944.8000002</v>
      </c>
      <c r="S12" s="46">
        <v>2198332084.9099998</v>
      </c>
      <c r="T12" s="1">
        <v>2119831041.3299999</v>
      </c>
      <c r="U12" s="1">
        <v>2068521876.0699999</v>
      </c>
      <c r="V12" s="46">
        <v>2019985362.0599999</v>
      </c>
      <c r="W12" s="1">
        <v>1948423678.51</v>
      </c>
      <c r="X12" s="1">
        <v>1865746327.55</v>
      </c>
      <c r="Y12" s="46">
        <v>1790945347.0599999</v>
      </c>
      <c r="Z12" s="1">
        <v>1712563635.98</v>
      </c>
      <c r="AA12" s="1">
        <v>1630983394.6700001</v>
      </c>
      <c r="AB12" s="46">
        <v>1543241375.03</v>
      </c>
      <c r="AC12" s="1">
        <v>1444298377.0899999</v>
      </c>
      <c r="AD12" s="1">
        <v>1365171251.5599999</v>
      </c>
      <c r="AE12" s="46">
        <v>1291097914.9300001</v>
      </c>
      <c r="AF12" s="1">
        <v>1189009399.5</v>
      </c>
      <c r="AG12" s="1">
        <v>1128119111.0699999</v>
      </c>
      <c r="AH12" s="46">
        <v>1076172436.8199999</v>
      </c>
      <c r="AI12" s="1">
        <v>1030030891.6900001</v>
      </c>
      <c r="AJ12" s="1">
        <v>959369510.04999995</v>
      </c>
      <c r="AK12" s="46">
        <v>891360832</v>
      </c>
      <c r="AL12" s="1">
        <v>813614588.87000012</v>
      </c>
      <c r="AM12" s="1">
        <v>756172287.70000005</v>
      </c>
      <c r="AN12" s="46">
        <v>711657120.25999999</v>
      </c>
      <c r="AO12" s="1">
        <v>648879406.60000002</v>
      </c>
      <c r="AP12" s="1">
        <v>597431878.07999992</v>
      </c>
      <c r="AQ12" s="46">
        <v>514149021.82000011</v>
      </c>
      <c r="AR12" s="1">
        <v>457503506.61000001</v>
      </c>
      <c r="AS12" s="1">
        <v>418513029.13999999</v>
      </c>
      <c r="AT12" s="46">
        <v>398856186.58999997</v>
      </c>
      <c r="AU12" s="1">
        <v>380315376.93000013</v>
      </c>
      <c r="AV12" s="1">
        <v>348883702.56999999</v>
      </c>
      <c r="AW12" s="46">
        <v>297824141.70999998</v>
      </c>
      <c r="AX12" s="1">
        <v>259552421.80000001</v>
      </c>
      <c r="AY12" s="1">
        <v>245430790.49000001</v>
      </c>
      <c r="AZ12" s="46">
        <v>195564312.63999999</v>
      </c>
      <c r="BA12" s="1">
        <v>156277806.91</v>
      </c>
      <c r="BB12" s="1">
        <v>146414615.5</v>
      </c>
      <c r="BC12" s="46">
        <v>136272470.93000001</v>
      </c>
      <c r="BD12" s="1">
        <v>118664909.53</v>
      </c>
      <c r="BE12" s="1">
        <v>105291196.31</v>
      </c>
      <c r="BF12" s="46">
        <v>92797548.99000001</v>
      </c>
      <c r="BG12" s="1">
        <v>77550541.770000011</v>
      </c>
      <c r="BH12" s="1">
        <v>65401996.079999998</v>
      </c>
      <c r="BI12" s="46">
        <v>49424122.960000001</v>
      </c>
      <c r="BJ12" s="1">
        <v>18857892.530000001</v>
      </c>
      <c r="BK12" s="1">
        <v>12344165.68</v>
      </c>
      <c r="BL12">
        <v>11086400.710000001</v>
      </c>
    </row>
    <row r="13" spans="1:64" ht="15.5" x14ac:dyDescent="0.35">
      <c r="A13" t="s">
        <v>75</v>
      </c>
      <c r="B13" s="1">
        <v>2665982818.23</v>
      </c>
      <c r="C13" s="1">
        <v>2565070106.4200001</v>
      </c>
      <c r="D13" s="46">
        <v>2483559992.0300002</v>
      </c>
      <c r="E13" s="1">
        <v>2405471421.4099998</v>
      </c>
      <c r="F13" s="1">
        <v>2327630864.3600011</v>
      </c>
      <c r="G13" s="46">
        <v>2252288535.9699998</v>
      </c>
      <c r="H13" s="1">
        <v>2167210589.48</v>
      </c>
      <c r="I13" s="1">
        <v>2087073196.1700001</v>
      </c>
      <c r="J13" s="46">
        <v>2017303608.71</v>
      </c>
      <c r="K13" s="1">
        <v>1949546368.0699999</v>
      </c>
      <c r="L13" s="1">
        <v>1880557514.4000001</v>
      </c>
      <c r="M13" s="46">
        <v>1812687992.1500001</v>
      </c>
      <c r="N13" s="1">
        <v>1741248354.7</v>
      </c>
      <c r="O13" s="1">
        <v>1661266473.99</v>
      </c>
      <c r="P13" s="46">
        <v>1585877155.4300001</v>
      </c>
      <c r="Q13" s="1">
        <v>1514417113.6199999</v>
      </c>
      <c r="R13" s="1">
        <v>1434030221.0599999</v>
      </c>
      <c r="S13" s="46">
        <v>1363450627.5799999</v>
      </c>
      <c r="T13" s="1">
        <v>1300764031.0599999</v>
      </c>
      <c r="U13" s="1">
        <v>1251487654.01</v>
      </c>
      <c r="V13" s="46">
        <v>1200087582.74</v>
      </c>
      <c r="W13" s="1">
        <v>1140302866.21</v>
      </c>
      <c r="X13" s="1">
        <v>1075852299.52</v>
      </c>
      <c r="Y13" s="46">
        <v>1021455098.77</v>
      </c>
      <c r="Z13" s="1">
        <v>962697427.8299998</v>
      </c>
      <c r="AA13" s="1">
        <v>901262283.3599999</v>
      </c>
      <c r="AB13" s="46">
        <v>843895903.9000001</v>
      </c>
      <c r="AC13" s="1">
        <v>780499441.71000004</v>
      </c>
      <c r="AD13" s="1">
        <v>726432254.34000003</v>
      </c>
      <c r="AE13" s="46">
        <v>681387138.98000026</v>
      </c>
      <c r="AF13" s="1">
        <v>615103092.6099999</v>
      </c>
      <c r="AG13" s="1">
        <v>575047777.53999996</v>
      </c>
      <c r="AH13" s="46">
        <v>537134633.1400001</v>
      </c>
      <c r="AI13" s="1">
        <v>503756642.57999992</v>
      </c>
      <c r="AJ13" s="1">
        <v>459005415.00999999</v>
      </c>
      <c r="AK13" s="46">
        <v>422968865.6400001</v>
      </c>
      <c r="AL13" s="1">
        <v>383315940.94000012</v>
      </c>
      <c r="AM13" s="1">
        <v>353491308.18999988</v>
      </c>
      <c r="AN13" s="46">
        <v>327253026.63999999</v>
      </c>
      <c r="AO13" s="1">
        <v>299356986.47000009</v>
      </c>
      <c r="AP13" s="1">
        <v>276059112.6500001</v>
      </c>
      <c r="AQ13" s="46">
        <v>242748942.91</v>
      </c>
      <c r="AR13" s="1">
        <v>215388721.94</v>
      </c>
      <c r="AS13" s="1">
        <v>192470058.72</v>
      </c>
      <c r="AT13" s="46">
        <v>179309960.57000011</v>
      </c>
      <c r="AU13" s="1">
        <v>167653443.56999999</v>
      </c>
      <c r="AV13" s="1">
        <v>149743519.06</v>
      </c>
      <c r="AW13" s="46">
        <v>126332538.73</v>
      </c>
      <c r="AX13" s="1">
        <v>108003522.89</v>
      </c>
      <c r="AY13" s="1">
        <v>98281112.350000024</v>
      </c>
      <c r="AZ13" s="46">
        <v>76264967.370000035</v>
      </c>
      <c r="BA13" s="1">
        <v>60218757.639999993</v>
      </c>
      <c r="BB13" s="1">
        <v>54366570.01000002</v>
      </c>
      <c r="BC13" s="46">
        <v>48164743.600000009</v>
      </c>
      <c r="BD13" s="1">
        <v>38677121.49000001</v>
      </c>
      <c r="BE13" s="1">
        <v>33016561.070000019</v>
      </c>
      <c r="BF13" s="46">
        <v>26397401.670000002</v>
      </c>
      <c r="BG13" s="1">
        <v>21024070.77999999</v>
      </c>
      <c r="BH13" s="1">
        <v>15999525.079999991</v>
      </c>
      <c r="BI13" s="46">
        <v>9825694.9699999914</v>
      </c>
      <c r="BJ13" s="1">
        <v>6137283.379999999</v>
      </c>
      <c r="BK13" s="1">
        <v>5554153.0399999982</v>
      </c>
      <c r="BL13">
        <v>4862901.5799999973</v>
      </c>
    </row>
    <row r="14" spans="1:64" ht="15.5" x14ac:dyDescent="0.35">
      <c r="A14" t="s">
        <v>76</v>
      </c>
      <c r="B14" s="1">
        <v>0</v>
      </c>
      <c r="C14" s="1">
        <v>0</v>
      </c>
      <c r="D14" s="46">
        <v>0</v>
      </c>
      <c r="E14" s="1">
        <v>0</v>
      </c>
      <c r="F14" s="1">
        <v>0</v>
      </c>
      <c r="G14" s="46">
        <v>0</v>
      </c>
      <c r="H14" s="1">
        <v>0</v>
      </c>
      <c r="I14" s="1">
        <v>0</v>
      </c>
      <c r="J14" s="46">
        <v>0</v>
      </c>
      <c r="K14" s="1">
        <v>0</v>
      </c>
      <c r="L14" s="1">
        <v>0</v>
      </c>
      <c r="M14" s="46">
        <v>0</v>
      </c>
      <c r="N14" s="1">
        <v>0</v>
      </c>
      <c r="O14" s="1">
        <v>0</v>
      </c>
      <c r="P14" s="46">
        <v>0</v>
      </c>
      <c r="Q14" s="1">
        <v>0</v>
      </c>
      <c r="R14" s="1">
        <v>0</v>
      </c>
      <c r="S14" s="46">
        <v>0</v>
      </c>
      <c r="T14" s="1">
        <v>0</v>
      </c>
      <c r="U14" s="1">
        <v>0</v>
      </c>
      <c r="V14" s="46">
        <v>0</v>
      </c>
      <c r="W14" s="1">
        <v>0</v>
      </c>
      <c r="X14" s="1">
        <v>0</v>
      </c>
      <c r="Y14" s="46">
        <v>0</v>
      </c>
      <c r="Z14" s="1">
        <v>0</v>
      </c>
      <c r="AA14" s="1">
        <v>0</v>
      </c>
      <c r="AB14" s="46">
        <v>0</v>
      </c>
      <c r="AC14" s="1">
        <v>0</v>
      </c>
      <c r="AD14" s="1">
        <v>0</v>
      </c>
      <c r="AE14" s="46">
        <v>0</v>
      </c>
      <c r="AF14" s="1">
        <v>0</v>
      </c>
      <c r="AG14" s="1">
        <v>0</v>
      </c>
      <c r="AH14" s="46">
        <v>0</v>
      </c>
      <c r="AI14" s="1">
        <v>0</v>
      </c>
      <c r="AJ14" s="1">
        <v>0</v>
      </c>
      <c r="AK14" s="46">
        <v>0</v>
      </c>
      <c r="AL14" s="1">
        <v>0</v>
      </c>
      <c r="AM14" s="1">
        <v>0</v>
      </c>
      <c r="AN14" s="46">
        <v>0</v>
      </c>
      <c r="AO14" s="1">
        <v>0</v>
      </c>
      <c r="AP14" s="1">
        <v>0</v>
      </c>
      <c r="AQ14" s="46">
        <v>0</v>
      </c>
      <c r="AR14" s="1">
        <v>0</v>
      </c>
      <c r="AS14" s="1">
        <v>0</v>
      </c>
      <c r="AT14" s="46">
        <v>0</v>
      </c>
      <c r="AU14" s="1">
        <v>0</v>
      </c>
      <c r="AV14" s="1">
        <v>0</v>
      </c>
      <c r="AW14" s="46">
        <v>0</v>
      </c>
      <c r="AX14" s="1">
        <v>0</v>
      </c>
      <c r="AY14" s="1">
        <v>0</v>
      </c>
      <c r="AZ14" s="46">
        <v>0</v>
      </c>
      <c r="BA14" s="1">
        <v>0</v>
      </c>
      <c r="BB14" s="1">
        <v>0</v>
      </c>
      <c r="BC14" s="46">
        <v>0</v>
      </c>
      <c r="BD14" s="1">
        <v>0</v>
      </c>
      <c r="BE14" s="1">
        <v>0</v>
      </c>
      <c r="BF14" s="46">
        <v>0</v>
      </c>
      <c r="BG14" s="1">
        <v>0</v>
      </c>
      <c r="BH14" s="1">
        <v>0</v>
      </c>
      <c r="BI14" s="46">
        <v>0</v>
      </c>
      <c r="BJ14" s="1">
        <v>0</v>
      </c>
      <c r="BK14" s="1">
        <v>0</v>
      </c>
      <c r="BL14">
        <v>0</v>
      </c>
    </row>
    <row r="15" spans="1:64" ht="15.5" x14ac:dyDescent="0.35">
      <c r="A15" t="s">
        <v>77</v>
      </c>
      <c r="B15" s="1">
        <v>0</v>
      </c>
      <c r="C15" s="1">
        <v>753</v>
      </c>
      <c r="D15" s="46">
        <v>210</v>
      </c>
      <c r="E15" s="1">
        <v>224</v>
      </c>
      <c r="F15" s="1">
        <v>203</v>
      </c>
      <c r="G15" s="46">
        <v>179</v>
      </c>
      <c r="H15" s="1">
        <v>253</v>
      </c>
      <c r="I15" s="1">
        <v>220</v>
      </c>
      <c r="J15" s="46">
        <v>190</v>
      </c>
      <c r="K15" s="1">
        <v>176</v>
      </c>
      <c r="L15" s="1">
        <v>172</v>
      </c>
      <c r="M15" s="46">
        <v>139</v>
      </c>
      <c r="N15" s="1">
        <v>182</v>
      </c>
      <c r="O15" s="1">
        <v>248</v>
      </c>
      <c r="P15" s="46">
        <v>158</v>
      </c>
      <c r="Q15" s="1">
        <v>147</v>
      </c>
      <c r="R15" s="1">
        <v>252</v>
      </c>
      <c r="S15" s="46">
        <v>184</v>
      </c>
      <c r="T15" s="1">
        <v>186</v>
      </c>
      <c r="U15" s="1">
        <v>93</v>
      </c>
      <c r="V15" s="46">
        <v>133</v>
      </c>
      <c r="W15" s="1">
        <v>160</v>
      </c>
      <c r="X15" s="1">
        <v>184</v>
      </c>
      <c r="Y15" s="46">
        <v>147</v>
      </c>
      <c r="Z15" s="1">
        <v>170</v>
      </c>
      <c r="AA15" s="1">
        <v>257</v>
      </c>
      <c r="AB15" s="46">
        <v>161</v>
      </c>
      <c r="AC15" s="1">
        <v>146</v>
      </c>
      <c r="AD15" s="1">
        <v>176</v>
      </c>
      <c r="AE15" s="46">
        <v>119</v>
      </c>
      <c r="AF15" s="1">
        <v>127</v>
      </c>
      <c r="AG15" s="1">
        <v>114</v>
      </c>
      <c r="AH15" s="46">
        <v>73</v>
      </c>
      <c r="AI15" s="1">
        <v>82</v>
      </c>
      <c r="AJ15" s="1">
        <v>112</v>
      </c>
      <c r="AK15" s="46">
        <v>96</v>
      </c>
      <c r="AL15" s="1">
        <v>94</v>
      </c>
      <c r="AM15" s="1">
        <v>66</v>
      </c>
      <c r="AN15" s="46">
        <v>45</v>
      </c>
      <c r="AO15" s="1">
        <v>70</v>
      </c>
      <c r="AP15" s="1">
        <v>53</v>
      </c>
      <c r="AQ15" s="46">
        <v>71</v>
      </c>
      <c r="AR15" s="1">
        <v>81</v>
      </c>
      <c r="AS15" s="1">
        <v>68</v>
      </c>
      <c r="AT15" s="46">
        <v>34</v>
      </c>
      <c r="AU15" s="1">
        <v>31</v>
      </c>
      <c r="AV15" s="1">
        <v>47</v>
      </c>
      <c r="AW15" s="46">
        <v>55</v>
      </c>
      <c r="AX15" s="1">
        <v>55</v>
      </c>
      <c r="AY15" s="1">
        <v>33</v>
      </c>
      <c r="AZ15" s="46">
        <v>87</v>
      </c>
      <c r="BA15" s="1">
        <v>70</v>
      </c>
      <c r="BB15" s="1">
        <v>17</v>
      </c>
      <c r="BC15" s="46">
        <v>20</v>
      </c>
      <c r="BD15" s="1">
        <v>35</v>
      </c>
      <c r="BE15" s="1">
        <v>24</v>
      </c>
      <c r="BF15" s="46">
        <v>19</v>
      </c>
      <c r="BG15" s="1">
        <v>19</v>
      </c>
      <c r="BH15" s="1">
        <v>22</v>
      </c>
      <c r="BI15" s="46">
        <v>25</v>
      </c>
      <c r="BJ15" s="1">
        <v>10</v>
      </c>
      <c r="BK15" s="1">
        <v>2</v>
      </c>
      <c r="BL15">
        <v>3</v>
      </c>
    </row>
    <row r="16" spans="1:64" ht="15.5" x14ac:dyDescent="0.35">
      <c r="A16" t="s">
        <v>78</v>
      </c>
      <c r="B16" s="1">
        <v>0</v>
      </c>
      <c r="C16" s="1">
        <v>47</v>
      </c>
      <c r="D16" s="46">
        <v>7</v>
      </c>
      <c r="E16" s="1">
        <v>4</v>
      </c>
      <c r="F16" s="1">
        <v>50</v>
      </c>
      <c r="G16" s="46">
        <v>15</v>
      </c>
      <c r="H16" s="1">
        <v>14</v>
      </c>
      <c r="I16" s="1">
        <v>20</v>
      </c>
      <c r="J16" s="46">
        <v>4</v>
      </c>
      <c r="K16" s="1">
        <v>13</v>
      </c>
      <c r="L16" s="1">
        <v>27</v>
      </c>
      <c r="M16" s="46">
        <v>35</v>
      </c>
      <c r="N16" s="1">
        <v>14</v>
      </c>
      <c r="O16" s="1">
        <v>12</v>
      </c>
      <c r="P16" s="46">
        <v>33</v>
      </c>
      <c r="Q16" s="1">
        <v>35</v>
      </c>
      <c r="R16" s="1">
        <v>44</v>
      </c>
      <c r="S16" s="46">
        <v>48</v>
      </c>
      <c r="T16" s="1">
        <v>22</v>
      </c>
      <c r="U16" s="1">
        <v>23</v>
      </c>
      <c r="V16" s="46">
        <v>6</v>
      </c>
      <c r="W16" s="1">
        <v>29</v>
      </c>
      <c r="X16" s="1">
        <v>29</v>
      </c>
      <c r="Y16" s="46">
        <v>90</v>
      </c>
      <c r="Z16" s="1">
        <v>13</v>
      </c>
      <c r="AA16" s="1">
        <v>25</v>
      </c>
      <c r="AB16" s="46">
        <v>16</v>
      </c>
      <c r="AC16" s="1">
        <v>22</v>
      </c>
      <c r="AD16" s="1">
        <v>17</v>
      </c>
      <c r="AE16" s="46">
        <v>20</v>
      </c>
      <c r="AF16" s="1">
        <v>24</v>
      </c>
      <c r="AG16" s="1">
        <v>13</v>
      </c>
      <c r="AH16" s="46">
        <v>37</v>
      </c>
      <c r="AI16" s="1">
        <v>36</v>
      </c>
      <c r="AJ16" s="1">
        <v>33</v>
      </c>
      <c r="AK16" s="46">
        <v>28</v>
      </c>
      <c r="AL16" s="1">
        <v>55</v>
      </c>
      <c r="AM16" s="1">
        <v>97</v>
      </c>
      <c r="AN16" s="46">
        <v>74</v>
      </c>
      <c r="AO16" s="1">
        <v>186</v>
      </c>
      <c r="AP16" s="1">
        <v>63</v>
      </c>
      <c r="AQ16" s="46">
        <v>136</v>
      </c>
      <c r="AR16" s="1">
        <v>7</v>
      </c>
      <c r="AS16" s="1">
        <v>10</v>
      </c>
      <c r="AT16" s="46">
        <v>1</v>
      </c>
      <c r="AU16" s="1">
        <v>4</v>
      </c>
      <c r="AV16" s="1">
        <v>13</v>
      </c>
      <c r="AW16" s="46">
        <v>29</v>
      </c>
      <c r="AX16" s="1">
        <v>14</v>
      </c>
      <c r="AY16" s="1">
        <v>2</v>
      </c>
      <c r="AZ16" s="46">
        <v>35</v>
      </c>
      <c r="BA16" s="1">
        <v>10</v>
      </c>
      <c r="BB16" s="1">
        <v>0</v>
      </c>
      <c r="BC16" s="46">
        <v>0</v>
      </c>
      <c r="BD16" s="1">
        <v>3</v>
      </c>
      <c r="BE16" s="1">
        <v>15</v>
      </c>
      <c r="BF16" s="46">
        <v>4</v>
      </c>
      <c r="BG16" s="1">
        <v>13</v>
      </c>
      <c r="BH16" s="1">
        <v>5</v>
      </c>
      <c r="BI16" s="46">
        <v>3</v>
      </c>
      <c r="BJ16" s="1">
        <v>72</v>
      </c>
      <c r="BK16" s="1">
        <v>13</v>
      </c>
      <c r="BL1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L16"/>
  <sheetViews>
    <sheetView workbookViewId="0">
      <selection activeCell="M34" sqref="M34"/>
    </sheetView>
  </sheetViews>
  <sheetFormatPr defaultRowHeight="14.5" x14ac:dyDescent="0.35"/>
  <cols>
    <col min="1" max="1" width="13" bestFit="1" customWidth="1"/>
    <col min="2" max="3" width="13" hidden="1" bestFit="1" customWidth="1"/>
    <col min="4" max="4" width="13" bestFit="1" customWidth="1"/>
    <col min="5" max="6" width="13" hidden="1" bestFit="1" customWidth="1"/>
    <col min="7" max="7" width="13" bestFit="1" customWidth="1"/>
    <col min="8" max="9" width="13" hidden="1" bestFit="1" customWidth="1"/>
    <col min="10" max="10" width="13" bestFit="1" customWidth="1"/>
    <col min="11" max="12" width="13" hidden="1" bestFit="1" customWidth="1"/>
    <col min="13" max="13" width="13" bestFit="1" customWidth="1"/>
    <col min="14" max="15" width="13" hidden="1" bestFit="1" customWidth="1"/>
    <col min="16" max="16" width="13" bestFit="1" customWidth="1"/>
    <col min="17" max="18" width="13" hidden="1" bestFit="1" customWidth="1"/>
    <col min="19" max="19" width="13" bestFit="1" customWidth="1"/>
    <col min="20" max="21" width="13" hidden="1" bestFit="1" customWidth="1"/>
    <col min="22" max="22" width="13" bestFit="1" customWidth="1"/>
    <col min="23" max="24" width="13" hidden="1" bestFit="1" customWidth="1"/>
    <col min="25" max="25" width="13" bestFit="1" customWidth="1"/>
    <col min="26" max="27" width="13" hidden="1" bestFit="1" customWidth="1"/>
    <col min="28" max="28" width="13" bestFit="1" customWidth="1"/>
    <col min="29" max="30" width="13" hidden="1" bestFit="1" customWidth="1"/>
    <col min="31" max="31" width="13" bestFit="1" customWidth="1"/>
    <col min="32" max="33" width="13" hidden="1" bestFit="1" customWidth="1"/>
    <col min="34" max="34" width="13" bestFit="1" customWidth="1"/>
    <col min="35" max="36" width="13" hidden="1" bestFit="1" customWidth="1"/>
    <col min="37" max="37" width="13" bestFit="1" customWidth="1"/>
    <col min="38" max="39" width="13" hidden="1" bestFit="1" customWidth="1"/>
    <col min="40" max="40" width="13" bestFit="1" customWidth="1"/>
    <col min="41" max="42" width="13" hidden="1" bestFit="1" customWidth="1"/>
    <col min="43" max="43" width="13" bestFit="1" customWidth="1"/>
    <col min="44" max="45" width="13" hidden="1" bestFit="1" customWidth="1"/>
    <col min="46" max="46" width="13" bestFit="1" customWidth="1"/>
    <col min="47" max="48" width="13" hidden="1" bestFit="1" customWidth="1"/>
    <col min="49" max="49" width="13" bestFit="1" customWidth="1"/>
    <col min="50" max="51" width="13" hidden="1" bestFit="1" customWidth="1"/>
    <col min="52" max="52" width="13" bestFit="1" customWidth="1"/>
    <col min="53" max="54" width="13" hidden="1" bestFit="1" customWidth="1"/>
    <col min="55" max="55" width="13" bestFit="1" customWidth="1"/>
    <col min="56" max="57" width="13" hidden="1" bestFit="1" customWidth="1"/>
    <col min="58" max="58" width="13" bestFit="1" customWidth="1"/>
    <col min="59" max="60" width="13" hidden="1" bestFit="1" customWidth="1"/>
    <col min="61" max="61" width="13" bestFit="1" customWidth="1"/>
    <col min="62" max="62" width="13" hidden="1" bestFit="1" customWidth="1"/>
  </cols>
  <sheetData>
    <row r="1" spans="1:64" x14ac:dyDescent="0.35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t="s">
        <v>5</v>
      </c>
      <c r="G1" s="16" t="s">
        <v>6</v>
      </c>
      <c r="H1" t="s">
        <v>7</v>
      </c>
      <c r="I1" t="s">
        <v>8</v>
      </c>
      <c r="J1" s="16" t="s">
        <v>9</v>
      </c>
      <c r="K1" t="s">
        <v>10</v>
      </c>
      <c r="L1" t="s">
        <v>11</v>
      </c>
      <c r="M1" s="16" t="s">
        <v>12</v>
      </c>
      <c r="N1" t="s">
        <v>13</v>
      </c>
      <c r="O1" t="s">
        <v>14</v>
      </c>
      <c r="P1" s="16" t="s">
        <v>15</v>
      </c>
      <c r="Q1" t="s">
        <v>16</v>
      </c>
      <c r="R1" t="s">
        <v>17</v>
      </c>
      <c r="S1" s="16" t="s">
        <v>18</v>
      </c>
      <c r="T1" t="s">
        <v>19</v>
      </c>
      <c r="U1" t="s">
        <v>20</v>
      </c>
      <c r="V1" s="16" t="s">
        <v>21</v>
      </c>
      <c r="W1" t="s">
        <v>22</v>
      </c>
      <c r="X1" t="s">
        <v>23</v>
      </c>
      <c r="Y1" s="16" t="s">
        <v>24</v>
      </c>
      <c r="Z1" t="s">
        <v>25</v>
      </c>
      <c r="AA1" t="s">
        <v>26</v>
      </c>
      <c r="AB1" s="16" t="s">
        <v>27</v>
      </c>
      <c r="AC1" t="s">
        <v>28</v>
      </c>
      <c r="AD1" t="s">
        <v>29</v>
      </c>
      <c r="AE1" s="16" t="s">
        <v>30</v>
      </c>
      <c r="AF1" t="s">
        <v>31</v>
      </c>
      <c r="AG1" t="s">
        <v>32</v>
      </c>
      <c r="AH1" s="16" t="s">
        <v>33</v>
      </c>
      <c r="AI1" t="s">
        <v>34</v>
      </c>
      <c r="AJ1" t="s">
        <v>35</v>
      </c>
      <c r="AK1" s="16" t="s">
        <v>36</v>
      </c>
      <c r="AL1" t="s">
        <v>37</v>
      </c>
      <c r="AM1" t="s">
        <v>38</v>
      </c>
      <c r="AN1" s="16" t="s">
        <v>39</v>
      </c>
      <c r="AO1" t="s">
        <v>40</v>
      </c>
      <c r="AP1" t="s">
        <v>41</v>
      </c>
      <c r="AQ1" s="16" t="s">
        <v>42</v>
      </c>
      <c r="AR1" t="s">
        <v>43</v>
      </c>
      <c r="AS1" t="s">
        <v>44</v>
      </c>
      <c r="AT1" s="16" t="s">
        <v>45</v>
      </c>
      <c r="AU1" t="s">
        <v>46</v>
      </c>
      <c r="AV1" t="s">
        <v>47</v>
      </c>
      <c r="AW1" s="16" t="s">
        <v>48</v>
      </c>
      <c r="AX1" t="s">
        <v>49</v>
      </c>
      <c r="AY1" t="s">
        <v>50</v>
      </c>
      <c r="AZ1" s="16" t="s">
        <v>51</v>
      </c>
      <c r="BA1" t="s">
        <v>52</v>
      </c>
      <c r="BB1" t="s">
        <v>53</v>
      </c>
      <c r="BC1" s="16" t="s">
        <v>54</v>
      </c>
      <c r="BD1" t="s">
        <v>55</v>
      </c>
      <c r="BE1" t="s">
        <v>56</v>
      </c>
      <c r="BF1" s="16" t="s">
        <v>57</v>
      </c>
      <c r="BG1" t="s">
        <v>58</v>
      </c>
      <c r="BH1" t="s">
        <v>59</v>
      </c>
      <c r="BI1" s="16" t="s">
        <v>60</v>
      </c>
      <c r="BJ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1">
        <v>2760</v>
      </c>
      <c r="C2" s="1">
        <v>2497</v>
      </c>
      <c r="D2" s="46">
        <v>2416</v>
      </c>
      <c r="E2" s="1">
        <v>2355</v>
      </c>
      <c r="F2" s="1">
        <v>2268</v>
      </c>
      <c r="G2" s="46">
        <v>2208</v>
      </c>
      <c r="H2" s="1">
        <v>2143</v>
      </c>
      <c r="I2" s="1">
        <v>2071</v>
      </c>
      <c r="J2" s="46">
        <v>1997</v>
      </c>
      <c r="K2" s="1">
        <v>1924</v>
      </c>
      <c r="L2" s="1">
        <v>1849</v>
      </c>
      <c r="M2" s="46">
        <v>1774</v>
      </c>
      <c r="N2" s="1">
        <v>1681</v>
      </c>
      <c r="O2" s="1">
        <v>1625</v>
      </c>
      <c r="P2" s="46">
        <v>1554</v>
      </c>
      <c r="Q2" s="1">
        <v>1504</v>
      </c>
      <c r="R2" s="1">
        <v>1421</v>
      </c>
      <c r="S2" s="46">
        <v>1348</v>
      </c>
      <c r="T2" s="1">
        <v>1283</v>
      </c>
      <c r="U2" s="1">
        <v>1233</v>
      </c>
      <c r="V2" s="46">
        <v>1181</v>
      </c>
      <c r="W2" s="1">
        <v>1137</v>
      </c>
      <c r="X2" s="1">
        <v>1091</v>
      </c>
      <c r="Y2" s="46">
        <v>1034</v>
      </c>
      <c r="Z2" s="1">
        <v>985</v>
      </c>
      <c r="AA2" s="1">
        <v>913</v>
      </c>
      <c r="AB2" s="46">
        <v>851</v>
      </c>
      <c r="AC2" s="1">
        <v>766</v>
      </c>
      <c r="AD2" s="1">
        <v>708</v>
      </c>
      <c r="AE2" s="46">
        <v>640</v>
      </c>
      <c r="AF2" s="1">
        <v>594</v>
      </c>
      <c r="AG2" s="1">
        <v>555</v>
      </c>
      <c r="AH2" s="46">
        <v>524</v>
      </c>
      <c r="AI2" s="1">
        <v>500</v>
      </c>
      <c r="AJ2" s="1">
        <v>464</v>
      </c>
      <c r="AK2" s="46">
        <v>420</v>
      </c>
      <c r="AL2" s="1">
        <v>390</v>
      </c>
      <c r="AM2" s="1">
        <v>364</v>
      </c>
      <c r="AN2" s="46">
        <v>345</v>
      </c>
      <c r="AO2" s="1">
        <v>323</v>
      </c>
      <c r="AP2" s="1">
        <v>299</v>
      </c>
      <c r="AQ2" s="46">
        <v>273</v>
      </c>
      <c r="AR2" s="1">
        <v>242</v>
      </c>
      <c r="AS2" s="1">
        <v>225</v>
      </c>
      <c r="AT2" s="46">
        <v>208</v>
      </c>
      <c r="AU2" s="1">
        <v>199</v>
      </c>
      <c r="AV2" s="1">
        <v>178</v>
      </c>
      <c r="AW2" s="46">
        <v>160</v>
      </c>
      <c r="AX2" s="1">
        <v>149</v>
      </c>
      <c r="AY2" s="1">
        <v>141</v>
      </c>
      <c r="AZ2" s="46">
        <v>134</v>
      </c>
      <c r="BA2" s="1">
        <v>127</v>
      </c>
      <c r="BB2" s="1">
        <v>124</v>
      </c>
      <c r="BC2" s="46">
        <v>100</v>
      </c>
      <c r="BD2" s="1">
        <v>64</v>
      </c>
      <c r="BE2" s="1">
        <v>56</v>
      </c>
      <c r="BF2" s="46">
        <v>45</v>
      </c>
      <c r="BG2" s="1">
        <v>38</v>
      </c>
      <c r="BH2" s="1">
        <v>31</v>
      </c>
      <c r="BI2" s="46">
        <v>18</v>
      </c>
      <c r="BJ2" s="1">
        <v>1</v>
      </c>
      <c r="BK2" s="1">
        <v>1</v>
      </c>
      <c r="BL2">
        <v>1</v>
      </c>
    </row>
    <row r="3" spans="1:64" ht="15.5" x14ac:dyDescent="0.35">
      <c r="A3" t="s">
        <v>65</v>
      </c>
      <c r="B3" s="1">
        <v>254</v>
      </c>
      <c r="C3" s="1">
        <v>247</v>
      </c>
      <c r="D3" s="46">
        <v>241</v>
      </c>
      <c r="E3" s="1">
        <v>224</v>
      </c>
      <c r="F3" s="1">
        <v>223</v>
      </c>
      <c r="G3" s="46">
        <v>217</v>
      </c>
      <c r="H3" s="1">
        <v>212</v>
      </c>
      <c r="I3" s="1">
        <v>207</v>
      </c>
      <c r="J3" s="46">
        <v>207</v>
      </c>
      <c r="K3" s="1">
        <v>203</v>
      </c>
      <c r="L3" s="1">
        <v>201</v>
      </c>
      <c r="M3" s="46">
        <v>200</v>
      </c>
      <c r="N3" s="1">
        <v>200</v>
      </c>
      <c r="O3" s="1">
        <v>198</v>
      </c>
      <c r="P3" s="46">
        <v>196</v>
      </c>
      <c r="Q3" s="1">
        <v>190</v>
      </c>
      <c r="R3" s="1">
        <v>186</v>
      </c>
      <c r="S3" s="46">
        <v>185</v>
      </c>
      <c r="T3" s="1">
        <v>182</v>
      </c>
      <c r="U3" s="1">
        <v>178</v>
      </c>
      <c r="V3" s="46">
        <v>177</v>
      </c>
      <c r="W3" s="1">
        <v>174</v>
      </c>
      <c r="X3" s="1">
        <v>168</v>
      </c>
      <c r="Y3" s="46">
        <v>168</v>
      </c>
      <c r="Z3" s="1">
        <v>164</v>
      </c>
      <c r="AA3" s="1">
        <v>162</v>
      </c>
      <c r="AB3" s="46">
        <v>149</v>
      </c>
      <c r="AC3" s="1">
        <v>143</v>
      </c>
      <c r="AD3" s="1">
        <v>135</v>
      </c>
      <c r="AE3" s="46">
        <v>123</v>
      </c>
      <c r="AF3" s="1">
        <v>115</v>
      </c>
      <c r="AG3" s="1">
        <v>107</v>
      </c>
      <c r="AH3" s="46">
        <v>107</v>
      </c>
      <c r="AI3" s="1">
        <v>100</v>
      </c>
      <c r="AJ3" s="1">
        <v>93</v>
      </c>
      <c r="AK3" s="46">
        <v>91</v>
      </c>
      <c r="AL3" s="1">
        <v>91</v>
      </c>
      <c r="AM3" s="1">
        <v>91</v>
      </c>
      <c r="AN3" s="46">
        <v>73</v>
      </c>
      <c r="AO3" s="1">
        <v>43</v>
      </c>
      <c r="AP3" s="1">
        <v>42</v>
      </c>
      <c r="AQ3" s="46">
        <v>39</v>
      </c>
      <c r="AR3" s="1">
        <v>38</v>
      </c>
      <c r="AS3" s="1">
        <v>33</v>
      </c>
      <c r="AT3" s="46">
        <v>32</v>
      </c>
      <c r="AU3" s="1">
        <v>28</v>
      </c>
      <c r="AV3" s="1">
        <v>26</v>
      </c>
      <c r="AW3" s="46">
        <v>17</v>
      </c>
      <c r="AX3" s="1">
        <v>17</v>
      </c>
      <c r="AY3" s="1">
        <v>16</v>
      </c>
      <c r="AZ3" s="46">
        <v>16</v>
      </c>
      <c r="BA3" s="1">
        <v>16</v>
      </c>
      <c r="BB3" s="1">
        <v>16</v>
      </c>
      <c r="BC3" s="46">
        <v>14</v>
      </c>
      <c r="BD3" s="1">
        <v>7</v>
      </c>
      <c r="BE3" s="1">
        <v>6</v>
      </c>
      <c r="BF3" s="46">
        <v>6</v>
      </c>
      <c r="BG3" s="1">
        <v>6</v>
      </c>
      <c r="BH3" s="1">
        <v>5</v>
      </c>
      <c r="BI3" s="46">
        <v>1</v>
      </c>
      <c r="BJ3" s="1">
        <v>1</v>
      </c>
      <c r="BK3" s="1">
        <v>1</v>
      </c>
      <c r="BL3">
        <v>1</v>
      </c>
    </row>
    <row r="4" spans="1:64" ht="15.5" x14ac:dyDescent="0.35">
      <c r="A4" t="s">
        <v>66</v>
      </c>
      <c r="B4" s="1">
        <v>0</v>
      </c>
      <c r="C4" s="1">
        <v>0</v>
      </c>
      <c r="D4" s="46">
        <v>0</v>
      </c>
      <c r="E4" s="1">
        <v>0</v>
      </c>
      <c r="F4" s="1">
        <v>0</v>
      </c>
      <c r="G4" s="46">
        <v>0</v>
      </c>
      <c r="H4" s="1">
        <v>0</v>
      </c>
      <c r="I4" s="1">
        <v>0</v>
      </c>
      <c r="J4" s="46">
        <v>0</v>
      </c>
      <c r="K4" s="1">
        <v>0</v>
      </c>
      <c r="L4" s="1">
        <v>0</v>
      </c>
      <c r="M4" s="46">
        <v>0</v>
      </c>
      <c r="N4" s="1">
        <v>0</v>
      </c>
      <c r="O4" s="1">
        <v>0</v>
      </c>
      <c r="P4" s="46">
        <v>0</v>
      </c>
      <c r="Q4" s="1">
        <v>0</v>
      </c>
      <c r="R4" s="1">
        <v>0</v>
      </c>
      <c r="S4" s="46">
        <v>0</v>
      </c>
      <c r="T4" s="1">
        <v>0</v>
      </c>
      <c r="U4" s="1">
        <v>0</v>
      </c>
      <c r="V4" s="46">
        <v>0</v>
      </c>
      <c r="W4" s="1">
        <v>0</v>
      </c>
      <c r="X4" s="1">
        <v>0</v>
      </c>
      <c r="Y4" s="46">
        <v>0</v>
      </c>
      <c r="Z4" s="1">
        <v>0</v>
      </c>
      <c r="AA4" s="1">
        <v>0</v>
      </c>
      <c r="AB4" s="46">
        <v>0</v>
      </c>
      <c r="AC4" s="1">
        <v>0</v>
      </c>
      <c r="AD4" s="1">
        <v>0</v>
      </c>
      <c r="AE4" s="46">
        <v>0</v>
      </c>
      <c r="AF4" s="1">
        <v>0</v>
      </c>
      <c r="AG4" s="1">
        <v>0</v>
      </c>
      <c r="AH4" s="46">
        <v>0</v>
      </c>
      <c r="AI4" s="1">
        <v>0</v>
      </c>
      <c r="AJ4" s="1">
        <v>0</v>
      </c>
      <c r="AK4" s="46">
        <v>0</v>
      </c>
      <c r="AL4" s="1">
        <v>0</v>
      </c>
      <c r="AM4" s="1">
        <v>0</v>
      </c>
      <c r="AN4" s="46">
        <v>0</v>
      </c>
      <c r="AO4" s="1">
        <v>0</v>
      </c>
      <c r="AP4" s="1">
        <v>0</v>
      </c>
      <c r="AQ4" s="46">
        <v>0</v>
      </c>
      <c r="AR4" s="1">
        <v>0</v>
      </c>
      <c r="AS4" s="1">
        <v>0</v>
      </c>
      <c r="AT4" s="46">
        <v>0</v>
      </c>
      <c r="AU4" s="1">
        <v>0</v>
      </c>
      <c r="AV4" s="1">
        <v>0</v>
      </c>
      <c r="AW4" s="46">
        <v>0</v>
      </c>
      <c r="AX4" s="1">
        <v>0</v>
      </c>
      <c r="AY4" s="1">
        <v>0</v>
      </c>
      <c r="AZ4" s="46">
        <v>0</v>
      </c>
      <c r="BA4" s="1">
        <v>0</v>
      </c>
      <c r="BB4" s="1">
        <v>0</v>
      </c>
      <c r="BC4" s="46">
        <v>0</v>
      </c>
      <c r="BD4" s="1">
        <v>0</v>
      </c>
      <c r="BE4" s="1">
        <v>0</v>
      </c>
      <c r="BF4" s="46">
        <v>0</v>
      </c>
      <c r="BG4" s="1">
        <v>0</v>
      </c>
      <c r="BH4" s="1">
        <v>0</v>
      </c>
      <c r="BI4" s="46">
        <v>0</v>
      </c>
      <c r="BJ4" s="1">
        <v>0</v>
      </c>
      <c r="BK4" s="1">
        <v>0</v>
      </c>
      <c r="BL4">
        <v>0</v>
      </c>
    </row>
    <row r="5" spans="1:64" ht="15.5" x14ac:dyDescent="0.35">
      <c r="A5" t="s">
        <v>67</v>
      </c>
      <c r="B5" s="1">
        <v>33842682.240000002</v>
      </c>
      <c r="C5" s="1">
        <v>31499173.600000001</v>
      </c>
      <c r="D5" s="46">
        <v>30678030</v>
      </c>
      <c r="E5" s="1">
        <v>29823683.57</v>
      </c>
      <c r="F5" s="1">
        <v>28854591.050000001</v>
      </c>
      <c r="G5" s="46">
        <v>28286214.280000001</v>
      </c>
      <c r="H5" s="1">
        <v>27482323.260000002</v>
      </c>
      <c r="I5" s="1">
        <v>26510956.859999999</v>
      </c>
      <c r="J5" s="46">
        <v>25764389.539999999</v>
      </c>
      <c r="K5" s="1">
        <v>24907902.77</v>
      </c>
      <c r="L5" s="1">
        <v>24088907.800000001</v>
      </c>
      <c r="M5" s="46">
        <v>23310610.120000001</v>
      </c>
      <c r="N5" s="1">
        <v>22362251.27</v>
      </c>
      <c r="O5" s="1">
        <v>21786031.859999999</v>
      </c>
      <c r="P5" s="46">
        <v>20876939.52</v>
      </c>
      <c r="Q5" s="1">
        <v>20179322.93</v>
      </c>
      <c r="R5" s="1">
        <v>19152180.32</v>
      </c>
      <c r="S5" s="46">
        <v>18220985.879999999</v>
      </c>
      <c r="T5" s="1">
        <v>17260344.41</v>
      </c>
      <c r="U5" s="1">
        <v>16700036.779999999</v>
      </c>
      <c r="V5" s="46">
        <v>16037426.99</v>
      </c>
      <c r="W5" s="1">
        <v>15554250.01</v>
      </c>
      <c r="X5" s="1">
        <v>14921660.76</v>
      </c>
      <c r="Y5" s="46">
        <v>14346728.869999999</v>
      </c>
      <c r="Z5" s="1">
        <v>13679540.630000001</v>
      </c>
      <c r="AA5" s="1">
        <v>12914485.25</v>
      </c>
      <c r="AB5" s="46">
        <v>12199015.49</v>
      </c>
      <c r="AC5" s="1">
        <v>11137321.4</v>
      </c>
      <c r="AD5" s="1">
        <v>10416591.43</v>
      </c>
      <c r="AE5" s="46">
        <v>9562646</v>
      </c>
      <c r="AF5" s="1">
        <v>8973789.75</v>
      </c>
      <c r="AG5" s="1">
        <v>8452959.1600000001</v>
      </c>
      <c r="AH5" s="46">
        <v>8061047.3399999999</v>
      </c>
      <c r="AI5" s="1">
        <v>7730032.7100000009</v>
      </c>
      <c r="AJ5" s="1">
        <v>7171522.4400000004</v>
      </c>
      <c r="AK5" s="46">
        <v>6518588.9199999999</v>
      </c>
      <c r="AL5" s="1">
        <v>6223686.1400000006</v>
      </c>
      <c r="AM5" s="1">
        <v>6000314.9300000006</v>
      </c>
      <c r="AN5" s="46">
        <v>5641766.1899999985</v>
      </c>
      <c r="AO5" s="1">
        <v>5158378.3099999987</v>
      </c>
      <c r="AP5" s="1">
        <v>4864390.540000001</v>
      </c>
      <c r="AQ5" s="46">
        <v>4482173.58</v>
      </c>
      <c r="AR5" s="1">
        <v>4070129.32</v>
      </c>
      <c r="AS5" s="1">
        <v>3757944.46</v>
      </c>
      <c r="AT5" s="46">
        <v>3554498.69</v>
      </c>
      <c r="AU5" s="1">
        <v>3249717.149999999</v>
      </c>
      <c r="AV5" s="1">
        <v>2931687.5699999989</v>
      </c>
      <c r="AW5" s="46">
        <v>2646861.7000000002</v>
      </c>
      <c r="AX5" s="1">
        <v>2550673.7999999998</v>
      </c>
      <c r="AY5" s="1">
        <v>2468332.33</v>
      </c>
      <c r="AZ5" s="46">
        <v>2395316.42</v>
      </c>
      <c r="BA5" s="1">
        <v>2327356.2999999998</v>
      </c>
      <c r="BB5" s="1">
        <v>2255591.06</v>
      </c>
      <c r="BC5" s="46">
        <v>1799470.4</v>
      </c>
      <c r="BD5" s="1">
        <v>960306.37000000011</v>
      </c>
      <c r="BE5" s="1">
        <v>852099.54000000015</v>
      </c>
      <c r="BF5" s="46">
        <v>740743.88000000012</v>
      </c>
      <c r="BG5" s="1">
        <v>668859.13</v>
      </c>
      <c r="BH5" s="1">
        <v>574599.72000000009</v>
      </c>
      <c r="BI5" s="46">
        <v>218819.86</v>
      </c>
      <c r="BJ5" s="1">
        <v>25937.67</v>
      </c>
      <c r="BK5" s="1">
        <v>25937.67</v>
      </c>
      <c r="BL5">
        <v>25937.67</v>
      </c>
    </row>
    <row r="6" spans="1:64" ht="15.5" x14ac:dyDescent="0.35">
      <c r="A6" t="s">
        <v>68</v>
      </c>
      <c r="B6" s="1">
        <v>14482658.5</v>
      </c>
      <c r="C6" s="1">
        <v>13490819.460000001</v>
      </c>
      <c r="D6" s="46">
        <v>13159316.51</v>
      </c>
      <c r="E6" s="1">
        <v>12738266.6</v>
      </c>
      <c r="F6" s="1">
        <v>12328367</v>
      </c>
      <c r="G6" s="46">
        <v>12091321.880000001</v>
      </c>
      <c r="H6" s="1">
        <v>11764170.890000001</v>
      </c>
      <c r="I6" s="1">
        <v>11334264.439999999</v>
      </c>
      <c r="J6" s="46">
        <v>11029280.91</v>
      </c>
      <c r="K6" s="1">
        <v>10667473.18</v>
      </c>
      <c r="L6" s="1">
        <v>10317755.15</v>
      </c>
      <c r="M6" s="46">
        <v>10005299.140000001</v>
      </c>
      <c r="N6" s="1">
        <v>9629391.1999999993</v>
      </c>
      <c r="O6" s="1">
        <v>9390867.3099999987</v>
      </c>
      <c r="P6" s="46">
        <v>8970865.3100000005</v>
      </c>
      <c r="Q6" s="1">
        <v>8654252.5700000003</v>
      </c>
      <c r="R6" s="1">
        <v>8226328.2800000003</v>
      </c>
      <c r="S6" s="46">
        <v>7830466.2400000002</v>
      </c>
      <c r="T6" s="1">
        <v>7452809.96</v>
      </c>
      <c r="U6" s="1">
        <v>7209280.0899999999</v>
      </c>
      <c r="V6" s="46">
        <v>6923862.3300000001</v>
      </c>
      <c r="W6" s="1">
        <v>6712321.9000000004</v>
      </c>
      <c r="X6" s="1">
        <v>6451108.0699999994</v>
      </c>
      <c r="Y6" s="46">
        <v>6218961.1200000001</v>
      </c>
      <c r="Z6" s="1">
        <v>5954752.6799999997</v>
      </c>
      <c r="AA6" s="1">
        <v>5644440.3200000003</v>
      </c>
      <c r="AB6" s="46">
        <v>5328383.12</v>
      </c>
      <c r="AC6" s="1">
        <v>4879824.49</v>
      </c>
      <c r="AD6" s="1">
        <v>4558763.74</v>
      </c>
      <c r="AE6" s="46">
        <v>4184636.96</v>
      </c>
      <c r="AF6" s="1">
        <v>3930251.78</v>
      </c>
      <c r="AG6" s="1">
        <v>3705593.28</v>
      </c>
      <c r="AH6" s="46">
        <v>3541601.14</v>
      </c>
      <c r="AI6" s="1">
        <v>3397694.2</v>
      </c>
      <c r="AJ6" s="1">
        <v>3156486.09</v>
      </c>
      <c r="AK6" s="46">
        <v>2868134.42</v>
      </c>
      <c r="AL6" s="1">
        <v>2746422.54</v>
      </c>
      <c r="AM6" s="1">
        <v>2653016.52</v>
      </c>
      <c r="AN6" s="46">
        <v>2491231.9300000002</v>
      </c>
      <c r="AO6" s="1">
        <v>2283772.189999999</v>
      </c>
      <c r="AP6" s="1">
        <v>2159446.7799999998</v>
      </c>
      <c r="AQ6" s="46">
        <v>2012757.78</v>
      </c>
      <c r="AR6" s="1">
        <v>1814981.16</v>
      </c>
      <c r="AS6" s="1">
        <v>1658101.89</v>
      </c>
      <c r="AT6" s="46">
        <v>1582544.82</v>
      </c>
      <c r="AU6" s="1">
        <v>1412741.59</v>
      </c>
      <c r="AV6" s="1">
        <v>1275273.56</v>
      </c>
      <c r="AW6" s="46">
        <v>1133270.48</v>
      </c>
      <c r="AX6" s="1">
        <v>1097537.71</v>
      </c>
      <c r="AY6" s="1">
        <v>1063898.6000000001</v>
      </c>
      <c r="AZ6" s="46">
        <v>1036585.62</v>
      </c>
      <c r="BA6" s="1">
        <v>1012065.08</v>
      </c>
      <c r="BB6" s="1">
        <v>978732.13</v>
      </c>
      <c r="BC6" s="46">
        <v>789053.52</v>
      </c>
      <c r="BD6" s="1">
        <v>437069.92999999988</v>
      </c>
      <c r="BE6" s="1">
        <v>387570.6</v>
      </c>
      <c r="BF6" s="46">
        <v>342891.78</v>
      </c>
      <c r="BG6" s="1">
        <v>312988.37999999989</v>
      </c>
      <c r="BH6" s="1">
        <v>271891.07</v>
      </c>
      <c r="BI6" s="46">
        <v>91329.090000000011</v>
      </c>
      <c r="BJ6" s="1">
        <v>11657.79</v>
      </c>
      <c r="BK6" s="1">
        <v>11657.79</v>
      </c>
      <c r="BL6">
        <v>11657.79</v>
      </c>
    </row>
    <row r="7" spans="1:64" ht="15.5" x14ac:dyDescent="0.35">
      <c r="A7" t="s">
        <v>69</v>
      </c>
      <c r="B7" s="1">
        <v>9031672.7799999993</v>
      </c>
      <c r="C7" s="1">
        <v>8537254.8200000003</v>
      </c>
      <c r="D7" s="46">
        <v>8347182.5299999993</v>
      </c>
      <c r="E7" s="1">
        <v>8120291.5699999994</v>
      </c>
      <c r="F7" s="1">
        <v>7887452.4800000004</v>
      </c>
      <c r="G7" s="46">
        <v>7743107.2300000004</v>
      </c>
      <c r="H7" s="1">
        <v>7555822.459999999</v>
      </c>
      <c r="I7" s="1">
        <v>7339192.5199999996</v>
      </c>
      <c r="J7" s="46">
        <v>7155894.6200000001</v>
      </c>
      <c r="K7" s="1">
        <v>6953344.4100000001</v>
      </c>
      <c r="L7" s="1">
        <v>6744730.6199999992</v>
      </c>
      <c r="M7" s="46">
        <v>6550822.6299999999</v>
      </c>
      <c r="N7" s="1">
        <v>6318854.6099999994</v>
      </c>
      <c r="O7" s="1">
        <v>6171970.8000000007</v>
      </c>
      <c r="P7" s="46">
        <v>5939042.6200000001</v>
      </c>
      <c r="Q7" s="1">
        <v>5768030.9399999985</v>
      </c>
      <c r="R7" s="1">
        <v>5484221.1899999985</v>
      </c>
      <c r="S7" s="46">
        <v>5213856.84</v>
      </c>
      <c r="T7" s="1">
        <v>4975658.5600000015</v>
      </c>
      <c r="U7" s="1">
        <v>4807190.3599999994</v>
      </c>
      <c r="V7" s="46">
        <v>4639010.6500000004</v>
      </c>
      <c r="W7" s="1">
        <v>4501932.51</v>
      </c>
      <c r="X7" s="1">
        <v>4345659.34</v>
      </c>
      <c r="Y7" s="46">
        <v>4194276.07</v>
      </c>
      <c r="Z7" s="1">
        <v>4015795.48</v>
      </c>
      <c r="AA7" s="1">
        <v>3805885.3</v>
      </c>
      <c r="AB7" s="46">
        <v>3589490.39</v>
      </c>
      <c r="AC7" s="1">
        <v>3299442.14</v>
      </c>
      <c r="AD7" s="1">
        <v>3091055.39</v>
      </c>
      <c r="AE7" s="46">
        <v>2864480.55</v>
      </c>
      <c r="AF7" s="1">
        <v>2703656.35</v>
      </c>
      <c r="AG7" s="1">
        <v>2564954.2999999998</v>
      </c>
      <c r="AH7" s="46">
        <v>2463701.0699999998</v>
      </c>
      <c r="AI7" s="1">
        <v>2358793.6</v>
      </c>
      <c r="AJ7" s="1">
        <v>2201672.4900000002</v>
      </c>
      <c r="AK7" s="46">
        <v>2025938.31</v>
      </c>
      <c r="AL7" s="1">
        <v>1938849.94</v>
      </c>
      <c r="AM7" s="1">
        <v>1866524.12</v>
      </c>
      <c r="AN7" s="46">
        <v>1739986.78</v>
      </c>
      <c r="AO7" s="1">
        <v>1568751.56</v>
      </c>
      <c r="AP7" s="1">
        <v>1476728.15</v>
      </c>
      <c r="AQ7" s="46">
        <v>1367720.13</v>
      </c>
      <c r="AR7" s="1">
        <v>1245347.03</v>
      </c>
      <c r="AS7" s="1">
        <v>1143590.1200000001</v>
      </c>
      <c r="AT7" s="46">
        <v>1074539.51</v>
      </c>
      <c r="AU7" s="1">
        <v>983310.50000000012</v>
      </c>
      <c r="AV7" s="1">
        <v>882550.56</v>
      </c>
      <c r="AW7" s="46">
        <v>791574.76</v>
      </c>
      <c r="AX7" s="1">
        <v>760349.09000000008</v>
      </c>
      <c r="AY7" s="1">
        <v>734956.27</v>
      </c>
      <c r="AZ7" s="46">
        <v>707509.34000000008</v>
      </c>
      <c r="BA7" s="1">
        <v>685227.79</v>
      </c>
      <c r="BB7" s="1">
        <v>663802.21</v>
      </c>
      <c r="BC7" s="46">
        <v>538240.8600000001</v>
      </c>
      <c r="BD7" s="1">
        <v>310646.89</v>
      </c>
      <c r="BE7" s="1">
        <v>277292.34999999998</v>
      </c>
      <c r="BF7" s="46">
        <v>241078.64</v>
      </c>
      <c r="BG7" s="1">
        <v>221729.36</v>
      </c>
      <c r="BH7" s="1">
        <v>193110.66</v>
      </c>
      <c r="BI7" s="46">
        <v>75050.540000000008</v>
      </c>
      <c r="BJ7" s="1">
        <v>7068.08</v>
      </c>
      <c r="BK7" s="1">
        <v>7068.08</v>
      </c>
      <c r="BL7">
        <v>7068.08</v>
      </c>
    </row>
    <row r="8" spans="1:64" ht="15.5" x14ac:dyDescent="0.35">
      <c r="A8" t="s">
        <v>70</v>
      </c>
      <c r="B8" s="1">
        <v>2302974.12</v>
      </c>
      <c r="C8" s="1">
        <v>2082100.78</v>
      </c>
      <c r="D8" s="46">
        <v>2004246.17</v>
      </c>
      <c r="E8" s="1">
        <v>1956036.8</v>
      </c>
      <c r="F8" s="1">
        <v>1886865.95</v>
      </c>
      <c r="G8" s="46">
        <v>1838788.8</v>
      </c>
      <c r="H8" s="1">
        <v>1780459.51</v>
      </c>
      <c r="I8" s="1">
        <v>1724663.27</v>
      </c>
      <c r="J8" s="46">
        <v>1672317.56</v>
      </c>
      <c r="K8" s="1">
        <v>1608935.43</v>
      </c>
      <c r="L8" s="1">
        <v>1551400.87</v>
      </c>
      <c r="M8" s="46">
        <v>1495460.53</v>
      </c>
      <c r="N8" s="1">
        <v>1426441.08</v>
      </c>
      <c r="O8" s="1">
        <v>1383891.82</v>
      </c>
      <c r="P8" s="46">
        <v>1327133.32</v>
      </c>
      <c r="Q8" s="1">
        <v>1281314.57</v>
      </c>
      <c r="R8" s="1">
        <v>1203889.6299999999</v>
      </c>
      <c r="S8" s="46">
        <v>1139655.9099999999</v>
      </c>
      <c r="T8" s="1">
        <v>1076126.8999999999</v>
      </c>
      <c r="U8" s="1">
        <v>1036909.27</v>
      </c>
      <c r="V8" s="46">
        <v>996689.9</v>
      </c>
      <c r="W8" s="1">
        <v>965546.53</v>
      </c>
      <c r="X8" s="1">
        <v>928250.53</v>
      </c>
      <c r="Y8" s="46">
        <v>891428.76</v>
      </c>
      <c r="Z8" s="1">
        <v>845205.73</v>
      </c>
      <c r="AA8" s="1">
        <v>799912.8</v>
      </c>
      <c r="AB8" s="46">
        <v>754489.31</v>
      </c>
      <c r="AC8" s="1">
        <v>696549.53</v>
      </c>
      <c r="AD8" s="1">
        <v>644248.26</v>
      </c>
      <c r="AE8" s="46">
        <v>588318.07999999996</v>
      </c>
      <c r="AF8" s="1">
        <v>553452.51</v>
      </c>
      <c r="AG8" s="1">
        <v>523326.95000000013</v>
      </c>
      <c r="AH8" s="46">
        <v>502420.21</v>
      </c>
      <c r="AI8" s="1">
        <v>481316.35</v>
      </c>
      <c r="AJ8" s="1">
        <v>443123.01</v>
      </c>
      <c r="AK8" s="46">
        <v>406250.08</v>
      </c>
      <c r="AL8" s="1">
        <v>387567.86</v>
      </c>
      <c r="AM8" s="1">
        <v>372603.44</v>
      </c>
      <c r="AN8" s="46">
        <v>349190.61</v>
      </c>
      <c r="AO8" s="1">
        <v>321305.61</v>
      </c>
      <c r="AP8" s="1">
        <v>302163.3</v>
      </c>
      <c r="AQ8" s="46">
        <v>271980.99</v>
      </c>
      <c r="AR8" s="1">
        <v>251333.56</v>
      </c>
      <c r="AS8" s="1">
        <v>231580.2</v>
      </c>
      <c r="AT8" s="46">
        <v>218463.81</v>
      </c>
      <c r="AU8" s="1">
        <v>195282.94</v>
      </c>
      <c r="AV8" s="1">
        <v>171235.92</v>
      </c>
      <c r="AW8" s="46">
        <v>152900.01999999999</v>
      </c>
      <c r="AX8" s="1">
        <v>145912.24</v>
      </c>
      <c r="AY8" s="1">
        <v>139977.32999999999</v>
      </c>
      <c r="AZ8" s="46">
        <v>134129.22</v>
      </c>
      <c r="BA8" s="1">
        <v>130343.83</v>
      </c>
      <c r="BB8" s="1">
        <v>127026.66</v>
      </c>
      <c r="BC8" s="46">
        <v>108922.7</v>
      </c>
      <c r="BD8" s="1">
        <v>76901.570000000022</v>
      </c>
      <c r="BE8" s="1">
        <v>68775.470000000016</v>
      </c>
      <c r="BF8" s="46">
        <v>61568.76</v>
      </c>
      <c r="BG8" s="1">
        <v>57058.38</v>
      </c>
      <c r="BH8" s="1">
        <v>49614.07</v>
      </c>
      <c r="BI8" s="46">
        <v>17915.87</v>
      </c>
      <c r="BJ8" s="1">
        <v>1906.76</v>
      </c>
      <c r="BK8" s="1">
        <v>1906.76</v>
      </c>
      <c r="BL8">
        <v>1906.76</v>
      </c>
    </row>
    <row r="9" spans="1:64" ht="15.5" x14ac:dyDescent="0.35">
      <c r="A9" t="s">
        <v>71</v>
      </c>
      <c r="B9" s="1">
        <v>149590026.87</v>
      </c>
      <c r="C9" s="1">
        <v>128860550.34999999</v>
      </c>
      <c r="D9" s="46">
        <v>123668732.18000001</v>
      </c>
      <c r="E9" s="1">
        <v>120666768.20999999</v>
      </c>
      <c r="F9" s="1">
        <v>113474338.16</v>
      </c>
      <c r="G9" s="46">
        <v>109783526.81999999</v>
      </c>
      <c r="H9" s="1">
        <v>101565444.40000001</v>
      </c>
      <c r="I9" s="1">
        <v>96951607</v>
      </c>
      <c r="J9" s="46">
        <v>92339076.980000004</v>
      </c>
      <c r="K9" s="1">
        <v>87985967.149999991</v>
      </c>
      <c r="L9" s="1">
        <v>83571651.550000012</v>
      </c>
      <c r="M9" s="46">
        <v>79435812.430000007</v>
      </c>
      <c r="N9" s="1">
        <v>73542847.870000005</v>
      </c>
      <c r="O9" s="1">
        <v>70109871.050000012</v>
      </c>
      <c r="P9" s="46">
        <v>66014266.399999999</v>
      </c>
      <c r="Q9" s="1">
        <v>62581626.280000001</v>
      </c>
      <c r="R9" s="1">
        <v>57287825.329999998</v>
      </c>
      <c r="S9" s="46">
        <v>53690005.390000001</v>
      </c>
      <c r="T9" s="1">
        <v>47205294.060000002</v>
      </c>
      <c r="U9" s="1">
        <v>45091952.659999996</v>
      </c>
      <c r="V9" s="46">
        <v>42182458.239999987</v>
      </c>
      <c r="W9" s="1">
        <v>40414088.859999999</v>
      </c>
      <c r="X9" s="1">
        <v>38405435.200000003</v>
      </c>
      <c r="Y9" s="46">
        <v>36586831.450000003</v>
      </c>
      <c r="Z9" s="1">
        <v>35044589.82</v>
      </c>
      <c r="AA9" s="1">
        <v>32146832.280000001</v>
      </c>
      <c r="AB9" s="46">
        <v>30389203.859999999</v>
      </c>
      <c r="AC9" s="1">
        <v>24723366.390000001</v>
      </c>
      <c r="AD9" s="1">
        <v>22627558.129999999</v>
      </c>
      <c r="AE9" s="46">
        <v>20346558.73</v>
      </c>
      <c r="AF9" s="1">
        <v>18532679.359999999</v>
      </c>
      <c r="AG9" s="1">
        <v>17502558.940000001</v>
      </c>
      <c r="AH9" s="46">
        <v>16355170.050000001</v>
      </c>
      <c r="AI9" s="1">
        <v>15682498.9</v>
      </c>
      <c r="AJ9" s="1">
        <v>14617895.210000001</v>
      </c>
      <c r="AK9" s="46">
        <v>13417593.810000001</v>
      </c>
      <c r="AL9" s="1">
        <v>12919154.27</v>
      </c>
      <c r="AM9" s="1">
        <v>12371931.41</v>
      </c>
      <c r="AN9" s="46">
        <v>11813108.34</v>
      </c>
      <c r="AO9" s="1">
        <v>9724877.8499999996</v>
      </c>
      <c r="AP9" s="1">
        <v>8786781.9600000009</v>
      </c>
      <c r="AQ9" s="46">
        <v>6523622.620000001</v>
      </c>
      <c r="AR9" s="1">
        <v>5441621.4299999997</v>
      </c>
      <c r="AS9" s="1">
        <v>5165438.66</v>
      </c>
      <c r="AT9" s="46">
        <v>4952011.4000000004</v>
      </c>
      <c r="AU9" s="1">
        <v>4728626.3699999992</v>
      </c>
      <c r="AV9" s="1">
        <v>4403732.87</v>
      </c>
      <c r="AW9" s="46">
        <v>4111183.94</v>
      </c>
      <c r="AX9" s="1">
        <v>3995116.08</v>
      </c>
      <c r="AY9" s="1">
        <v>3849317.31</v>
      </c>
      <c r="AZ9" s="46">
        <v>3726018.31</v>
      </c>
      <c r="BA9" s="1">
        <v>3610192.46</v>
      </c>
      <c r="BB9" s="1">
        <v>3495500.8</v>
      </c>
      <c r="BC9" s="46">
        <v>2491896.9700000002</v>
      </c>
      <c r="BD9" s="1">
        <v>729211.37</v>
      </c>
      <c r="BE9" s="1">
        <v>649845.5</v>
      </c>
      <c r="BF9" s="46">
        <v>345012.46</v>
      </c>
      <c r="BG9" s="1">
        <v>186262.34</v>
      </c>
      <c r="BH9" s="1">
        <v>144094.70000000001</v>
      </c>
      <c r="BI9" s="46">
        <v>97198.39</v>
      </c>
      <c r="BJ9" s="1">
        <v>60580.39</v>
      </c>
      <c r="BK9" s="1">
        <v>60580.39</v>
      </c>
      <c r="BL9">
        <v>60580.39</v>
      </c>
    </row>
    <row r="10" spans="1:64" ht="15.5" x14ac:dyDescent="0.35">
      <c r="A10" t="s">
        <v>72</v>
      </c>
      <c r="B10" s="1">
        <v>73046873.560000002</v>
      </c>
      <c r="C10" s="1">
        <v>64763582.649999991</v>
      </c>
      <c r="D10" s="46">
        <v>62693512.989999987</v>
      </c>
      <c r="E10" s="1">
        <v>61140584.93</v>
      </c>
      <c r="F10" s="1">
        <v>58633715.069999993</v>
      </c>
      <c r="G10" s="46">
        <v>56915522.479999997</v>
      </c>
      <c r="H10" s="1">
        <v>53552167.890000001</v>
      </c>
      <c r="I10" s="1">
        <v>52005356.240000002</v>
      </c>
      <c r="J10" s="46">
        <v>49964701.859999999</v>
      </c>
      <c r="K10" s="1">
        <v>47928795.020000003</v>
      </c>
      <c r="L10" s="1">
        <v>45455226.760000013</v>
      </c>
      <c r="M10" s="46">
        <v>43102853.609999999</v>
      </c>
      <c r="N10" s="1">
        <v>40345703.780000001</v>
      </c>
      <c r="O10" s="1">
        <v>38537693.670000002</v>
      </c>
      <c r="P10" s="46">
        <v>36685679.549999997</v>
      </c>
      <c r="Q10" s="1">
        <v>35309859.68</v>
      </c>
      <c r="R10" s="1">
        <v>32891937.41</v>
      </c>
      <c r="S10" s="46">
        <v>30996852.59</v>
      </c>
      <c r="T10" s="1">
        <v>29916880.960000001</v>
      </c>
      <c r="U10" s="1">
        <v>28822093.760000002</v>
      </c>
      <c r="V10" s="46">
        <v>27403473.780000001</v>
      </c>
      <c r="W10" s="1">
        <v>26134230.66</v>
      </c>
      <c r="X10" s="1">
        <v>24586722.370000001</v>
      </c>
      <c r="Y10" s="46">
        <v>23402887.699999999</v>
      </c>
      <c r="Z10" s="1">
        <v>22239732.719999999</v>
      </c>
      <c r="AA10" s="1">
        <v>20293884.25</v>
      </c>
      <c r="AB10" s="46">
        <v>18954831.760000002</v>
      </c>
      <c r="AC10" s="1">
        <v>16928361.489999998</v>
      </c>
      <c r="AD10" s="1">
        <v>15419493.65</v>
      </c>
      <c r="AE10" s="46">
        <v>13774095.390000001</v>
      </c>
      <c r="AF10" s="1">
        <v>12699774.83</v>
      </c>
      <c r="AG10" s="1">
        <v>11860389.380000001</v>
      </c>
      <c r="AH10" s="46">
        <v>11044643.050000001</v>
      </c>
      <c r="AI10" s="1">
        <v>10520125.699999999</v>
      </c>
      <c r="AJ10" s="1">
        <v>9646061.7399999984</v>
      </c>
      <c r="AK10" s="46">
        <v>8926383.9100000001</v>
      </c>
      <c r="AL10" s="1">
        <v>8510527.9299999997</v>
      </c>
      <c r="AM10" s="1">
        <v>8024092.0800000001</v>
      </c>
      <c r="AN10" s="46">
        <v>7567977.8300000001</v>
      </c>
      <c r="AO10" s="1">
        <v>6745814.9000000004</v>
      </c>
      <c r="AP10" s="1">
        <v>6124640.4100000001</v>
      </c>
      <c r="AQ10" s="46">
        <v>5387631.3499999996</v>
      </c>
      <c r="AR10" s="1">
        <v>4590075.9000000004</v>
      </c>
      <c r="AS10" s="1">
        <v>4397608.9800000004</v>
      </c>
      <c r="AT10" s="46">
        <v>4206496.22</v>
      </c>
      <c r="AU10" s="1">
        <v>4052794.03</v>
      </c>
      <c r="AV10" s="1">
        <v>3745091.06</v>
      </c>
      <c r="AW10" s="46">
        <v>3493888.97</v>
      </c>
      <c r="AX10" s="1">
        <v>3390166.4700000011</v>
      </c>
      <c r="AY10" s="1">
        <v>3270174.73</v>
      </c>
      <c r="AZ10" s="46">
        <v>3158075.810000001</v>
      </c>
      <c r="BA10" s="1">
        <v>3042249.96</v>
      </c>
      <c r="BB10" s="1">
        <v>2940637.57</v>
      </c>
      <c r="BC10" s="46">
        <v>2073052.19</v>
      </c>
      <c r="BD10" s="1">
        <v>493325.36</v>
      </c>
      <c r="BE10" s="1">
        <v>416658.68000000011</v>
      </c>
      <c r="BF10" s="46">
        <v>325869.07</v>
      </c>
      <c r="BG10" s="1">
        <v>185329.34</v>
      </c>
      <c r="BH10" s="1">
        <v>143161.70000000001</v>
      </c>
      <c r="BI10" s="46">
        <v>96265.39</v>
      </c>
      <c r="BJ10" s="1">
        <v>59647.39</v>
      </c>
      <c r="BK10" s="1">
        <v>59647.39</v>
      </c>
      <c r="BL10">
        <v>59647.39</v>
      </c>
    </row>
    <row r="11" spans="1:64" ht="15.5" x14ac:dyDescent="0.35">
      <c r="A11" t="s">
        <v>73</v>
      </c>
      <c r="B11" s="1">
        <v>1688422.05</v>
      </c>
      <c r="C11" s="1">
        <v>1581001.07</v>
      </c>
      <c r="D11" s="46">
        <v>1540671.63</v>
      </c>
      <c r="E11" s="1">
        <v>1508780.63</v>
      </c>
      <c r="F11" s="1">
        <v>1473543.11</v>
      </c>
      <c r="G11" s="46">
        <v>1442867.46</v>
      </c>
      <c r="H11" s="1">
        <v>1411951.5</v>
      </c>
      <c r="I11" s="1">
        <v>1373702.74</v>
      </c>
      <c r="J11" s="46">
        <v>1319590.7</v>
      </c>
      <c r="K11" s="1">
        <v>1248064.57</v>
      </c>
      <c r="L11" s="1">
        <v>1184857.4099999999</v>
      </c>
      <c r="M11" s="46">
        <v>1131626.56</v>
      </c>
      <c r="N11" s="1">
        <v>1086090.1599999999</v>
      </c>
      <c r="O11" s="1">
        <v>1069386.8600000001</v>
      </c>
      <c r="P11" s="46">
        <v>1027951.28</v>
      </c>
      <c r="Q11" s="1">
        <v>999186.04</v>
      </c>
      <c r="R11" s="1">
        <v>961290.79</v>
      </c>
      <c r="S11" s="46">
        <v>904352.82000000007</v>
      </c>
      <c r="T11" s="1">
        <v>848506.02</v>
      </c>
      <c r="U11" s="1">
        <v>829889.54</v>
      </c>
      <c r="V11" s="46">
        <v>808242.41999999993</v>
      </c>
      <c r="W11" s="1">
        <v>791818.98</v>
      </c>
      <c r="X11" s="1">
        <v>726602.8</v>
      </c>
      <c r="Y11" s="46">
        <v>669271.71</v>
      </c>
      <c r="Z11" s="1">
        <v>591394.37</v>
      </c>
      <c r="AA11" s="1">
        <v>554252.06000000006</v>
      </c>
      <c r="AB11" s="46">
        <v>517940.38</v>
      </c>
      <c r="AC11" s="1">
        <v>469698.72</v>
      </c>
      <c r="AD11" s="1">
        <v>434795.19</v>
      </c>
      <c r="AE11" s="46">
        <v>397139.75</v>
      </c>
      <c r="AF11" s="1">
        <v>363804.87</v>
      </c>
      <c r="AG11" s="1">
        <v>325010.53999999998</v>
      </c>
      <c r="AH11" s="46">
        <v>299001.82</v>
      </c>
      <c r="AI11" s="1">
        <v>280835.09000000003</v>
      </c>
      <c r="AJ11" s="1">
        <v>238512.09</v>
      </c>
      <c r="AK11" s="46">
        <v>196486.64</v>
      </c>
      <c r="AL11" s="1">
        <v>180114.1</v>
      </c>
      <c r="AM11" s="1">
        <v>172014.19</v>
      </c>
      <c r="AN11" s="46">
        <v>158657.38</v>
      </c>
      <c r="AO11" s="1">
        <v>147452.1</v>
      </c>
      <c r="AP11" s="1">
        <v>139334.82999999999</v>
      </c>
      <c r="AQ11" s="46">
        <v>130452.25</v>
      </c>
      <c r="AR11" s="1">
        <v>120841.99</v>
      </c>
      <c r="AS11" s="1">
        <v>115179.93</v>
      </c>
      <c r="AT11" s="46">
        <v>96369.17</v>
      </c>
      <c r="AU11" s="1">
        <v>92747.099999999991</v>
      </c>
      <c r="AV11" s="1">
        <v>74236.2</v>
      </c>
      <c r="AW11" s="46">
        <v>66334.69</v>
      </c>
      <c r="AX11" s="1">
        <v>60543.46</v>
      </c>
      <c r="AY11" s="1">
        <v>56353.03</v>
      </c>
      <c r="AZ11" s="46">
        <v>54466.2</v>
      </c>
      <c r="BA11" s="1">
        <v>51626.429999999993</v>
      </c>
      <c r="BB11" s="1">
        <v>50576.43</v>
      </c>
      <c r="BC11" s="46">
        <v>42128.160000000003</v>
      </c>
      <c r="BD11" s="1">
        <v>26060.61</v>
      </c>
      <c r="BE11" s="1">
        <v>22744.99</v>
      </c>
      <c r="BF11" s="46">
        <v>17697.919999999998</v>
      </c>
      <c r="BG11" s="1">
        <v>14204.71</v>
      </c>
      <c r="BH11" s="1">
        <v>11161.5</v>
      </c>
      <c r="BI11" s="46">
        <v>5506.17</v>
      </c>
      <c r="BJ11" s="1">
        <v>645.01</v>
      </c>
      <c r="BK11" s="1">
        <v>645.01</v>
      </c>
      <c r="BL11">
        <v>645.01</v>
      </c>
    </row>
    <row r="12" spans="1:64" ht="15.5" x14ac:dyDescent="0.35">
      <c r="A12" t="s">
        <v>74</v>
      </c>
      <c r="B12" s="1">
        <v>1292093583.23</v>
      </c>
      <c r="C12" s="1">
        <v>1205384029.1600001</v>
      </c>
      <c r="D12" s="46">
        <v>1177399612.75</v>
      </c>
      <c r="E12" s="1">
        <v>1147226376.23</v>
      </c>
      <c r="F12" s="1">
        <v>1112846706.28</v>
      </c>
      <c r="G12" s="46">
        <v>1091585318.1700001</v>
      </c>
      <c r="H12" s="1">
        <v>1062765963.3</v>
      </c>
      <c r="I12" s="1">
        <v>1030125071.87</v>
      </c>
      <c r="J12" s="46">
        <v>1001871103.0599999</v>
      </c>
      <c r="K12" s="1">
        <v>972371893.93000007</v>
      </c>
      <c r="L12" s="1">
        <v>942844057.92000008</v>
      </c>
      <c r="M12" s="46">
        <v>915566291.5999999</v>
      </c>
      <c r="N12" s="1">
        <v>881259032.20000005</v>
      </c>
      <c r="O12" s="1">
        <v>860123473.54999995</v>
      </c>
      <c r="P12" s="46">
        <v>827851332.92999995</v>
      </c>
      <c r="Q12" s="1">
        <v>803433053.44000006</v>
      </c>
      <c r="R12" s="1">
        <v>765204193.63</v>
      </c>
      <c r="S12" s="46">
        <v>729741763.1500001</v>
      </c>
      <c r="T12" s="1">
        <v>696268956.28999996</v>
      </c>
      <c r="U12" s="1">
        <v>673901559.68999994</v>
      </c>
      <c r="V12" s="46">
        <v>650755462.11000001</v>
      </c>
      <c r="W12" s="1">
        <v>632690497.35000002</v>
      </c>
      <c r="X12" s="1">
        <v>611380168.62</v>
      </c>
      <c r="Y12" s="46">
        <v>591238850.86999989</v>
      </c>
      <c r="Z12" s="1">
        <v>568096114.76999998</v>
      </c>
      <c r="AA12" s="1">
        <v>539493745.23000002</v>
      </c>
      <c r="AB12" s="46">
        <v>510407232.81999999</v>
      </c>
      <c r="AC12" s="1">
        <v>468709257.95999998</v>
      </c>
      <c r="AD12" s="1">
        <v>439637577.62</v>
      </c>
      <c r="AE12" s="46">
        <v>407352611.64999998</v>
      </c>
      <c r="AF12" s="1">
        <v>385191751.66000003</v>
      </c>
      <c r="AG12" s="1">
        <v>366317572.25999999</v>
      </c>
      <c r="AH12" s="46">
        <v>351966649.63</v>
      </c>
      <c r="AI12" s="1">
        <v>338016607.31000012</v>
      </c>
      <c r="AJ12" s="1">
        <v>316787253.17000002</v>
      </c>
      <c r="AK12" s="46">
        <v>291732539.88</v>
      </c>
      <c r="AL12" s="1">
        <v>279945477.26999998</v>
      </c>
      <c r="AM12" s="1">
        <v>270149188.16000003</v>
      </c>
      <c r="AN12" s="46">
        <v>252774787.22999999</v>
      </c>
      <c r="AO12" s="1">
        <v>229076469.38999999</v>
      </c>
      <c r="AP12" s="1">
        <v>216094521.93000001</v>
      </c>
      <c r="AQ12" s="46">
        <v>200563993.06999999</v>
      </c>
      <c r="AR12" s="1">
        <v>181759707.62</v>
      </c>
      <c r="AS12" s="1">
        <v>166968059.06</v>
      </c>
      <c r="AT12" s="46">
        <v>157904572.81</v>
      </c>
      <c r="AU12" s="1">
        <v>143606884.66999999</v>
      </c>
      <c r="AV12" s="1">
        <v>129595171.72</v>
      </c>
      <c r="AW12" s="46">
        <v>116403453.56</v>
      </c>
      <c r="AX12" s="1">
        <v>112233589.04000001</v>
      </c>
      <c r="AY12" s="1">
        <v>108649287.61</v>
      </c>
      <c r="AZ12" s="46">
        <v>104997603.05</v>
      </c>
      <c r="BA12" s="1">
        <v>101916266.40000001</v>
      </c>
      <c r="BB12" s="1">
        <v>98666884.209999993</v>
      </c>
      <c r="BC12" s="46">
        <v>79676425.150000006</v>
      </c>
      <c r="BD12" s="1">
        <v>45101801.739999987</v>
      </c>
      <c r="BE12" s="1">
        <v>40243439.969999991</v>
      </c>
      <c r="BF12" s="46">
        <v>34712639.960000001</v>
      </c>
      <c r="BG12" s="1">
        <v>31821469.300000001</v>
      </c>
      <c r="BH12" s="1">
        <v>27718531.359999999</v>
      </c>
      <c r="BI12" s="46">
        <v>10557398.619999999</v>
      </c>
      <c r="BJ12" s="1">
        <v>1163163.48</v>
      </c>
      <c r="BK12" s="1">
        <v>1163163.48</v>
      </c>
      <c r="BL12">
        <v>1163163.48</v>
      </c>
    </row>
    <row r="13" spans="1:64" ht="15.5" x14ac:dyDescent="0.35">
      <c r="A13" t="s">
        <v>75</v>
      </c>
      <c r="B13" s="1">
        <v>952865862.28999996</v>
      </c>
      <c r="C13" s="1">
        <v>910439877.70000005</v>
      </c>
      <c r="D13" s="46">
        <v>881878995.38</v>
      </c>
      <c r="E13" s="1">
        <v>850157733.80999994</v>
      </c>
      <c r="F13" s="1">
        <v>818702993.97000003</v>
      </c>
      <c r="G13" s="46">
        <v>795469626.16000009</v>
      </c>
      <c r="H13" s="1">
        <v>770074358.42999995</v>
      </c>
      <c r="I13" s="1">
        <v>740875890.63999999</v>
      </c>
      <c r="J13" s="46">
        <v>714431228.42999995</v>
      </c>
      <c r="K13" s="1">
        <v>687677923.32999992</v>
      </c>
      <c r="L13" s="1">
        <v>661178939.85000002</v>
      </c>
      <c r="M13" s="46">
        <v>635869483.88999999</v>
      </c>
      <c r="N13" s="1">
        <v>607551847.30999994</v>
      </c>
      <c r="O13" s="1">
        <v>587333896.12</v>
      </c>
      <c r="P13" s="46">
        <v>561836364.60000002</v>
      </c>
      <c r="Q13" s="1">
        <v>540953701.88999999</v>
      </c>
      <c r="R13" s="1">
        <v>511564731.00000012</v>
      </c>
      <c r="S13" s="46">
        <v>482589636.83999997</v>
      </c>
      <c r="T13" s="1">
        <v>458301677.14999998</v>
      </c>
      <c r="U13" s="1">
        <v>438915490.98000002</v>
      </c>
      <c r="V13" s="46">
        <v>419775329.35000002</v>
      </c>
      <c r="W13" s="1">
        <v>403077669.88</v>
      </c>
      <c r="X13" s="1">
        <v>385531055.75</v>
      </c>
      <c r="Y13" s="46">
        <v>368114924.94999993</v>
      </c>
      <c r="Z13" s="1">
        <v>348720574.51999998</v>
      </c>
      <c r="AA13" s="1">
        <v>326926121.33999997</v>
      </c>
      <c r="AB13" s="46">
        <v>306074513.61000001</v>
      </c>
      <c r="AC13" s="1">
        <v>280278280.77999997</v>
      </c>
      <c r="AD13" s="1">
        <v>260138471.74000001</v>
      </c>
      <c r="AE13" s="46">
        <v>240050876.69999999</v>
      </c>
      <c r="AF13" s="1">
        <v>225390204.59</v>
      </c>
      <c r="AG13" s="1">
        <v>212168815.84999999</v>
      </c>
      <c r="AH13" s="46">
        <v>201575066.91</v>
      </c>
      <c r="AI13" s="1">
        <v>191061076.64999989</v>
      </c>
      <c r="AJ13" s="1">
        <v>177242499.75999999</v>
      </c>
      <c r="AK13" s="46">
        <v>162207822.90000001</v>
      </c>
      <c r="AL13" s="1">
        <v>152874951.27000001</v>
      </c>
      <c r="AM13" s="1">
        <v>144957472.06</v>
      </c>
      <c r="AN13" s="46">
        <v>133884878.29000001</v>
      </c>
      <c r="AO13" s="1">
        <v>120227083.56</v>
      </c>
      <c r="AP13" s="1">
        <v>111861178.59999999</v>
      </c>
      <c r="AQ13" s="46">
        <v>103181279.40000001</v>
      </c>
      <c r="AR13" s="1">
        <v>93555229.50999999</v>
      </c>
      <c r="AS13" s="1">
        <v>85145292.390000015</v>
      </c>
      <c r="AT13" s="46">
        <v>78248747.340000004</v>
      </c>
      <c r="AU13" s="1">
        <v>72313107.969999999</v>
      </c>
      <c r="AV13" s="1">
        <v>64402301.000000007</v>
      </c>
      <c r="AW13" s="46">
        <v>57300953.540000007</v>
      </c>
      <c r="AX13" s="1">
        <v>53904696.850000016</v>
      </c>
      <c r="AY13" s="1">
        <v>51180094.470000014</v>
      </c>
      <c r="AZ13" s="46">
        <v>48090569.70000001</v>
      </c>
      <c r="BA13" s="1">
        <v>45376030.56000001</v>
      </c>
      <c r="BB13" s="1">
        <v>43081227.340000011</v>
      </c>
      <c r="BC13" s="46">
        <v>34450598.010000013</v>
      </c>
      <c r="BD13" s="1">
        <v>20310083.020000011</v>
      </c>
      <c r="BE13" s="1">
        <v>17921541.59</v>
      </c>
      <c r="BF13" s="46">
        <v>15104084.90000001</v>
      </c>
      <c r="BG13" s="1">
        <v>13835057.840000009</v>
      </c>
      <c r="BH13" s="1">
        <v>11860748.14000001</v>
      </c>
      <c r="BI13" s="46">
        <v>5091271.6499999994</v>
      </c>
      <c r="BJ13" s="1">
        <v>343709.03</v>
      </c>
      <c r="BK13" s="1">
        <v>332051.24000000011</v>
      </c>
      <c r="BL13">
        <v>320393.45000000013</v>
      </c>
    </row>
    <row r="14" spans="1:64" ht="15.5" x14ac:dyDescent="0.35">
      <c r="A14" t="s">
        <v>76</v>
      </c>
      <c r="B14" s="1">
        <v>0</v>
      </c>
      <c r="C14" s="1">
        <v>0</v>
      </c>
      <c r="D14" s="46">
        <v>0</v>
      </c>
      <c r="E14" s="1">
        <v>0</v>
      </c>
      <c r="F14" s="1">
        <v>0</v>
      </c>
      <c r="G14" s="46">
        <v>0</v>
      </c>
      <c r="H14" s="1">
        <v>0</v>
      </c>
      <c r="I14" s="1">
        <v>0</v>
      </c>
      <c r="J14" s="46">
        <v>0</v>
      </c>
      <c r="K14" s="1">
        <v>0</v>
      </c>
      <c r="L14" s="1">
        <v>0</v>
      </c>
      <c r="M14" s="46">
        <v>0</v>
      </c>
      <c r="N14" s="1">
        <v>0</v>
      </c>
      <c r="O14" s="1">
        <v>0</v>
      </c>
      <c r="P14" s="46">
        <v>0</v>
      </c>
      <c r="Q14" s="1">
        <v>0</v>
      </c>
      <c r="R14" s="1">
        <v>0</v>
      </c>
      <c r="S14" s="46">
        <v>0</v>
      </c>
      <c r="T14" s="1">
        <v>0</v>
      </c>
      <c r="U14" s="1">
        <v>0</v>
      </c>
      <c r="V14" s="46">
        <v>0</v>
      </c>
      <c r="W14" s="1">
        <v>0</v>
      </c>
      <c r="X14" s="1">
        <v>0</v>
      </c>
      <c r="Y14" s="46">
        <v>0</v>
      </c>
      <c r="Z14" s="1">
        <v>0</v>
      </c>
      <c r="AA14" s="1">
        <v>0</v>
      </c>
      <c r="AB14" s="46">
        <v>0</v>
      </c>
      <c r="AC14" s="1">
        <v>0</v>
      </c>
      <c r="AD14" s="1">
        <v>0</v>
      </c>
      <c r="AE14" s="46">
        <v>0</v>
      </c>
      <c r="AF14" s="1">
        <v>0</v>
      </c>
      <c r="AG14" s="1">
        <v>0</v>
      </c>
      <c r="AH14" s="46">
        <v>0</v>
      </c>
      <c r="AI14" s="1">
        <v>0</v>
      </c>
      <c r="AJ14" s="1">
        <v>0</v>
      </c>
      <c r="AK14" s="46">
        <v>0</v>
      </c>
      <c r="AL14" s="1">
        <v>0</v>
      </c>
      <c r="AM14" s="1">
        <v>0</v>
      </c>
      <c r="AN14" s="46">
        <v>0</v>
      </c>
      <c r="AO14" s="1">
        <v>0</v>
      </c>
      <c r="AP14" s="1">
        <v>0</v>
      </c>
      <c r="AQ14" s="46">
        <v>0</v>
      </c>
      <c r="AR14" s="1">
        <v>0</v>
      </c>
      <c r="AS14" s="1">
        <v>0</v>
      </c>
      <c r="AT14" s="46">
        <v>0</v>
      </c>
      <c r="AU14" s="1">
        <v>0</v>
      </c>
      <c r="AV14" s="1">
        <v>0</v>
      </c>
      <c r="AW14" s="46">
        <v>0</v>
      </c>
      <c r="AX14" s="1">
        <v>0</v>
      </c>
      <c r="AY14" s="1">
        <v>0</v>
      </c>
      <c r="AZ14" s="46">
        <v>0</v>
      </c>
      <c r="BA14" s="1">
        <v>0</v>
      </c>
      <c r="BB14" s="1">
        <v>0</v>
      </c>
      <c r="BC14" s="46">
        <v>0</v>
      </c>
      <c r="BD14" s="1">
        <v>0</v>
      </c>
      <c r="BE14" s="1">
        <v>0</v>
      </c>
      <c r="BF14" s="46">
        <v>0</v>
      </c>
      <c r="BG14" s="1">
        <v>0</v>
      </c>
      <c r="BH14" s="1">
        <v>0</v>
      </c>
      <c r="BI14" s="46">
        <v>0</v>
      </c>
      <c r="BJ14" s="1">
        <v>0</v>
      </c>
      <c r="BK14" s="1">
        <v>0</v>
      </c>
      <c r="BL14">
        <v>0</v>
      </c>
    </row>
    <row r="15" spans="1:64" ht="15.5" x14ac:dyDescent="0.35">
      <c r="A15" t="s">
        <v>77</v>
      </c>
      <c r="B15" s="1">
        <v>0</v>
      </c>
      <c r="C15" s="1">
        <v>263</v>
      </c>
      <c r="D15" s="46">
        <v>81</v>
      </c>
      <c r="E15" s="1">
        <v>61</v>
      </c>
      <c r="F15" s="1">
        <v>87</v>
      </c>
      <c r="G15" s="46">
        <v>60</v>
      </c>
      <c r="H15" s="1">
        <v>65</v>
      </c>
      <c r="I15" s="1">
        <v>72</v>
      </c>
      <c r="J15" s="46">
        <v>74</v>
      </c>
      <c r="K15" s="1">
        <v>73</v>
      </c>
      <c r="L15" s="1">
        <v>75</v>
      </c>
      <c r="M15" s="46">
        <v>75</v>
      </c>
      <c r="N15" s="1">
        <v>93</v>
      </c>
      <c r="O15" s="1">
        <v>56</v>
      </c>
      <c r="P15" s="46">
        <v>71</v>
      </c>
      <c r="Q15" s="1">
        <v>50</v>
      </c>
      <c r="R15" s="1">
        <v>83</v>
      </c>
      <c r="S15" s="46">
        <v>73</v>
      </c>
      <c r="T15" s="1">
        <v>65</v>
      </c>
      <c r="U15" s="1">
        <v>50</v>
      </c>
      <c r="V15" s="46">
        <v>52</v>
      </c>
      <c r="W15" s="1">
        <v>44</v>
      </c>
      <c r="X15" s="1">
        <v>46</v>
      </c>
      <c r="Y15" s="46">
        <v>57</v>
      </c>
      <c r="Z15" s="1">
        <v>49</v>
      </c>
      <c r="AA15" s="1">
        <v>72</v>
      </c>
      <c r="AB15" s="46">
        <v>62</v>
      </c>
      <c r="AC15" s="1">
        <v>85</v>
      </c>
      <c r="AD15" s="1">
        <v>58</v>
      </c>
      <c r="AE15" s="46">
        <v>68</v>
      </c>
      <c r="AF15" s="1">
        <v>46</v>
      </c>
      <c r="AG15" s="1">
        <v>39</v>
      </c>
      <c r="AH15" s="46">
        <v>31</v>
      </c>
      <c r="AI15" s="1">
        <v>24</v>
      </c>
      <c r="AJ15" s="1">
        <v>36</v>
      </c>
      <c r="AK15" s="46">
        <v>44</v>
      </c>
      <c r="AL15" s="1">
        <v>30</v>
      </c>
      <c r="AM15" s="1">
        <v>26</v>
      </c>
      <c r="AN15" s="46">
        <v>19</v>
      </c>
      <c r="AO15" s="1">
        <v>22</v>
      </c>
      <c r="AP15" s="1">
        <v>24</v>
      </c>
      <c r="AQ15" s="46">
        <v>26</v>
      </c>
      <c r="AR15" s="1">
        <v>31</v>
      </c>
      <c r="AS15" s="1">
        <v>17</v>
      </c>
      <c r="AT15" s="46">
        <v>17</v>
      </c>
      <c r="AU15" s="1">
        <v>9</v>
      </c>
      <c r="AV15" s="1">
        <v>21</v>
      </c>
      <c r="AW15" s="46">
        <v>18</v>
      </c>
      <c r="AX15" s="1">
        <v>11</v>
      </c>
      <c r="AY15" s="1">
        <v>8</v>
      </c>
      <c r="AZ15" s="46">
        <v>7</v>
      </c>
      <c r="BA15" s="1">
        <v>7</v>
      </c>
      <c r="BB15" s="1">
        <v>3</v>
      </c>
      <c r="BC15" s="46">
        <v>24</v>
      </c>
      <c r="BD15" s="1">
        <v>36</v>
      </c>
      <c r="BE15" s="1">
        <v>8</v>
      </c>
      <c r="BF15" s="46">
        <v>11</v>
      </c>
      <c r="BG15" s="1">
        <v>7</v>
      </c>
      <c r="BH15" s="1">
        <v>7</v>
      </c>
      <c r="BI15" s="46">
        <v>13</v>
      </c>
      <c r="BJ15" s="1">
        <v>17</v>
      </c>
      <c r="BK15" s="1">
        <v>0</v>
      </c>
      <c r="BL15">
        <v>0</v>
      </c>
    </row>
    <row r="16" spans="1:64" ht="15.5" x14ac:dyDescent="0.35">
      <c r="A16" t="s">
        <v>78</v>
      </c>
      <c r="B16" s="1">
        <v>0</v>
      </c>
      <c r="C16" s="1">
        <v>7</v>
      </c>
      <c r="D16" s="46">
        <v>6</v>
      </c>
      <c r="E16" s="1">
        <v>17</v>
      </c>
      <c r="F16" s="1">
        <v>1</v>
      </c>
      <c r="G16" s="46">
        <v>6</v>
      </c>
      <c r="H16" s="1">
        <v>5</v>
      </c>
      <c r="I16" s="1">
        <v>5</v>
      </c>
      <c r="J16" s="46">
        <v>0</v>
      </c>
      <c r="K16" s="1">
        <v>4</v>
      </c>
      <c r="L16" s="1">
        <v>2</v>
      </c>
      <c r="M16" s="46">
        <v>1</v>
      </c>
      <c r="N16" s="1">
        <v>0</v>
      </c>
      <c r="O16" s="1">
        <v>2</v>
      </c>
      <c r="P16" s="46">
        <v>2</v>
      </c>
      <c r="Q16" s="1">
        <v>6</v>
      </c>
      <c r="R16" s="1">
        <v>4</v>
      </c>
      <c r="S16" s="46">
        <v>1</v>
      </c>
      <c r="T16" s="1">
        <v>3</v>
      </c>
      <c r="U16" s="1">
        <v>4</v>
      </c>
      <c r="V16" s="46">
        <v>1</v>
      </c>
      <c r="W16" s="1">
        <v>3</v>
      </c>
      <c r="X16" s="1">
        <v>6</v>
      </c>
      <c r="Y16" s="46">
        <v>0</v>
      </c>
      <c r="Z16" s="1">
        <v>4</v>
      </c>
      <c r="AA16" s="1">
        <v>2</v>
      </c>
      <c r="AB16" s="46">
        <v>13</v>
      </c>
      <c r="AC16" s="1">
        <v>6</v>
      </c>
      <c r="AD16" s="1">
        <v>8</v>
      </c>
      <c r="AE16" s="46">
        <v>12</v>
      </c>
      <c r="AF16" s="1">
        <v>8</v>
      </c>
      <c r="AG16" s="1">
        <v>8</v>
      </c>
      <c r="AH16" s="46">
        <v>0</v>
      </c>
      <c r="AI16" s="1">
        <v>7</v>
      </c>
      <c r="AJ16" s="1">
        <v>7</v>
      </c>
      <c r="AK16" s="46">
        <v>2</v>
      </c>
      <c r="AL16" s="1">
        <v>0</v>
      </c>
      <c r="AM16" s="1">
        <v>0</v>
      </c>
      <c r="AN16" s="46">
        <v>18</v>
      </c>
      <c r="AO16" s="1">
        <v>30</v>
      </c>
      <c r="AP16" s="1">
        <v>1</v>
      </c>
      <c r="AQ16" s="46">
        <v>3</v>
      </c>
      <c r="AR16" s="1">
        <v>1</v>
      </c>
      <c r="AS16" s="1">
        <v>5</v>
      </c>
      <c r="AT16" s="46">
        <v>1</v>
      </c>
      <c r="AU16" s="1">
        <v>4</v>
      </c>
      <c r="AV16" s="1">
        <v>2</v>
      </c>
      <c r="AW16" s="46">
        <v>9</v>
      </c>
      <c r="AX16" s="1">
        <v>0</v>
      </c>
      <c r="AY16" s="1">
        <v>1</v>
      </c>
      <c r="AZ16" s="46">
        <v>0</v>
      </c>
      <c r="BA16" s="1">
        <v>0</v>
      </c>
      <c r="BB16" s="1">
        <v>0</v>
      </c>
      <c r="BC16" s="46">
        <v>2</v>
      </c>
      <c r="BD16" s="1">
        <v>7</v>
      </c>
      <c r="BE16" s="1">
        <v>1</v>
      </c>
      <c r="BF16" s="46">
        <v>0</v>
      </c>
      <c r="BG16" s="1">
        <v>0</v>
      </c>
      <c r="BH16" s="1">
        <v>1</v>
      </c>
      <c r="BI16" s="46">
        <v>4</v>
      </c>
      <c r="BJ16" s="1">
        <v>0</v>
      </c>
      <c r="BK16" s="1">
        <v>0</v>
      </c>
      <c r="BL1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L16"/>
  <sheetViews>
    <sheetView workbookViewId="0">
      <selection activeCell="P23" sqref="P23"/>
    </sheetView>
  </sheetViews>
  <sheetFormatPr defaultRowHeight="14.5" x14ac:dyDescent="0.35"/>
  <cols>
    <col min="1" max="1" width="13" bestFit="1" customWidth="1"/>
    <col min="2" max="3" width="13" hidden="1" bestFit="1" customWidth="1"/>
    <col min="4" max="4" width="13" bestFit="1" customWidth="1"/>
    <col min="5" max="6" width="13" hidden="1" bestFit="1" customWidth="1"/>
    <col min="7" max="7" width="13" bestFit="1" customWidth="1"/>
    <col min="8" max="9" width="13" hidden="1" bestFit="1" customWidth="1"/>
    <col min="10" max="10" width="13" bestFit="1" customWidth="1"/>
    <col min="11" max="12" width="13" hidden="1" bestFit="1" customWidth="1"/>
    <col min="13" max="13" width="13" bestFit="1" customWidth="1"/>
    <col min="14" max="15" width="13" hidden="1" bestFit="1" customWidth="1"/>
    <col min="16" max="16" width="13" bestFit="1" customWidth="1"/>
    <col min="17" max="18" width="13" hidden="1" bestFit="1" customWidth="1"/>
    <col min="19" max="19" width="13" bestFit="1" customWidth="1"/>
    <col min="20" max="21" width="13" hidden="1" bestFit="1" customWidth="1"/>
    <col min="22" max="22" width="13" bestFit="1" customWidth="1"/>
    <col min="23" max="24" width="13" hidden="1" bestFit="1" customWidth="1"/>
    <col min="25" max="25" width="13" bestFit="1" customWidth="1"/>
    <col min="26" max="27" width="13" hidden="1" bestFit="1" customWidth="1"/>
    <col min="28" max="28" width="13" bestFit="1" customWidth="1"/>
    <col min="29" max="30" width="13" hidden="1" bestFit="1" customWidth="1"/>
    <col min="31" max="31" width="13" bestFit="1" customWidth="1"/>
    <col min="32" max="33" width="13" hidden="1" bestFit="1" customWidth="1"/>
    <col min="34" max="34" width="13" bestFit="1" customWidth="1"/>
    <col min="35" max="36" width="13" hidden="1" bestFit="1" customWidth="1"/>
    <col min="37" max="37" width="13" bestFit="1" customWidth="1"/>
    <col min="38" max="39" width="13" hidden="1" bestFit="1" customWidth="1"/>
    <col min="40" max="40" width="13" bestFit="1" customWidth="1"/>
    <col min="41" max="42" width="13" hidden="1" bestFit="1" customWidth="1"/>
    <col min="43" max="43" width="13" bestFit="1" customWidth="1"/>
    <col min="44" max="45" width="13" hidden="1" bestFit="1" customWidth="1"/>
    <col min="46" max="46" width="13" bestFit="1" customWidth="1"/>
    <col min="47" max="48" width="13" hidden="1" bestFit="1" customWidth="1"/>
    <col min="49" max="49" width="13" bestFit="1" customWidth="1"/>
    <col min="50" max="51" width="13" hidden="1" bestFit="1" customWidth="1"/>
    <col min="52" max="52" width="13" bestFit="1" customWidth="1"/>
    <col min="53" max="54" width="13" hidden="1" bestFit="1" customWidth="1"/>
    <col min="55" max="55" width="13" bestFit="1" customWidth="1"/>
    <col min="56" max="57" width="13" hidden="1" bestFit="1" customWidth="1"/>
    <col min="58" max="58" width="13" bestFit="1" customWidth="1"/>
    <col min="59" max="60" width="13" hidden="1" bestFit="1" customWidth="1"/>
    <col min="61" max="61" width="13" bestFit="1" customWidth="1"/>
    <col min="62" max="62" width="13" hidden="1" bestFit="1" customWidth="1"/>
  </cols>
  <sheetData>
    <row r="1" spans="1:64" x14ac:dyDescent="0.35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t="s">
        <v>5</v>
      </c>
      <c r="G1" s="16" t="s">
        <v>6</v>
      </c>
      <c r="H1" t="s">
        <v>7</v>
      </c>
      <c r="I1" t="s">
        <v>8</v>
      </c>
      <c r="J1" s="16" t="s">
        <v>9</v>
      </c>
      <c r="K1" t="s">
        <v>10</v>
      </c>
      <c r="L1" t="s">
        <v>11</v>
      </c>
      <c r="M1" s="16" t="s">
        <v>12</v>
      </c>
      <c r="N1" t="s">
        <v>13</v>
      </c>
      <c r="O1" t="s">
        <v>14</v>
      </c>
      <c r="P1" s="16" t="s">
        <v>15</v>
      </c>
      <c r="Q1" t="s">
        <v>16</v>
      </c>
      <c r="R1" t="s">
        <v>17</v>
      </c>
      <c r="S1" s="16" t="s">
        <v>18</v>
      </c>
      <c r="T1" t="s">
        <v>19</v>
      </c>
      <c r="U1" t="s">
        <v>20</v>
      </c>
      <c r="V1" s="16" t="s">
        <v>21</v>
      </c>
      <c r="W1" t="s">
        <v>22</v>
      </c>
      <c r="X1" t="s">
        <v>23</v>
      </c>
      <c r="Y1" s="16" t="s">
        <v>24</v>
      </c>
      <c r="Z1" t="s">
        <v>25</v>
      </c>
      <c r="AA1" t="s">
        <v>26</v>
      </c>
      <c r="AB1" s="16" t="s">
        <v>27</v>
      </c>
      <c r="AC1" t="s">
        <v>28</v>
      </c>
      <c r="AD1" t="s">
        <v>29</v>
      </c>
      <c r="AE1" s="16" t="s">
        <v>30</v>
      </c>
      <c r="AF1" t="s">
        <v>31</v>
      </c>
      <c r="AG1" t="s">
        <v>32</v>
      </c>
      <c r="AH1" s="16" t="s">
        <v>33</v>
      </c>
      <c r="AI1" t="s">
        <v>34</v>
      </c>
      <c r="AJ1" t="s">
        <v>35</v>
      </c>
      <c r="AK1" s="16" t="s">
        <v>36</v>
      </c>
      <c r="AL1" t="s">
        <v>37</v>
      </c>
      <c r="AM1" t="s">
        <v>38</v>
      </c>
      <c r="AN1" s="16" t="s">
        <v>39</v>
      </c>
      <c r="AO1" t="s">
        <v>40</v>
      </c>
      <c r="AP1" t="s">
        <v>41</v>
      </c>
      <c r="AQ1" s="16" t="s">
        <v>42</v>
      </c>
      <c r="AR1" t="s">
        <v>43</v>
      </c>
      <c r="AS1" t="s">
        <v>44</v>
      </c>
      <c r="AT1" s="16" t="s">
        <v>45</v>
      </c>
      <c r="AU1" t="s">
        <v>46</v>
      </c>
      <c r="AV1" t="s">
        <v>47</v>
      </c>
      <c r="AW1" s="16" t="s">
        <v>48</v>
      </c>
      <c r="AX1" t="s">
        <v>49</v>
      </c>
      <c r="AY1" t="s">
        <v>50</v>
      </c>
      <c r="AZ1" s="16" t="s">
        <v>51</v>
      </c>
      <c r="BA1" t="s">
        <v>52</v>
      </c>
      <c r="BB1" t="s">
        <v>53</v>
      </c>
      <c r="BC1" s="16" t="s">
        <v>54</v>
      </c>
      <c r="BD1" t="s">
        <v>55</v>
      </c>
      <c r="BE1" t="s">
        <v>56</v>
      </c>
      <c r="BF1" s="16" t="s">
        <v>57</v>
      </c>
      <c r="BG1" t="s">
        <v>58</v>
      </c>
      <c r="BH1" t="s">
        <v>59</v>
      </c>
      <c r="BI1" s="16" t="s">
        <v>60</v>
      </c>
      <c r="BJ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1">
        <v>277</v>
      </c>
      <c r="C2" s="1">
        <v>258</v>
      </c>
      <c r="D2" s="46">
        <v>252</v>
      </c>
      <c r="E2" s="1">
        <v>252</v>
      </c>
      <c r="F2" s="1">
        <v>252</v>
      </c>
      <c r="G2" s="46">
        <v>252</v>
      </c>
      <c r="H2" s="1">
        <v>238</v>
      </c>
      <c r="I2" s="1">
        <v>233</v>
      </c>
      <c r="J2" s="46">
        <v>233</v>
      </c>
      <c r="K2" s="1">
        <v>233</v>
      </c>
      <c r="L2" s="1">
        <v>232</v>
      </c>
      <c r="M2" s="46">
        <v>227</v>
      </c>
      <c r="N2" s="1">
        <v>225</v>
      </c>
      <c r="O2" s="1">
        <v>218</v>
      </c>
      <c r="P2" s="46">
        <v>218</v>
      </c>
      <c r="Q2" s="1">
        <v>213</v>
      </c>
      <c r="R2" s="1">
        <v>205</v>
      </c>
      <c r="S2" s="46">
        <v>199</v>
      </c>
      <c r="T2" s="1">
        <v>185</v>
      </c>
      <c r="U2" s="1">
        <v>145</v>
      </c>
      <c r="V2" s="46">
        <v>133</v>
      </c>
      <c r="W2" s="1">
        <v>104</v>
      </c>
      <c r="X2" s="1">
        <v>104</v>
      </c>
      <c r="Y2" s="46">
        <v>97</v>
      </c>
      <c r="Z2" s="1">
        <v>84</v>
      </c>
      <c r="AA2" s="1">
        <v>67</v>
      </c>
      <c r="AB2" s="46">
        <v>66</v>
      </c>
      <c r="AC2" s="1">
        <v>64</v>
      </c>
      <c r="AD2" s="1">
        <v>58</v>
      </c>
      <c r="AE2" s="46">
        <v>58</v>
      </c>
      <c r="AF2" s="1">
        <v>47</v>
      </c>
      <c r="AG2" s="1">
        <v>47</v>
      </c>
      <c r="AH2" s="46">
        <v>23</v>
      </c>
      <c r="AI2" s="1">
        <v>21</v>
      </c>
      <c r="AJ2" s="1">
        <v>21</v>
      </c>
      <c r="AK2" s="46">
        <v>19</v>
      </c>
      <c r="AL2" s="1">
        <v>19</v>
      </c>
      <c r="AM2" s="1">
        <v>19</v>
      </c>
      <c r="AN2" s="46">
        <v>19</v>
      </c>
      <c r="AO2" s="1">
        <v>18</v>
      </c>
      <c r="AP2" s="1">
        <v>16</v>
      </c>
      <c r="AQ2" s="46">
        <v>16</v>
      </c>
      <c r="AR2" s="1">
        <v>15</v>
      </c>
      <c r="AS2" s="1">
        <v>15</v>
      </c>
      <c r="AT2" s="46">
        <v>15</v>
      </c>
      <c r="AU2" s="1">
        <v>15</v>
      </c>
      <c r="AV2" s="1">
        <v>14</v>
      </c>
      <c r="AW2" s="46">
        <v>14</v>
      </c>
      <c r="AX2" s="1">
        <v>13</v>
      </c>
      <c r="AY2" s="1">
        <v>13</v>
      </c>
      <c r="AZ2" s="46">
        <v>13</v>
      </c>
      <c r="BA2" s="1">
        <v>13</v>
      </c>
      <c r="BB2" s="1">
        <v>13</v>
      </c>
      <c r="BC2" s="46">
        <v>13</v>
      </c>
      <c r="BD2" s="1">
        <v>13</v>
      </c>
      <c r="BE2" s="1">
        <v>13</v>
      </c>
      <c r="BF2" s="46">
        <v>13</v>
      </c>
      <c r="BG2" s="1">
        <v>13</v>
      </c>
      <c r="BH2" s="1">
        <v>12</v>
      </c>
      <c r="BI2" s="46">
        <v>12</v>
      </c>
      <c r="BJ2" s="1">
        <v>0</v>
      </c>
      <c r="BK2" s="1">
        <v>0</v>
      </c>
      <c r="BL2">
        <v>0</v>
      </c>
    </row>
    <row r="3" spans="1:64" ht="15.5" x14ac:dyDescent="0.35">
      <c r="A3" t="s">
        <v>65</v>
      </c>
      <c r="B3" s="1">
        <v>93</v>
      </c>
      <c r="C3" s="1">
        <v>93</v>
      </c>
      <c r="D3" s="46">
        <v>93</v>
      </c>
      <c r="E3" s="1">
        <v>93</v>
      </c>
      <c r="F3" s="1">
        <v>93</v>
      </c>
      <c r="G3" s="46">
        <v>93</v>
      </c>
      <c r="H3" s="1">
        <v>93</v>
      </c>
      <c r="I3" s="1">
        <v>93</v>
      </c>
      <c r="J3" s="46">
        <v>93</v>
      </c>
      <c r="K3" s="1">
        <v>93</v>
      </c>
      <c r="L3" s="1">
        <v>93</v>
      </c>
      <c r="M3" s="46">
        <v>93</v>
      </c>
      <c r="N3" s="1">
        <v>93</v>
      </c>
      <c r="O3" s="1">
        <v>93</v>
      </c>
      <c r="P3" s="46">
        <v>93</v>
      </c>
      <c r="Q3" s="1">
        <v>93</v>
      </c>
      <c r="R3" s="1">
        <v>93</v>
      </c>
      <c r="S3" s="46">
        <v>93</v>
      </c>
      <c r="T3" s="1">
        <v>93</v>
      </c>
      <c r="U3" s="1">
        <v>93</v>
      </c>
      <c r="V3" s="46">
        <v>93</v>
      </c>
      <c r="W3" s="1">
        <v>93</v>
      </c>
      <c r="X3" s="1">
        <v>93</v>
      </c>
      <c r="Y3" s="46">
        <v>93</v>
      </c>
      <c r="Z3" s="1">
        <v>93</v>
      </c>
      <c r="AA3" s="1">
        <v>93</v>
      </c>
      <c r="AB3" s="46">
        <v>93</v>
      </c>
      <c r="AC3" s="1">
        <v>93</v>
      </c>
      <c r="AD3" s="1">
        <v>93</v>
      </c>
      <c r="AE3" s="46">
        <v>92</v>
      </c>
      <c r="AF3" s="1">
        <v>44</v>
      </c>
      <c r="AG3" s="1">
        <v>25</v>
      </c>
      <c r="AH3" s="46">
        <v>9</v>
      </c>
      <c r="AI3" s="1">
        <v>1</v>
      </c>
      <c r="AJ3" s="1">
        <v>1</v>
      </c>
      <c r="AK3" s="46">
        <v>0</v>
      </c>
      <c r="AL3" s="1">
        <v>0</v>
      </c>
      <c r="AM3" s="1">
        <v>0</v>
      </c>
      <c r="AN3" s="46">
        <v>0</v>
      </c>
      <c r="AO3" s="1">
        <v>0</v>
      </c>
      <c r="AP3" s="1">
        <v>0</v>
      </c>
      <c r="AQ3" s="46">
        <v>0</v>
      </c>
      <c r="AR3" s="1">
        <v>0</v>
      </c>
      <c r="AS3" s="1">
        <v>0</v>
      </c>
      <c r="AT3" s="46">
        <v>0</v>
      </c>
      <c r="AU3" s="1">
        <v>0</v>
      </c>
      <c r="AV3" s="1">
        <v>0</v>
      </c>
      <c r="AW3" s="46">
        <v>0</v>
      </c>
      <c r="AX3" s="1">
        <v>0</v>
      </c>
      <c r="AY3" s="1">
        <v>0</v>
      </c>
      <c r="AZ3" s="46">
        <v>0</v>
      </c>
      <c r="BA3" s="1">
        <v>0</v>
      </c>
      <c r="BB3" s="1">
        <v>0</v>
      </c>
      <c r="BC3" s="46">
        <v>0</v>
      </c>
      <c r="BD3" s="1">
        <v>0</v>
      </c>
      <c r="BE3" s="1">
        <v>0</v>
      </c>
      <c r="BF3" s="46">
        <v>0</v>
      </c>
      <c r="BG3" s="1">
        <v>0</v>
      </c>
      <c r="BH3" s="1">
        <v>0</v>
      </c>
      <c r="BI3" s="46">
        <v>0</v>
      </c>
      <c r="BJ3" s="1">
        <v>0</v>
      </c>
      <c r="BK3" s="1">
        <v>0</v>
      </c>
      <c r="BL3">
        <v>0</v>
      </c>
    </row>
    <row r="4" spans="1:64" ht="15.5" x14ac:dyDescent="0.35">
      <c r="A4" t="s">
        <v>66</v>
      </c>
      <c r="B4" s="1">
        <v>0</v>
      </c>
      <c r="C4" s="1">
        <v>0</v>
      </c>
      <c r="D4" s="46">
        <v>0</v>
      </c>
      <c r="E4" s="1">
        <v>0</v>
      </c>
      <c r="F4" s="1">
        <v>0</v>
      </c>
      <c r="G4" s="46">
        <v>0</v>
      </c>
      <c r="H4" s="1">
        <v>0</v>
      </c>
      <c r="I4" s="1">
        <v>0</v>
      </c>
      <c r="J4" s="46">
        <v>0</v>
      </c>
      <c r="K4" s="1">
        <v>0</v>
      </c>
      <c r="L4" s="1">
        <v>0</v>
      </c>
      <c r="M4" s="46">
        <v>0</v>
      </c>
      <c r="N4" s="1">
        <v>0</v>
      </c>
      <c r="O4" s="1">
        <v>0</v>
      </c>
      <c r="P4" s="46">
        <v>0</v>
      </c>
      <c r="Q4" s="1">
        <v>0</v>
      </c>
      <c r="R4" s="1">
        <v>0</v>
      </c>
      <c r="S4" s="46">
        <v>0</v>
      </c>
      <c r="T4" s="1">
        <v>0</v>
      </c>
      <c r="U4" s="1">
        <v>0</v>
      </c>
      <c r="V4" s="46">
        <v>0</v>
      </c>
      <c r="W4" s="1">
        <v>0</v>
      </c>
      <c r="X4" s="1">
        <v>0</v>
      </c>
      <c r="Y4" s="46">
        <v>0</v>
      </c>
      <c r="Z4" s="1">
        <v>0</v>
      </c>
      <c r="AA4" s="1">
        <v>0</v>
      </c>
      <c r="AB4" s="46">
        <v>0</v>
      </c>
      <c r="AC4" s="1">
        <v>0</v>
      </c>
      <c r="AD4" s="1">
        <v>0</v>
      </c>
      <c r="AE4" s="46">
        <v>0</v>
      </c>
      <c r="AF4" s="1">
        <v>0</v>
      </c>
      <c r="AG4" s="1">
        <v>0</v>
      </c>
      <c r="AH4" s="46">
        <v>0</v>
      </c>
      <c r="AI4" s="1">
        <v>0</v>
      </c>
      <c r="AJ4" s="1">
        <v>0</v>
      </c>
      <c r="AK4" s="46">
        <v>0</v>
      </c>
      <c r="AL4" s="1">
        <v>0</v>
      </c>
      <c r="AM4" s="1">
        <v>0</v>
      </c>
      <c r="AN4" s="46">
        <v>0</v>
      </c>
      <c r="AO4" s="1">
        <v>0</v>
      </c>
      <c r="AP4" s="1">
        <v>0</v>
      </c>
      <c r="AQ4" s="46">
        <v>0</v>
      </c>
      <c r="AR4" s="1">
        <v>0</v>
      </c>
      <c r="AS4" s="1">
        <v>0</v>
      </c>
      <c r="AT4" s="46">
        <v>0</v>
      </c>
      <c r="AU4" s="1">
        <v>0</v>
      </c>
      <c r="AV4" s="1">
        <v>0</v>
      </c>
      <c r="AW4" s="46">
        <v>0</v>
      </c>
      <c r="AX4" s="1">
        <v>0</v>
      </c>
      <c r="AY4" s="1">
        <v>0</v>
      </c>
      <c r="AZ4" s="46">
        <v>0</v>
      </c>
      <c r="BA4" s="1">
        <v>0</v>
      </c>
      <c r="BB4" s="1">
        <v>0</v>
      </c>
      <c r="BC4" s="46">
        <v>0</v>
      </c>
      <c r="BD4" s="1">
        <v>0</v>
      </c>
      <c r="BE4" s="1">
        <v>0</v>
      </c>
      <c r="BF4" s="46">
        <v>0</v>
      </c>
      <c r="BG4" s="1">
        <v>0</v>
      </c>
      <c r="BH4" s="1">
        <v>0</v>
      </c>
      <c r="BI4" s="46">
        <v>0</v>
      </c>
      <c r="BJ4" s="1">
        <v>0</v>
      </c>
      <c r="BK4" s="1">
        <v>0</v>
      </c>
      <c r="BL4">
        <v>0</v>
      </c>
    </row>
    <row r="5" spans="1:64" ht="15.5" x14ac:dyDescent="0.35">
      <c r="A5" t="s">
        <v>67</v>
      </c>
      <c r="B5" s="1">
        <v>5395902.9900000002</v>
      </c>
      <c r="C5" s="1">
        <v>5269001.5</v>
      </c>
      <c r="D5" s="46">
        <v>5204253.3100000015</v>
      </c>
      <c r="E5" s="1">
        <v>5204253.3100000015</v>
      </c>
      <c r="F5" s="1">
        <v>5204253.3100000015</v>
      </c>
      <c r="G5" s="46">
        <v>5204253.3100000015</v>
      </c>
      <c r="H5" s="1">
        <v>4860874.99</v>
      </c>
      <c r="I5" s="1">
        <v>4729455.66</v>
      </c>
      <c r="J5" s="46">
        <v>4729455.66</v>
      </c>
      <c r="K5" s="1">
        <v>4729455.66</v>
      </c>
      <c r="L5" s="1">
        <v>4650903.07</v>
      </c>
      <c r="M5" s="46">
        <v>4591579.97</v>
      </c>
      <c r="N5" s="1">
        <v>4566117.54</v>
      </c>
      <c r="O5" s="1">
        <v>4521818.9700000007</v>
      </c>
      <c r="P5" s="46">
        <v>4521818.9700000007</v>
      </c>
      <c r="Q5" s="1">
        <v>4464770.8900000006</v>
      </c>
      <c r="R5" s="1">
        <v>4369890.84</v>
      </c>
      <c r="S5" s="46">
        <v>4304379.49</v>
      </c>
      <c r="T5" s="1">
        <v>4148313.12</v>
      </c>
      <c r="U5" s="1">
        <v>3787229.120000001</v>
      </c>
      <c r="V5" s="46">
        <v>3692058.96</v>
      </c>
      <c r="W5" s="1">
        <v>3330916.45</v>
      </c>
      <c r="X5" s="1">
        <v>3330916.45</v>
      </c>
      <c r="Y5" s="46">
        <v>3275754.94</v>
      </c>
      <c r="Z5" s="1">
        <v>3114119.7</v>
      </c>
      <c r="AA5" s="1">
        <v>3007701.3900000011</v>
      </c>
      <c r="AB5" s="46">
        <v>3001396.1800000011</v>
      </c>
      <c r="AC5" s="1">
        <v>2986417.560000001</v>
      </c>
      <c r="AD5" s="1">
        <v>2948828.3400000008</v>
      </c>
      <c r="AE5" s="46">
        <v>2838890.6600000011</v>
      </c>
      <c r="AF5" s="1">
        <v>2047088.4</v>
      </c>
      <c r="AG5" s="1">
        <v>1459698.64</v>
      </c>
      <c r="AH5" s="46">
        <v>524381.81000000006</v>
      </c>
      <c r="AI5" s="1">
        <v>360261.37</v>
      </c>
      <c r="AJ5" s="1">
        <v>360261.37</v>
      </c>
      <c r="AK5" s="46">
        <v>161704.42000000001</v>
      </c>
      <c r="AL5" s="1">
        <v>161704.42000000001</v>
      </c>
      <c r="AM5" s="1">
        <v>161704.42000000001</v>
      </c>
      <c r="AN5" s="46">
        <v>161704.42000000001</v>
      </c>
      <c r="AO5" s="1">
        <v>148135.65</v>
      </c>
      <c r="AP5" s="1">
        <v>118724.66</v>
      </c>
      <c r="AQ5" s="46">
        <v>118724.66</v>
      </c>
      <c r="AR5" s="1">
        <v>110662</v>
      </c>
      <c r="AS5" s="1">
        <v>110662</v>
      </c>
      <c r="AT5" s="46">
        <v>110662</v>
      </c>
      <c r="AU5" s="1">
        <v>110662</v>
      </c>
      <c r="AV5" s="1">
        <v>102122.39</v>
      </c>
      <c r="AW5" s="46">
        <v>102122.39</v>
      </c>
      <c r="AX5" s="1">
        <v>94237.809999999983</v>
      </c>
      <c r="AY5" s="1">
        <v>94237.809999999983</v>
      </c>
      <c r="AZ5" s="46">
        <v>94237.809999999983</v>
      </c>
      <c r="BA5" s="1">
        <v>94237.809999999983</v>
      </c>
      <c r="BB5" s="1">
        <v>94237.809999999983</v>
      </c>
      <c r="BC5" s="46">
        <v>94237.809999999983</v>
      </c>
      <c r="BD5" s="1">
        <v>94237.809999999983</v>
      </c>
      <c r="BE5" s="1">
        <v>94237.809999999983</v>
      </c>
      <c r="BF5" s="46">
        <v>94237.809999999983</v>
      </c>
      <c r="BG5" s="1">
        <v>94237.809999999983</v>
      </c>
      <c r="BH5" s="1">
        <v>75702.089999999982</v>
      </c>
      <c r="BI5" s="46">
        <v>75702.089999999982</v>
      </c>
      <c r="BJ5" s="1">
        <v>0</v>
      </c>
      <c r="BK5" s="1">
        <v>0</v>
      </c>
      <c r="BL5">
        <v>0</v>
      </c>
    </row>
    <row r="6" spans="1:64" ht="15.5" x14ac:dyDescent="0.35">
      <c r="A6" t="s">
        <v>68</v>
      </c>
      <c r="B6" s="1">
        <v>2557998.64</v>
      </c>
      <c r="C6" s="1">
        <v>2517173.42</v>
      </c>
      <c r="D6" s="46">
        <v>2489784.75</v>
      </c>
      <c r="E6" s="1">
        <v>2489784.75</v>
      </c>
      <c r="F6" s="1">
        <v>2489784.75</v>
      </c>
      <c r="G6" s="46">
        <v>2489784.75</v>
      </c>
      <c r="H6" s="1">
        <v>2339803.14</v>
      </c>
      <c r="I6" s="1">
        <v>2275942.0099999998</v>
      </c>
      <c r="J6" s="46">
        <v>2275942.0099999998</v>
      </c>
      <c r="K6" s="1">
        <v>2275942.0099999998</v>
      </c>
      <c r="L6" s="1">
        <v>2231313.0499999998</v>
      </c>
      <c r="M6" s="46">
        <v>2205398.75</v>
      </c>
      <c r="N6" s="1">
        <v>2194890.23</v>
      </c>
      <c r="O6" s="1">
        <v>2177727.56</v>
      </c>
      <c r="P6" s="46">
        <v>2177727.56</v>
      </c>
      <c r="Q6" s="1">
        <v>2153050.5499999998</v>
      </c>
      <c r="R6" s="1">
        <v>2109988.9</v>
      </c>
      <c r="S6" s="46">
        <v>2085444.87</v>
      </c>
      <c r="T6" s="1">
        <v>2017076.36</v>
      </c>
      <c r="U6" s="1">
        <v>1887388.54</v>
      </c>
      <c r="V6" s="46">
        <v>1853958.81</v>
      </c>
      <c r="W6" s="1">
        <v>1719258.99</v>
      </c>
      <c r="X6" s="1">
        <v>1719258.99</v>
      </c>
      <c r="Y6" s="46">
        <v>1699967.41</v>
      </c>
      <c r="Z6" s="1">
        <v>1633834.78</v>
      </c>
      <c r="AA6" s="1">
        <v>1598927.36</v>
      </c>
      <c r="AB6" s="46">
        <v>1596586.08</v>
      </c>
      <c r="AC6" s="1">
        <v>1591135.94</v>
      </c>
      <c r="AD6" s="1">
        <v>1578450.08</v>
      </c>
      <c r="AE6" s="46">
        <v>1523647.31</v>
      </c>
      <c r="AF6" s="1">
        <v>1115623.47</v>
      </c>
      <c r="AG6" s="1">
        <v>740431.9</v>
      </c>
      <c r="AH6" s="46">
        <v>277974.8</v>
      </c>
      <c r="AI6" s="1">
        <v>186678.79</v>
      </c>
      <c r="AJ6" s="1">
        <v>186678.79</v>
      </c>
      <c r="AK6" s="46">
        <v>60598.16</v>
      </c>
      <c r="AL6" s="1">
        <v>60598.16</v>
      </c>
      <c r="AM6" s="1">
        <v>60598.16</v>
      </c>
      <c r="AN6" s="46">
        <v>60598.16</v>
      </c>
      <c r="AO6" s="1">
        <v>55065.84</v>
      </c>
      <c r="AP6" s="1">
        <v>41966.8</v>
      </c>
      <c r="AQ6" s="46">
        <v>41966.8</v>
      </c>
      <c r="AR6" s="1">
        <v>38963.81</v>
      </c>
      <c r="AS6" s="1">
        <v>38963.81</v>
      </c>
      <c r="AT6" s="46">
        <v>38963.81</v>
      </c>
      <c r="AU6" s="1">
        <v>38963.81</v>
      </c>
      <c r="AV6" s="1">
        <v>36008.829999999987</v>
      </c>
      <c r="AW6" s="46">
        <v>36008.829999999987</v>
      </c>
      <c r="AX6" s="1">
        <v>33384.54</v>
      </c>
      <c r="AY6" s="1">
        <v>33384.54</v>
      </c>
      <c r="AZ6" s="46">
        <v>33384.54</v>
      </c>
      <c r="BA6" s="1">
        <v>33384.54</v>
      </c>
      <c r="BB6" s="1">
        <v>33384.54</v>
      </c>
      <c r="BC6" s="46">
        <v>33384.54</v>
      </c>
      <c r="BD6" s="1">
        <v>33384.54</v>
      </c>
      <c r="BE6" s="1">
        <v>33384.54</v>
      </c>
      <c r="BF6" s="46">
        <v>33384.54</v>
      </c>
      <c r="BG6" s="1">
        <v>33384.54</v>
      </c>
      <c r="BH6" s="1">
        <v>25056.54</v>
      </c>
      <c r="BI6" s="46">
        <v>25056.54</v>
      </c>
      <c r="BJ6" s="1">
        <v>0</v>
      </c>
      <c r="BK6" s="1">
        <v>0</v>
      </c>
      <c r="BL6">
        <v>0</v>
      </c>
    </row>
    <row r="7" spans="1:64" ht="15.5" x14ac:dyDescent="0.35">
      <c r="A7" t="s">
        <v>69</v>
      </c>
      <c r="B7" s="1">
        <v>1679596.12</v>
      </c>
      <c r="C7" s="1">
        <v>1640330.74</v>
      </c>
      <c r="D7" s="46">
        <v>1617905.96</v>
      </c>
      <c r="E7" s="1">
        <v>1617905.96</v>
      </c>
      <c r="F7" s="1">
        <v>1617905.96</v>
      </c>
      <c r="G7" s="46">
        <v>1617905.96</v>
      </c>
      <c r="H7" s="1">
        <v>1543823.46</v>
      </c>
      <c r="I7" s="1">
        <v>1518014.53</v>
      </c>
      <c r="J7" s="46">
        <v>1518014.53</v>
      </c>
      <c r="K7" s="1">
        <v>1518014.53</v>
      </c>
      <c r="L7" s="1">
        <v>1504559.2</v>
      </c>
      <c r="M7" s="46">
        <v>1483926.4</v>
      </c>
      <c r="N7" s="1">
        <v>1474166.64</v>
      </c>
      <c r="O7" s="1">
        <v>1460976.69</v>
      </c>
      <c r="P7" s="46">
        <v>1460976.69</v>
      </c>
      <c r="Q7" s="1">
        <v>1443062.89</v>
      </c>
      <c r="R7" s="1">
        <v>1413860.13</v>
      </c>
      <c r="S7" s="46">
        <v>1387955.78</v>
      </c>
      <c r="T7" s="1">
        <v>1339258.77</v>
      </c>
      <c r="U7" s="1">
        <v>1240740.8500000001</v>
      </c>
      <c r="V7" s="46">
        <v>1207618.18</v>
      </c>
      <c r="W7" s="1">
        <v>1102160.02</v>
      </c>
      <c r="X7" s="1">
        <v>1102160.02</v>
      </c>
      <c r="Y7" s="46">
        <v>1083892.92</v>
      </c>
      <c r="Z7" s="1">
        <v>1032691.45</v>
      </c>
      <c r="AA7" s="1">
        <v>992869.12</v>
      </c>
      <c r="AB7" s="46">
        <v>990867.23999999976</v>
      </c>
      <c r="AC7" s="1">
        <v>985656.57999999984</v>
      </c>
      <c r="AD7" s="1">
        <v>972300.10999999987</v>
      </c>
      <c r="AE7" s="46">
        <v>939137.36999999988</v>
      </c>
      <c r="AF7" s="1">
        <v>667109.00000000012</v>
      </c>
      <c r="AG7" s="1">
        <v>519677.58</v>
      </c>
      <c r="AH7" s="46">
        <v>171926.99</v>
      </c>
      <c r="AI7" s="1">
        <v>115667.7</v>
      </c>
      <c r="AJ7" s="1">
        <v>115667.7</v>
      </c>
      <c r="AK7" s="46">
        <v>56036.61</v>
      </c>
      <c r="AL7" s="1">
        <v>56036.61</v>
      </c>
      <c r="AM7" s="1">
        <v>56036.61</v>
      </c>
      <c r="AN7" s="46">
        <v>56036.61</v>
      </c>
      <c r="AO7" s="1">
        <v>51022.47</v>
      </c>
      <c r="AP7" s="1">
        <v>41206.300000000003</v>
      </c>
      <c r="AQ7" s="46">
        <v>41206.300000000003</v>
      </c>
      <c r="AR7" s="1">
        <v>38618.39</v>
      </c>
      <c r="AS7" s="1">
        <v>38618.39</v>
      </c>
      <c r="AT7" s="46">
        <v>38618.39</v>
      </c>
      <c r="AU7" s="1">
        <v>38618.39</v>
      </c>
      <c r="AV7" s="1">
        <v>35990.42</v>
      </c>
      <c r="AW7" s="46">
        <v>35990.42</v>
      </c>
      <c r="AX7" s="1">
        <v>33313.86</v>
      </c>
      <c r="AY7" s="1">
        <v>33313.86</v>
      </c>
      <c r="AZ7" s="46">
        <v>33313.86</v>
      </c>
      <c r="BA7" s="1">
        <v>33313.86</v>
      </c>
      <c r="BB7" s="1">
        <v>33313.86</v>
      </c>
      <c r="BC7" s="46">
        <v>33313.86</v>
      </c>
      <c r="BD7" s="1">
        <v>33313.86</v>
      </c>
      <c r="BE7" s="1">
        <v>33313.86</v>
      </c>
      <c r="BF7" s="46">
        <v>33313.86</v>
      </c>
      <c r="BG7" s="1">
        <v>33313.86</v>
      </c>
      <c r="BH7" s="1">
        <v>26087.22</v>
      </c>
      <c r="BI7" s="46">
        <v>26087.22</v>
      </c>
      <c r="BJ7" s="1">
        <v>0</v>
      </c>
      <c r="BK7" s="1">
        <v>0</v>
      </c>
      <c r="BL7">
        <v>0</v>
      </c>
    </row>
    <row r="8" spans="1:64" ht="15.5" x14ac:dyDescent="0.35">
      <c r="A8" t="s">
        <v>70</v>
      </c>
      <c r="B8" s="1">
        <v>279343.8</v>
      </c>
      <c r="C8" s="1">
        <v>272572.89</v>
      </c>
      <c r="D8" s="46">
        <v>268894.27</v>
      </c>
      <c r="E8" s="1">
        <v>268894.27</v>
      </c>
      <c r="F8" s="1">
        <v>268894.27</v>
      </c>
      <c r="G8" s="46">
        <v>268894.27</v>
      </c>
      <c r="H8" s="1">
        <v>258831.06</v>
      </c>
      <c r="I8" s="1">
        <v>251650.77</v>
      </c>
      <c r="J8" s="46">
        <v>251650.77</v>
      </c>
      <c r="K8" s="1">
        <v>251650.77</v>
      </c>
      <c r="L8" s="1">
        <v>247458.98</v>
      </c>
      <c r="M8" s="46">
        <v>242347.98</v>
      </c>
      <c r="N8" s="1">
        <v>240680.51</v>
      </c>
      <c r="O8" s="1">
        <v>237347.93</v>
      </c>
      <c r="P8" s="46">
        <v>237347.93</v>
      </c>
      <c r="Q8" s="1">
        <v>233127.89</v>
      </c>
      <c r="R8" s="1">
        <v>225204.81</v>
      </c>
      <c r="S8" s="46">
        <v>219366.39999999999</v>
      </c>
      <c r="T8" s="1">
        <v>206494.1</v>
      </c>
      <c r="U8" s="1">
        <v>197709.8</v>
      </c>
      <c r="V8" s="46">
        <v>191626.67</v>
      </c>
      <c r="W8" s="1">
        <v>176237.56</v>
      </c>
      <c r="X8" s="1">
        <v>176237.56</v>
      </c>
      <c r="Y8" s="46">
        <v>171567.92</v>
      </c>
      <c r="Z8" s="1">
        <v>161495.43</v>
      </c>
      <c r="AA8" s="1">
        <v>151551.85999999999</v>
      </c>
      <c r="AB8" s="46">
        <v>151045.43</v>
      </c>
      <c r="AC8" s="1">
        <v>149730.19</v>
      </c>
      <c r="AD8" s="1">
        <v>146362.19</v>
      </c>
      <c r="AE8" s="46">
        <v>146332.75</v>
      </c>
      <c r="AF8" s="1">
        <v>115911.13</v>
      </c>
      <c r="AG8" s="1">
        <v>97260.160000000003</v>
      </c>
      <c r="AH8" s="46">
        <v>25809.759999999998</v>
      </c>
      <c r="AI8" s="1">
        <v>15760.14</v>
      </c>
      <c r="AJ8" s="1">
        <v>15760.14</v>
      </c>
      <c r="AK8" s="46">
        <v>14716.37</v>
      </c>
      <c r="AL8" s="1">
        <v>14716.37</v>
      </c>
      <c r="AM8" s="1">
        <v>14716.37</v>
      </c>
      <c r="AN8" s="46">
        <v>14716.37</v>
      </c>
      <c r="AO8" s="1">
        <v>13408.2</v>
      </c>
      <c r="AP8" s="1">
        <v>10681.78</v>
      </c>
      <c r="AQ8" s="46">
        <v>10681.78</v>
      </c>
      <c r="AR8" s="1">
        <v>10012.27</v>
      </c>
      <c r="AS8" s="1">
        <v>10012.27</v>
      </c>
      <c r="AT8" s="46">
        <v>10012.27</v>
      </c>
      <c r="AU8" s="1">
        <v>10012.27</v>
      </c>
      <c r="AV8" s="1">
        <v>9335.86</v>
      </c>
      <c r="AW8" s="46">
        <v>9335.86</v>
      </c>
      <c r="AX8" s="1">
        <v>8698.380000000001</v>
      </c>
      <c r="AY8" s="1">
        <v>8698.380000000001</v>
      </c>
      <c r="AZ8" s="46">
        <v>8698.380000000001</v>
      </c>
      <c r="BA8" s="1">
        <v>8698.380000000001</v>
      </c>
      <c r="BB8" s="1">
        <v>8698.380000000001</v>
      </c>
      <c r="BC8" s="46">
        <v>8698.380000000001</v>
      </c>
      <c r="BD8" s="1">
        <v>8698.380000000001</v>
      </c>
      <c r="BE8" s="1">
        <v>8698.380000000001</v>
      </c>
      <c r="BF8" s="46">
        <v>8698.380000000001</v>
      </c>
      <c r="BG8" s="1">
        <v>8698.380000000001</v>
      </c>
      <c r="BH8" s="1">
        <v>6779.92</v>
      </c>
      <c r="BI8" s="46">
        <v>6779.92</v>
      </c>
      <c r="BJ8" s="1">
        <v>0</v>
      </c>
      <c r="BK8" s="1">
        <v>0</v>
      </c>
      <c r="BL8">
        <v>0</v>
      </c>
    </row>
    <row r="9" spans="1:64" ht="15.5" x14ac:dyDescent="0.35">
      <c r="A9" t="s">
        <v>71</v>
      </c>
      <c r="B9" s="1">
        <v>8929500.0600000005</v>
      </c>
      <c r="C9" s="1">
        <v>7371699.7200000007</v>
      </c>
      <c r="D9" s="46">
        <v>7088896.2599999988</v>
      </c>
      <c r="E9" s="1">
        <v>7088896.2599999988</v>
      </c>
      <c r="F9" s="1">
        <v>7088896.2599999988</v>
      </c>
      <c r="G9" s="46">
        <v>7088896.2599999988</v>
      </c>
      <c r="H9" s="1">
        <v>5835868.6600000001</v>
      </c>
      <c r="I9" s="1">
        <v>5543770.8499999996</v>
      </c>
      <c r="J9" s="46">
        <v>5543770.8499999996</v>
      </c>
      <c r="K9" s="1">
        <v>5543770.8499999996</v>
      </c>
      <c r="L9" s="1">
        <v>5484466.8499999996</v>
      </c>
      <c r="M9" s="46">
        <v>5336526.8499999996</v>
      </c>
      <c r="N9" s="1">
        <v>5222220.08</v>
      </c>
      <c r="O9" s="1">
        <v>4962582.04</v>
      </c>
      <c r="P9" s="46">
        <v>4962582.04</v>
      </c>
      <c r="Q9" s="1">
        <v>4715277.04</v>
      </c>
      <c r="R9" s="1">
        <v>4347285.04</v>
      </c>
      <c r="S9" s="46">
        <v>4126656.88</v>
      </c>
      <c r="T9" s="1">
        <v>3564317.53</v>
      </c>
      <c r="U9" s="1">
        <v>2892091.39</v>
      </c>
      <c r="V9" s="46">
        <v>2656532.62</v>
      </c>
      <c r="W9" s="1">
        <v>1959820.72</v>
      </c>
      <c r="X9" s="1">
        <v>1959820.72</v>
      </c>
      <c r="Y9" s="46">
        <v>1692910.7</v>
      </c>
      <c r="Z9" s="1">
        <v>1331956</v>
      </c>
      <c r="AA9" s="1">
        <v>746387.92</v>
      </c>
      <c r="AB9" s="46">
        <v>721779.07000000007</v>
      </c>
      <c r="AC9" s="1">
        <v>672691.79</v>
      </c>
      <c r="AD9" s="1">
        <v>486219.78999999992</v>
      </c>
      <c r="AE9" s="46">
        <v>486219.78999999992</v>
      </c>
      <c r="AF9" s="1">
        <v>360494.03</v>
      </c>
      <c r="AG9" s="1">
        <v>360494.03</v>
      </c>
      <c r="AH9" s="46">
        <v>144597.74</v>
      </c>
      <c r="AI9" s="1">
        <v>131340.14000000001</v>
      </c>
      <c r="AJ9" s="1">
        <v>131340.14000000001</v>
      </c>
      <c r="AK9" s="46">
        <v>125097.46</v>
      </c>
      <c r="AL9" s="1">
        <v>125097.46</v>
      </c>
      <c r="AM9" s="1">
        <v>125097.46</v>
      </c>
      <c r="AN9" s="46">
        <v>125097.46</v>
      </c>
      <c r="AO9" s="1">
        <v>100377.59</v>
      </c>
      <c r="AP9" s="1">
        <v>34804.39</v>
      </c>
      <c r="AQ9" s="46">
        <v>34804.39</v>
      </c>
      <c r="AR9" s="1">
        <v>23578.39000000001</v>
      </c>
      <c r="AS9" s="1">
        <v>23578.39000000001</v>
      </c>
      <c r="AT9" s="46">
        <v>23578.39000000001</v>
      </c>
      <c r="AU9" s="1">
        <v>23578.39000000001</v>
      </c>
      <c r="AV9" s="1">
        <v>18048.64000000001</v>
      </c>
      <c r="AW9" s="46">
        <v>18048.64000000001</v>
      </c>
      <c r="AX9" s="1">
        <v>14906.14</v>
      </c>
      <c r="AY9" s="1">
        <v>14906.14</v>
      </c>
      <c r="AZ9" s="46">
        <v>14906.14</v>
      </c>
      <c r="BA9" s="1">
        <v>14906.14</v>
      </c>
      <c r="BB9" s="1">
        <v>14906.14</v>
      </c>
      <c r="BC9" s="46">
        <v>14906.14</v>
      </c>
      <c r="BD9" s="1">
        <v>14906.14</v>
      </c>
      <c r="BE9" s="1">
        <v>14906.14</v>
      </c>
      <c r="BF9" s="46">
        <v>14906.14</v>
      </c>
      <c r="BG9" s="1">
        <v>14906.14</v>
      </c>
      <c r="BH9" s="1">
        <v>12951.74</v>
      </c>
      <c r="BI9" s="46">
        <v>12951.74</v>
      </c>
      <c r="BJ9" s="1">
        <v>0</v>
      </c>
      <c r="BK9" s="1">
        <v>0</v>
      </c>
      <c r="BL9">
        <v>0</v>
      </c>
    </row>
    <row r="10" spans="1:64" ht="15.5" x14ac:dyDescent="0.35">
      <c r="A10" t="s">
        <v>72</v>
      </c>
      <c r="B10" s="1">
        <v>5196580.26</v>
      </c>
      <c r="C10" s="1">
        <v>4621992.8000000007</v>
      </c>
      <c r="D10" s="46">
        <v>4785072.88</v>
      </c>
      <c r="E10" s="1">
        <v>4785072.88</v>
      </c>
      <c r="F10" s="1">
        <v>4785072.88</v>
      </c>
      <c r="G10" s="46">
        <v>4785072.88</v>
      </c>
      <c r="H10" s="1">
        <v>4292931.6400000006</v>
      </c>
      <c r="I10" s="1">
        <v>4163489.649999999</v>
      </c>
      <c r="J10" s="46">
        <v>4163489.649999999</v>
      </c>
      <c r="K10" s="1">
        <v>4163489.649999999</v>
      </c>
      <c r="L10" s="1">
        <v>4237075.5</v>
      </c>
      <c r="M10" s="46">
        <v>4089524.76</v>
      </c>
      <c r="N10" s="1">
        <v>4016090.39</v>
      </c>
      <c r="O10" s="1">
        <v>3808211.16</v>
      </c>
      <c r="P10" s="46">
        <v>3808211.16</v>
      </c>
      <c r="Q10" s="1">
        <v>3625357.67</v>
      </c>
      <c r="R10" s="1">
        <v>3326848.34</v>
      </c>
      <c r="S10" s="46">
        <v>3180832.53</v>
      </c>
      <c r="T10" s="1">
        <v>2803992.87</v>
      </c>
      <c r="U10" s="1">
        <v>2378683.48</v>
      </c>
      <c r="V10" s="46">
        <v>2249291.33</v>
      </c>
      <c r="W10" s="1">
        <v>1627519.5</v>
      </c>
      <c r="X10" s="1">
        <v>1627519.5</v>
      </c>
      <c r="Y10" s="46">
        <v>1463156.55</v>
      </c>
      <c r="Z10" s="1">
        <v>1236567.97</v>
      </c>
      <c r="AA10" s="1">
        <v>663100.30000000005</v>
      </c>
      <c r="AB10" s="46">
        <v>638491.44999999995</v>
      </c>
      <c r="AC10" s="1">
        <v>589404.16999999993</v>
      </c>
      <c r="AD10" s="1">
        <v>468862.1</v>
      </c>
      <c r="AE10" s="46">
        <v>468862.09999999992</v>
      </c>
      <c r="AF10" s="1">
        <v>346885.45</v>
      </c>
      <c r="AG10" s="1">
        <v>346885.45</v>
      </c>
      <c r="AH10" s="46">
        <v>131986.70000000001</v>
      </c>
      <c r="AI10" s="1">
        <v>122740.08</v>
      </c>
      <c r="AJ10" s="1">
        <v>122740.08</v>
      </c>
      <c r="AK10" s="46">
        <v>116497.4</v>
      </c>
      <c r="AL10" s="1">
        <v>116497.4</v>
      </c>
      <c r="AM10" s="1">
        <v>116497.4</v>
      </c>
      <c r="AN10" s="46">
        <v>116497.4</v>
      </c>
      <c r="AO10" s="1">
        <v>93958.919999999984</v>
      </c>
      <c r="AP10" s="1">
        <v>34804.39</v>
      </c>
      <c r="AQ10" s="46">
        <v>34804.39</v>
      </c>
      <c r="AR10" s="1">
        <v>23578.39000000001</v>
      </c>
      <c r="AS10" s="1">
        <v>23578.39000000001</v>
      </c>
      <c r="AT10" s="46">
        <v>23578.39000000001</v>
      </c>
      <c r="AU10" s="1">
        <v>23578.39000000001</v>
      </c>
      <c r="AV10" s="1">
        <v>18048.64000000001</v>
      </c>
      <c r="AW10" s="46">
        <v>18048.64000000001</v>
      </c>
      <c r="AX10" s="1">
        <v>14906.14</v>
      </c>
      <c r="AY10" s="1">
        <v>14906.14</v>
      </c>
      <c r="AZ10" s="46">
        <v>14906.14</v>
      </c>
      <c r="BA10" s="1">
        <v>14906.14</v>
      </c>
      <c r="BB10" s="1">
        <v>14906.14</v>
      </c>
      <c r="BC10" s="46">
        <v>14906.14</v>
      </c>
      <c r="BD10" s="1">
        <v>14906.14</v>
      </c>
      <c r="BE10" s="1">
        <v>14906.14</v>
      </c>
      <c r="BF10" s="46">
        <v>14906.14</v>
      </c>
      <c r="BG10" s="1">
        <v>14906.14</v>
      </c>
      <c r="BH10" s="1">
        <v>12951.74</v>
      </c>
      <c r="BI10" s="46">
        <v>12951.74</v>
      </c>
      <c r="BJ10" s="1">
        <v>0</v>
      </c>
      <c r="BK10" s="1">
        <v>0</v>
      </c>
      <c r="BL10">
        <v>0</v>
      </c>
    </row>
    <row r="11" spans="1:64" ht="15.5" x14ac:dyDescent="0.35">
      <c r="A11" t="s">
        <v>73</v>
      </c>
      <c r="B11" s="1">
        <v>515815.01</v>
      </c>
      <c r="C11" s="1">
        <v>508083.08</v>
      </c>
      <c r="D11" s="46">
        <v>506097.79</v>
      </c>
      <c r="E11" s="1">
        <v>506097.79</v>
      </c>
      <c r="F11" s="1">
        <v>506097.79</v>
      </c>
      <c r="G11" s="46">
        <v>506097.79</v>
      </c>
      <c r="H11" s="1">
        <v>438237.75</v>
      </c>
      <c r="I11" s="1">
        <v>413091.28</v>
      </c>
      <c r="J11" s="46">
        <v>413091.28</v>
      </c>
      <c r="K11" s="1">
        <v>413091.28</v>
      </c>
      <c r="L11" s="1">
        <v>398932.77</v>
      </c>
      <c r="M11" s="46">
        <v>396957.77</v>
      </c>
      <c r="N11" s="1">
        <v>396393.43000000011</v>
      </c>
      <c r="O11" s="1">
        <v>392987.31</v>
      </c>
      <c r="P11" s="46">
        <v>392987.31</v>
      </c>
      <c r="Q11" s="1">
        <v>389514.28</v>
      </c>
      <c r="R11" s="1">
        <v>385765.72</v>
      </c>
      <c r="S11" s="46">
        <v>383435.79</v>
      </c>
      <c r="T11" s="1">
        <v>377430.79</v>
      </c>
      <c r="U11" s="1">
        <v>282727.11</v>
      </c>
      <c r="V11" s="46">
        <v>269503.39</v>
      </c>
      <c r="W11" s="1">
        <v>198305.57</v>
      </c>
      <c r="X11" s="1">
        <v>198305.57</v>
      </c>
      <c r="Y11" s="46">
        <v>195638.15</v>
      </c>
      <c r="Z11" s="1">
        <v>177693.49</v>
      </c>
      <c r="AA11" s="1">
        <v>174870.02</v>
      </c>
      <c r="AB11" s="46">
        <v>174484.35</v>
      </c>
      <c r="AC11" s="1">
        <v>173713.01</v>
      </c>
      <c r="AD11" s="1">
        <v>172425.22</v>
      </c>
      <c r="AE11" s="46">
        <v>150482.49</v>
      </c>
      <c r="AF11" s="1">
        <v>84314.409999999989</v>
      </c>
      <c r="AG11" s="1">
        <v>38198.61</v>
      </c>
      <c r="AH11" s="46">
        <v>21400.67</v>
      </c>
      <c r="AI11" s="1">
        <v>17536.669999999991</v>
      </c>
      <c r="AJ11" s="1">
        <v>17536.669999999991</v>
      </c>
      <c r="AK11" s="46">
        <v>8856.5500000000011</v>
      </c>
      <c r="AL11" s="1">
        <v>8856.5500000000011</v>
      </c>
      <c r="AM11" s="1">
        <v>8856.5500000000011</v>
      </c>
      <c r="AN11" s="46">
        <v>8856.5500000000011</v>
      </c>
      <c r="AO11" s="1">
        <v>8596.52</v>
      </c>
      <c r="AP11" s="1">
        <v>7807.76</v>
      </c>
      <c r="AQ11" s="46">
        <v>7807.76</v>
      </c>
      <c r="AR11" s="1">
        <v>7408.76</v>
      </c>
      <c r="AS11" s="1">
        <v>7408.76</v>
      </c>
      <c r="AT11" s="46">
        <v>7408.76</v>
      </c>
      <c r="AU11" s="1">
        <v>7408.76</v>
      </c>
      <c r="AV11" s="1">
        <v>6971.76</v>
      </c>
      <c r="AW11" s="46">
        <v>6971.76</v>
      </c>
      <c r="AX11" s="1">
        <v>6596.76</v>
      </c>
      <c r="AY11" s="1">
        <v>6596.76</v>
      </c>
      <c r="AZ11" s="46">
        <v>6596.76</v>
      </c>
      <c r="BA11" s="1">
        <v>6596.76</v>
      </c>
      <c r="BB11" s="1">
        <v>6596.76</v>
      </c>
      <c r="BC11" s="46">
        <v>6596.76</v>
      </c>
      <c r="BD11" s="1">
        <v>6596.76</v>
      </c>
      <c r="BE11" s="1">
        <v>6596.76</v>
      </c>
      <c r="BF11" s="46">
        <v>6596.76</v>
      </c>
      <c r="BG11" s="1">
        <v>6596.76</v>
      </c>
      <c r="BH11" s="1">
        <v>6022.7400000000007</v>
      </c>
      <c r="BI11" s="46">
        <v>6022.7400000000007</v>
      </c>
      <c r="BJ11" s="1">
        <v>0</v>
      </c>
      <c r="BK11" s="1">
        <v>0</v>
      </c>
      <c r="BL11">
        <v>0</v>
      </c>
    </row>
    <row r="12" spans="1:64" ht="15.5" x14ac:dyDescent="0.35">
      <c r="A12" t="s">
        <v>74</v>
      </c>
      <c r="B12" s="1">
        <v>204160484.56</v>
      </c>
      <c r="C12" s="1">
        <v>198162278.83000001</v>
      </c>
      <c r="D12" s="46">
        <v>195228572.55000001</v>
      </c>
      <c r="E12" s="1">
        <v>195228572.55000001</v>
      </c>
      <c r="F12" s="1">
        <v>195228572.55000001</v>
      </c>
      <c r="G12" s="46">
        <v>195228572.55000001</v>
      </c>
      <c r="H12" s="1">
        <v>186327948.58000001</v>
      </c>
      <c r="I12" s="1">
        <v>182608567.46000001</v>
      </c>
      <c r="J12" s="46">
        <v>182608567.46000001</v>
      </c>
      <c r="K12" s="1">
        <v>182608567.46000001</v>
      </c>
      <c r="L12" s="1">
        <v>180512669.46000001</v>
      </c>
      <c r="M12" s="46">
        <v>177957158.46000001</v>
      </c>
      <c r="N12" s="1">
        <v>176699383.02000001</v>
      </c>
      <c r="O12" s="1">
        <v>174992307.47999999</v>
      </c>
      <c r="P12" s="46">
        <v>174992307.47999999</v>
      </c>
      <c r="Q12" s="1">
        <v>172730219.63</v>
      </c>
      <c r="R12" s="1">
        <v>168977705.63999999</v>
      </c>
      <c r="S12" s="46">
        <v>165810182.19</v>
      </c>
      <c r="T12" s="1">
        <v>159634111.31999999</v>
      </c>
      <c r="U12" s="1">
        <v>145639175.25999999</v>
      </c>
      <c r="V12" s="46">
        <v>141393794.84999999</v>
      </c>
      <c r="W12" s="1">
        <v>127919309.41</v>
      </c>
      <c r="X12" s="1">
        <v>127919309.41</v>
      </c>
      <c r="Y12" s="46">
        <v>125626814.09</v>
      </c>
      <c r="Z12" s="1">
        <v>119015289.2</v>
      </c>
      <c r="AA12" s="1">
        <v>114043454.17</v>
      </c>
      <c r="AB12" s="46">
        <v>113790238.87</v>
      </c>
      <c r="AC12" s="1">
        <v>113132610.27</v>
      </c>
      <c r="AD12" s="1">
        <v>111448590.58</v>
      </c>
      <c r="AE12" s="46">
        <v>107915090.58</v>
      </c>
      <c r="AF12" s="1">
        <v>78148903.289999992</v>
      </c>
      <c r="AG12" s="1">
        <v>58188879.240000002</v>
      </c>
      <c r="AH12" s="46">
        <v>19905543.690000001</v>
      </c>
      <c r="AI12" s="1">
        <v>13671148.390000001</v>
      </c>
      <c r="AJ12" s="1">
        <v>13671148.390000001</v>
      </c>
      <c r="AK12" s="46">
        <v>7358226.0800000001</v>
      </c>
      <c r="AL12" s="1">
        <v>7358226.0800000001</v>
      </c>
      <c r="AM12" s="1">
        <v>7358226.0800000001</v>
      </c>
      <c r="AN12" s="46">
        <v>7358226.0800000001</v>
      </c>
      <c r="AO12" s="1">
        <v>6704140.2599999998</v>
      </c>
      <c r="AP12" s="1">
        <v>5340922.4800000004</v>
      </c>
      <c r="AQ12" s="46">
        <v>5340922.4800000004</v>
      </c>
      <c r="AR12" s="1">
        <v>5006164.6499999994</v>
      </c>
      <c r="AS12" s="1">
        <v>5006164.6499999994</v>
      </c>
      <c r="AT12" s="46">
        <v>5006164.6499999994</v>
      </c>
      <c r="AU12" s="1">
        <v>5006164.6499999994</v>
      </c>
      <c r="AV12" s="1">
        <v>4667956.3899999997</v>
      </c>
      <c r="AW12" s="46">
        <v>4667956.3899999997</v>
      </c>
      <c r="AX12" s="1">
        <v>4349215.09</v>
      </c>
      <c r="AY12" s="1">
        <v>4349215.09</v>
      </c>
      <c r="AZ12" s="46">
        <v>4349215.09</v>
      </c>
      <c r="BA12" s="1">
        <v>4349215.09</v>
      </c>
      <c r="BB12" s="1">
        <v>4349215.09</v>
      </c>
      <c r="BC12" s="46">
        <v>4349215.09</v>
      </c>
      <c r="BD12" s="1">
        <v>4349215.09</v>
      </c>
      <c r="BE12" s="1">
        <v>4349215.09</v>
      </c>
      <c r="BF12" s="46">
        <v>4349215.09</v>
      </c>
      <c r="BG12" s="1">
        <v>4349215.09</v>
      </c>
      <c r="BH12" s="1">
        <v>3389980.1999999988</v>
      </c>
      <c r="BI12" s="46">
        <v>3389980.1999999988</v>
      </c>
      <c r="BJ12" s="1">
        <v>0</v>
      </c>
      <c r="BK12" s="1">
        <v>0</v>
      </c>
      <c r="BL12">
        <v>0</v>
      </c>
    </row>
    <row r="13" spans="1:64" ht="15.5" x14ac:dyDescent="0.35">
      <c r="A13" t="s">
        <v>75</v>
      </c>
      <c r="B13" s="1">
        <v>169945794.66999999</v>
      </c>
      <c r="C13" s="1">
        <v>166712222.71000001</v>
      </c>
      <c r="D13" s="46">
        <v>162389292.12</v>
      </c>
      <c r="E13" s="1">
        <v>159899507.37</v>
      </c>
      <c r="F13" s="1">
        <v>157409722.62</v>
      </c>
      <c r="G13" s="46">
        <v>154919937.87</v>
      </c>
      <c r="H13" s="1">
        <v>148653857.56</v>
      </c>
      <c r="I13" s="1">
        <v>144893673.97999999</v>
      </c>
      <c r="J13" s="46">
        <v>142617731.97</v>
      </c>
      <c r="K13" s="1">
        <v>140341789.96000001</v>
      </c>
      <c r="L13" s="1">
        <v>137576592.50999999</v>
      </c>
      <c r="M13" s="46">
        <v>133696768.95999999</v>
      </c>
      <c r="N13" s="1">
        <v>130776473.2</v>
      </c>
      <c r="O13" s="1">
        <v>127686833.2</v>
      </c>
      <c r="P13" s="46">
        <v>125509105.64</v>
      </c>
      <c r="Q13" s="1">
        <v>122140349.89</v>
      </c>
      <c r="R13" s="1">
        <v>117956462.45999999</v>
      </c>
      <c r="S13" s="46">
        <v>113769076.45</v>
      </c>
      <c r="T13" s="1">
        <v>107994801.40000001</v>
      </c>
      <c r="U13" s="1">
        <v>96700799.019999981</v>
      </c>
      <c r="V13" s="46">
        <v>92079266.229999989</v>
      </c>
      <c r="W13" s="1">
        <v>81827587.580000013</v>
      </c>
      <c r="X13" s="1">
        <v>80108328.590000004</v>
      </c>
      <c r="Y13" s="46">
        <v>76979430.079999983</v>
      </c>
      <c r="Z13" s="1">
        <v>71510431.479999989</v>
      </c>
      <c r="AA13" s="1">
        <v>66752100.809999987</v>
      </c>
      <c r="AB13" s="46">
        <v>65009998.310000017</v>
      </c>
      <c r="AC13" s="1">
        <v>63011940.210000001</v>
      </c>
      <c r="AD13" s="1">
        <v>60402545.720000014</v>
      </c>
      <c r="AE13" s="46">
        <v>57208692.590000011</v>
      </c>
      <c r="AF13" s="1">
        <v>40468237.399999984</v>
      </c>
      <c r="AG13" s="1">
        <v>32778751.609999999</v>
      </c>
      <c r="AH13" s="46">
        <v>10382370.119999999</v>
      </c>
      <c r="AI13" s="1">
        <v>7148803.0299999993</v>
      </c>
      <c r="AJ13" s="1">
        <v>6962124.2399999993</v>
      </c>
      <c r="AK13" s="46">
        <v>4875345.1899999985</v>
      </c>
      <c r="AL13" s="1">
        <v>4814747.0299999993</v>
      </c>
      <c r="AM13" s="1">
        <v>4754148.87</v>
      </c>
      <c r="AN13" s="46">
        <v>4693550.71</v>
      </c>
      <c r="AO13" s="1">
        <v>4277612.01</v>
      </c>
      <c r="AP13" s="1">
        <v>3645270.79</v>
      </c>
      <c r="AQ13" s="46">
        <v>3603303.99</v>
      </c>
      <c r="AR13" s="1">
        <v>3370722.879999999</v>
      </c>
      <c r="AS13" s="1">
        <v>3331759.0699999989</v>
      </c>
      <c r="AT13" s="46">
        <v>3292795.2599999988</v>
      </c>
      <c r="AU13" s="1">
        <v>3253831.4499999988</v>
      </c>
      <c r="AV13" s="1">
        <v>3015543.439999999</v>
      </c>
      <c r="AW13" s="46">
        <v>2979534.6099999989</v>
      </c>
      <c r="AX13" s="1">
        <v>2750750.399999999</v>
      </c>
      <c r="AY13" s="1">
        <v>2717365.8599999989</v>
      </c>
      <c r="AZ13" s="46">
        <v>2683981.3199999989</v>
      </c>
      <c r="BA13" s="1">
        <v>2650596.7799999989</v>
      </c>
      <c r="BB13" s="1">
        <v>2617212.2399999988</v>
      </c>
      <c r="BC13" s="46">
        <v>2583827.6999999988</v>
      </c>
      <c r="BD13" s="1">
        <v>2550443.1599999992</v>
      </c>
      <c r="BE13" s="1">
        <v>2517058.6199999992</v>
      </c>
      <c r="BF13" s="46">
        <v>2483674.0799999991</v>
      </c>
      <c r="BG13" s="1">
        <v>2450289.5399999991</v>
      </c>
      <c r="BH13" s="1">
        <v>1957350.11</v>
      </c>
      <c r="BI13" s="46">
        <v>1932293.57</v>
      </c>
      <c r="BJ13" s="1">
        <v>0</v>
      </c>
      <c r="BK13" s="1">
        <v>0</v>
      </c>
      <c r="BL13">
        <v>0</v>
      </c>
    </row>
    <row r="14" spans="1:64" ht="15.5" x14ac:dyDescent="0.35">
      <c r="A14" t="s">
        <v>76</v>
      </c>
      <c r="B14" s="1">
        <v>0</v>
      </c>
      <c r="C14" s="1">
        <v>0</v>
      </c>
      <c r="D14" s="46">
        <v>0</v>
      </c>
      <c r="E14" s="1">
        <v>0</v>
      </c>
      <c r="F14" s="1">
        <v>0</v>
      </c>
      <c r="G14" s="46">
        <v>0</v>
      </c>
      <c r="H14" s="1">
        <v>0</v>
      </c>
      <c r="I14" s="1">
        <v>0</v>
      </c>
      <c r="J14" s="46">
        <v>0</v>
      </c>
      <c r="K14" s="1">
        <v>0</v>
      </c>
      <c r="L14" s="1">
        <v>0</v>
      </c>
      <c r="M14" s="46">
        <v>0</v>
      </c>
      <c r="N14" s="1">
        <v>0</v>
      </c>
      <c r="O14" s="1">
        <v>0</v>
      </c>
      <c r="P14" s="46">
        <v>0</v>
      </c>
      <c r="Q14" s="1">
        <v>0</v>
      </c>
      <c r="R14" s="1">
        <v>0</v>
      </c>
      <c r="S14" s="46">
        <v>0</v>
      </c>
      <c r="T14" s="1">
        <v>0</v>
      </c>
      <c r="U14" s="1">
        <v>0</v>
      </c>
      <c r="V14" s="46">
        <v>0</v>
      </c>
      <c r="W14" s="1">
        <v>0</v>
      </c>
      <c r="X14" s="1">
        <v>0</v>
      </c>
      <c r="Y14" s="46">
        <v>0</v>
      </c>
      <c r="Z14" s="1">
        <v>0</v>
      </c>
      <c r="AA14" s="1">
        <v>0</v>
      </c>
      <c r="AB14" s="46">
        <v>0</v>
      </c>
      <c r="AC14" s="1">
        <v>0</v>
      </c>
      <c r="AD14" s="1">
        <v>0</v>
      </c>
      <c r="AE14" s="46">
        <v>0</v>
      </c>
      <c r="AF14" s="1">
        <v>0</v>
      </c>
      <c r="AG14" s="1">
        <v>0</v>
      </c>
      <c r="AH14" s="46">
        <v>0</v>
      </c>
      <c r="AI14" s="1">
        <v>0</v>
      </c>
      <c r="AJ14" s="1">
        <v>0</v>
      </c>
      <c r="AK14" s="46">
        <v>0</v>
      </c>
      <c r="AL14" s="1">
        <v>0</v>
      </c>
      <c r="AM14" s="1">
        <v>0</v>
      </c>
      <c r="AN14" s="46">
        <v>0</v>
      </c>
      <c r="AO14" s="1">
        <v>0</v>
      </c>
      <c r="AP14" s="1">
        <v>0</v>
      </c>
      <c r="AQ14" s="46">
        <v>0</v>
      </c>
      <c r="AR14" s="1">
        <v>0</v>
      </c>
      <c r="AS14" s="1">
        <v>0</v>
      </c>
      <c r="AT14" s="46">
        <v>0</v>
      </c>
      <c r="AU14" s="1">
        <v>0</v>
      </c>
      <c r="AV14" s="1">
        <v>0</v>
      </c>
      <c r="AW14" s="46">
        <v>0</v>
      </c>
      <c r="AX14" s="1">
        <v>0</v>
      </c>
      <c r="AY14" s="1">
        <v>0</v>
      </c>
      <c r="AZ14" s="46">
        <v>0</v>
      </c>
      <c r="BA14" s="1">
        <v>0</v>
      </c>
      <c r="BB14" s="1">
        <v>0</v>
      </c>
      <c r="BC14" s="46">
        <v>0</v>
      </c>
      <c r="BD14" s="1">
        <v>0</v>
      </c>
      <c r="BE14" s="1">
        <v>0</v>
      </c>
      <c r="BF14" s="46">
        <v>0</v>
      </c>
      <c r="BG14" s="1">
        <v>0</v>
      </c>
      <c r="BH14" s="1">
        <v>0</v>
      </c>
      <c r="BI14" s="46">
        <v>0</v>
      </c>
      <c r="BJ14" s="1">
        <v>0</v>
      </c>
      <c r="BK14" s="1">
        <v>0</v>
      </c>
      <c r="BL14">
        <v>0</v>
      </c>
    </row>
    <row r="15" spans="1:64" ht="15.5" x14ac:dyDescent="0.35">
      <c r="A15" t="s">
        <v>77</v>
      </c>
      <c r="B15" s="1">
        <v>0</v>
      </c>
      <c r="C15" s="1">
        <v>19</v>
      </c>
      <c r="D15" s="46">
        <v>6</v>
      </c>
      <c r="E15" s="1">
        <v>0</v>
      </c>
      <c r="F15" s="1">
        <v>0</v>
      </c>
      <c r="G15" s="46">
        <v>0</v>
      </c>
      <c r="H15" s="1">
        <v>14</v>
      </c>
      <c r="I15" s="1">
        <v>5</v>
      </c>
      <c r="J15" s="46">
        <v>0</v>
      </c>
      <c r="K15" s="1">
        <v>0</v>
      </c>
      <c r="L15" s="1">
        <v>1</v>
      </c>
      <c r="M15" s="46">
        <v>5</v>
      </c>
      <c r="N15" s="1">
        <v>2</v>
      </c>
      <c r="O15" s="1">
        <v>7</v>
      </c>
      <c r="P15" s="46">
        <v>0</v>
      </c>
      <c r="Q15" s="1">
        <v>5</v>
      </c>
      <c r="R15" s="1">
        <v>8</v>
      </c>
      <c r="S15" s="46">
        <v>6</v>
      </c>
      <c r="T15" s="1">
        <v>14</v>
      </c>
      <c r="U15" s="1">
        <v>40</v>
      </c>
      <c r="V15" s="46">
        <v>12</v>
      </c>
      <c r="W15" s="1">
        <v>29</v>
      </c>
      <c r="X15" s="1">
        <v>0</v>
      </c>
      <c r="Y15" s="46">
        <v>7</v>
      </c>
      <c r="Z15" s="1">
        <v>13</v>
      </c>
      <c r="AA15" s="1">
        <v>17</v>
      </c>
      <c r="AB15" s="46">
        <v>1</v>
      </c>
      <c r="AC15" s="1">
        <v>2</v>
      </c>
      <c r="AD15" s="1">
        <v>6</v>
      </c>
      <c r="AE15" s="46">
        <v>0</v>
      </c>
      <c r="AF15" s="1">
        <v>11</v>
      </c>
      <c r="AG15" s="1">
        <v>0</v>
      </c>
      <c r="AH15" s="46">
        <v>24</v>
      </c>
      <c r="AI15" s="1">
        <v>2</v>
      </c>
      <c r="AJ15" s="1">
        <v>0</v>
      </c>
      <c r="AK15" s="46">
        <v>2</v>
      </c>
      <c r="AL15" s="1">
        <v>0</v>
      </c>
      <c r="AM15" s="1">
        <v>0</v>
      </c>
      <c r="AN15" s="46">
        <v>0</v>
      </c>
      <c r="AO15" s="1">
        <v>1</v>
      </c>
      <c r="AP15" s="1">
        <v>2</v>
      </c>
      <c r="AQ15" s="46">
        <v>0</v>
      </c>
      <c r="AR15" s="1">
        <v>1</v>
      </c>
      <c r="AS15" s="1">
        <v>0</v>
      </c>
      <c r="AT15" s="46">
        <v>0</v>
      </c>
      <c r="AU15" s="1">
        <v>0</v>
      </c>
      <c r="AV15" s="1">
        <v>1</v>
      </c>
      <c r="AW15" s="46">
        <v>0</v>
      </c>
      <c r="AX15" s="1">
        <v>1</v>
      </c>
      <c r="AY15" s="1">
        <v>0</v>
      </c>
      <c r="AZ15" s="46">
        <v>0</v>
      </c>
      <c r="BA15" s="1">
        <v>0</v>
      </c>
      <c r="BB15" s="1">
        <v>0</v>
      </c>
      <c r="BC15" s="46">
        <v>0</v>
      </c>
      <c r="BD15" s="1">
        <v>0</v>
      </c>
      <c r="BE15" s="1">
        <v>0</v>
      </c>
      <c r="BF15" s="46">
        <v>0</v>
      </c>
      <c r="BG15" s="1">
        <v>0</v>
      </c>
      <c r="BH15" s="1">
        <v>1</v>
      </c>
      <c r="BI15" s="46">
        <v>0</v>
      </c>
      <c r="BJ15" s="1">
        <v>12</v>
      </c>
      <c r="BK15" s="1">
        <v>0</v>
      </c>
      <c r="BL15">
        <v>0</v>
      </c>
    </row>
    <row r="16" spans="1:64" ht="15.5" x14ac:dyDescent="0.35">
      <c r="A16" t="s">
        <v>78</v>
      </c>
      <c r="B16" s="1">
        <v>0</v>
      </c>
      <c r="C16" s="1">
        <v>0</v>
      </c>
      <c r="D16" s="46">
        <v>0</v>
      </c>
      <c r="E16" s="1">
        <v>0</v>
      </c>
      <c r="F16" s="1">
        <v>0</v>
      </c>
      <c r="G16" s="46">
        <v>0</v>
      </c>
      <c r="H16" s="1">
        <v>0</v>
      </c>
      <c r="I16" s="1">
        <v>0</v>
      </c>
      <c r="J16" s="46">
        <v>0</v>
      </c>
      <c r="K16" s="1">
        <v>0</v>
      </c>
      <c r="L16" s="1">
        <v>0</v>
      </c>
      <c r="M16" s="46">
        <v>0</v>
      </c>
      <c r="N16" s="1">
        <v>0</v>
      </c>
      <c r="O16" s="1">
        <v>0</v>
      </c>
      <c r="P16" s="46">
        <v>0</v>
      </c>
      <c r="Q16" s="1">
        <v>0</v>
      </c>
      <c r="R16" s="1">
        <v>0</v>
      </c>
      <c r="S16" s="46">
        <v>0</v>
      </c>
      <c r="T16" s="1">
        <v>0</v>
      </c>
      <c r="U16" s="1">
        <v>0</v>
      </c>
      <c r="V16" s="46">
        <v>0</v>
      </c>
      <c r="W16" s="1">
        <v>0</v>
      </c>
      <c r="X16" s="1">
        <v>0</v>
      </c>
      <c r="Y16" s="46">
        <v>0</v>
      </c>
      <c r="Z16" s="1">
        <v>0</v>
      </c>
      <c r="AA16" s="1">
        <v>0</v>
      </c>
      <c r="AB16" s="46">
        <v>0</v>
      </c>
      <c r="AC16" s="1">
        <v>0</v>
      </c>
      <c r="AD16" s="1">
        <v>0</v>
      </c>
      <c r="AE16" s="46">
        <v>1</v>
      </c>
      <c r="AF16" s="1">
        <v>48</v>
      </c>
      <c r="AG16" s="1">
        <v>19</v>
      </c>
      <c r="AH16" s="46">
        <v>16</v>
      </c>
      <c r="AI16" s="1">
        <v>8</v>
      </c>
      <c r="AJ16" s="1">
        <v>0</v>
      </c>
      <c r="AK16" s="46">
        <v>1</v>
      </c>
      <c r="AL16" s="1">
        <v>0</v>
      </c>
      <c r="AM16" s="1">
        <v>0</v>
      </c>
      <c r="AN16" s="46">
        <v>0</v>
      </c>
      <c r="AO16" s="1">
        <v>0</v>
      </c>
      <c r="AP16" s="1">
        <v>0</v>
      </c>
      <c r="AQ16" s="46">
        <v>0</v>
      </c>
      <c r="AR16" s="1">
        <v>0</v>
      </c>
      <c r="AS16" s="1">
        <v>0</v>
      </c>
      <c r="AT16" s="46">
        <v>0</v>
      </c>
      <c r="AU16" s="1">
        <v>0</v>
      </c>
      <c r="AV16" s="1">
        <v>0</v>
      </c>
      <c r="AW16" s="46">
        <v>0</v>
      </c>
      <c r="AX16" s="1">
        <v>0</v>
      </c>
      <c r="AY16" s="1">
        <v>0</v>
      </c>
      <c r="AZ16" s="46">
        <v>0</v>
      </c>
      <c r="BA16" s="1">
        <v>0</v>
      </c>
      <c r="BB16" s="1">
        <v>0</v>
      </c>
      <c r="BC16" s="46">
        <v>0</v>
      </c>
      <c r="BD16" s="1">
        <v>0</v>
      </c>
      <c r="BE16" s="1">
        <v>0</v>
      </c>
      <c r="BF16" s="46">
        <v>0</v>
      </c>
      <c r="BG16" s="1">
        <v>0</v>
      </c>
      <c r="BH16" s="1">
        <v>0</v>
      </c>
      <c r="BI16" s="46">
        <v>0</v>
      </c>
      <c r="BJ16" s="1">
        <v>0</v>
      </c>
      <c r="BK16" s="1">
        <v>0</v>
      </c>
      <c r="BL1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L16"/>
  <sheetViews>
    <sheetView workbookViewId="0">
      <selection sqref="A1:XFD1048576"/>
    </sheetView>
  </sheetViews>
  <sheetFormatPr defaultRowHeight="14.5" x14ac:dyDescent="0.35"/>
  <cols>
    <col min="1" max="1" width="13" bestFit="1" customWidth="1"/>
    <col min="2" max="3" width="13" hidden="1" bestFit="1" customWidth="1"/>
    <col min="4" max="4" width="13" bestFit="1" customWidth="1"/>
    <col min="5" max="6" width="13" hidden="1" bestFit="1" customWidth="1"/>
    <col min="7" max="7" width="13" bestFit="1" customWidth="1"/>
    <col min="8" max="9" width="13" hidden="1" bestFit="1" customWidth="1"/>
    <col min="10" max="10" width="13" bestFit="1" customWidth="1"/>
    <col min="11" max="12" width="13" hidden="1" bestFit="1" customWidth="1"/>
    <col min="13" max="13" width="13" bestFit="1" customWidth="1"/>
    <col min="14" max="15" width="13" hidden="1" bestFit="1" customWidth="1"/>
    <col min="16" max="16" width="13" bestFit="1" customWidth="1"/>
    <col min="17" max="18" width="13" hidden="1" bestFit="1" customWidth="1"/>
    <col min="19" max="19" width="13" bestFit="1" customWidth="1"/>
    <col min="20" max="21" width="13" hidden="1" bestFit="1" customWidth="1"/>
    <col min="22" max="22" width="13" bestFit="1" customWidth="1"/>
    <col min="23" max="24" width="13" hidden="1" bestFit="1" customWidth="1"/>
    <col min="25" max="25" width="13" bestFit="1" customWidth="1"/>
    <col min="26" max="27" width="13" hidden="1" bestFit="1" customWidth="1"/>
    <col min="28" max="28" width="13" bestFit="1" customWidth="1"/>
    <col min="29" max="30" width="13" hidden="1" bestFit="1" customWidth="1"/>
    <col min="31" max="31" width="13" bestFit="1" customWidth="1"/>
    <col min="32" max="33" width="13" hidden="1" bestFit="1" customWidth="1"/>
    <col min="34" max="34" width="13" bestFit="1" customWidth="1"/>
    <col min="35" max="36" width="13" hidden="1" bestFit="1" customWidth="1"/>
    <col min="37" max="37" width="13" bestFit="1" customWidth="1"/>
    <col min="38" max="39" width="13" hidden="1" bestFit="1" customWidth="1"/>
    <col min="40" max="40" width="13" bestFit="1" customWidth="1"/>
    <col min="41" max="42" width="13" hidden="1" bestFit="1" customWidth="1"/>
    <col min="43" max="43" width="13" bestFit="1" customWidth="1"/>
    <col min="44" max="45" width="13" hidden="1" bestFit="1" customWidth="1"/>
    <col min="46" max="46" width="13" bestFit="1" customWidth="1"/>
    <col min="47" max="48" width="13" hidden="1" bestFit="1" customWidth="1"/>
    <col min="49" max="49" width="13" bestFit="1" customWidth="1"/>
    <col min="50" max="51" width="13" hidden="1" bestFit="1" customWidth="1"/>
    <col min="52" max="52" width="13" bestFit="1" customWidth="1"/>
    <col min="53" max="54" width="13" hidden="1" bestFit="1" customWidth="1"/>
    <col min="55" max="55" width="13" bestFit="1" customWidth="1"/>
    <col min="56" max="57" width="13" hidden="1" bestFit="1" customWidth="1"/>
    <col min="58" max="58" width="13" bestFit="1" customWidth="1"/>
    <col min="59" max="60" width="13" hidden="1" bestFit="1" customWidth="1"/>
    <col min="61" max="61" width="13" bestFit="1" customWidth="1"/>
    <col min="62" max="62" width="13" hidden="1" bestFit="1" customWidth="1"/>
  </cols>
  <sheetData>
    <row r="1" spans="1:64" x14ac:dyDescent="0.35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t="s">
        <v>5</v>
      </c>
      <c r="G1" s="16" t="s">
        <v>6</v>
      </c>
      <c r="H1" t="s">
        <v>7</v>
      </c>
      <c r="I1" t="s">
        <v>8</v>
      </c>
      <c r="J1" s="16" t="s">
        <v>9</v>
      </c>
      <c r="K1" t="s">
        <v>10</v>
      </c>
      <c r="L1" t="s">
        <v>11</v>
      </c>
      <c r="M1" s="16" t="s">
        <v>12</v>
      </c>
      <c r="N1" t="s">
        <v>13</v>
      </c>
      <c r="O1" t="s">
        <v>14</v>
      </c>
      <c r="P1" s="16" t="s">
        <v>15</v>
      </c>
      <c r="Q1" t="s">
        <v>16</v>
      </c>
      <c r="R1" t="s">
        <v>17</v>
      </c>
      <c r="S1" s="16" t="s">
        <v>18</v>
      </c>
      <c r="T1" t="s">
        <v>19</v>
      </c>
      <c r="U1" t="s">
        <v>20</v>
      </c>
      <c r="V1" s="16" t="s">
        <v>21</v>
      </c>
      <c r="W1" t="s">
        <v>22</v>
      </c>
      <c r="X1" t="s">
        <v>23</v>
      </c>
      <c r="Y1" s="16" t="s">
        <v>24</v>
      </c>
      <c r="Z1" t="s">
        <v>25</v>
      </c>
      <c r="AA1" t="s">
        <v>26</v>
      </c>
      <c r="AB1" s="16" t="s">
        <v>27</v>
      </c>
      <c r="AC1" t="s">
        <v>28</v>
      </c>
      <c r="AD1" t="s">
        <v>29</v>
      </c>
      <c r="AE1" s="16" t="s">
        <v>30</v>
      </c>
      <c r="AF1" t="s">
        <v>31</v>
      </c>
      <c r="AG1" t="s">
        <v>32</v>
      </c>
      <c r="AH1" s="16" t="s">
        <v>33</v>
      </c>
      <c r="AI1" t="s">
        <v>34</v>
      </c>
      <c r="AJ1" t="s">
        <v>35</v>
      </c>
      <c r="AK1" s="16" t="s">
        <v>36</v>
      </c>
      <c r="AL1" t="s">
        <v>37</v>
      </c>
      <c r="AM1" t="s">
        <v>38</v>
      </c>
      <c r="AN1" s="16" t="s">
        <v>39</v>
      </c>
      <c r="AO1" t="s">
        <v>40</v>
      </c>
      <c r="AP1" t="s">
        <v>41</v>
      </c>
      <c r="AQ1" s="16" t="s">
        <v>42</v>
      </c>
      <c r="AR1" t="s">
        <v>43</v>
      </c>
      <c r="AS1" t="s">
        <v>44</v>
      </c>
      <c r="AT1" s="16" t="s">
        <v>45</v>
      </c>
      <c r="AU1" t="s">
        <v>46</v>
      </c>
      <c r="AV1" t="s">
        <v>47</v>
      </c>
      <c r="AW1" s="16" t="s">
        <v>48</v>
      </c>
      <c r="AX1" t="s">
        <v>49</v>
      </c>
      <c r="AY1" t="s">
        <v>50</v>
      </c>
      <c r="AZ1" s="16" t="s">
        <v>51</v>
      </c>
      <c r="BA1" t="s">
        <v>52</v>
      </c>
      <c r="BB1" t="s">
        <v>53</v>
      </c>
      <c r="BC1" s="16" t="s">
        <v>54</v>
      </c>
      <c r="BD1" t="s">
        <v>55</v>
      </c>
      <c r="BE1" t="s">
        <v>56</v>
      </c>
      <c r="BF1" s="16" t="s">
        <v>57</v>
      </c>
      <c r="BG1" t="s">
        <v>58</v>
      </c>
      <c r="BH1" t="s">
        <v>59</v>
      </c>
      <c r="BI1" s="16" t="s">
        <v>60</v>
      </c>
      <c r="BJ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1">
        <v>16</v>
      </c>
      <c r="C2" s="1">
        <v>4</v>
      </c>
      <c r="D2" s="46">
        <v>4</v>
      </c>
      <c r="E2" s="1">
        <v>4</v>
      </c>
      <c r="F2" s="1">
        <v>4</v>
      </c>
      <c r="G2" s="46">
        <v>4</v>
      </c>
      <c r="H2" s="1">
        <v>4</v>
      </c>
      <c r="I2" s="1">
        <v>4</v>
      </c>
      <c r="J2" s="46">
        <v>4</v>
      </c>
      <c r="K2" s="1">
        <v>4</v>
      </c>
      <c r="L2" s="1">
        <v>4</v>
      </c>
      <c r="M2" s="46">
        <v>4</v>
      </c>
      <c r="N2" s="1">
        <v>4</v>
      </c>
      <c r="O2" s="1">
        <v>4</v>
      </c>
      <c r="P2" s="46">
        <v>4</v>
      </c>
      <c r="Q2" s="1">
        <v>4</v>
      </c>
      <c r="R2" s="1">
        <v>4</v>
      </c>
      <c r="S2" s="46">
        <v>4</v>
      </c>
      <c r="T2" s="1">
        <v>4</v>
      </c>
      <c r="U2" s="1">
        <v>3</v>
      </c>
      <c r="V2" s="46">
        <v>3</v>
      </c>
      <c r="W2" s="1">
        <v>3</v>
      </c>
      <c r="X2" s="1">
        <v>3</v>
      </c>
      <c r="Y2" s="46">
        <v>3</v>
      </c>
      <c r="Z2" s="1">
        <v>2</v>
      </c>
      <c r="AA2" s="1">
        <v>2</v>
      </c>
      <c r="AB2" s="46">
        <v>2</v>
      </c>
      <c r="AC2" s="1">
        <v>2</v>
      </c>
      <c r="AD2" s="1">
        <v>2</v>
      </c>
      <c r="AE2" s="46">
        <v>1</v>
      </c>
      <c r="AF2" s="1">
        <v>1</v>
      </c>
      <c r="AG2" s="1">
        <v>1</v>
      </c>
      <c r="AH2" s="46">
        <v>1</v>
      </c>
      <c r="AI2" s="1">
        <v>1</v>
      </c>
      <c r="AJ2" s="1">
        <v>0</v>
      </c>
      <c r="AK2" s="46">
        <v>0</v>
      </c>
      <c r="AL2" s="1">
        <v>0</v>
      </c>
      <c r="AM2" s="1">
        <v>0</v>
      </c>
      <c r="AN2" s="46">
        <v>0</v>
      </c>
      <c r="AO2" s="1">
        <v>0</v>
      </c>
      <c r="AP2" s="1">
        <v>0</v>
      </c>
      <c r="AQ2" s="46">
        <v>0</v>
      </c>
      <c r="AR2" s="1">
        <v>0</v>
      </c>
      <c r="AS2" s="1">
        <v>0</v>
      </c>
      <c r="AT2" s="46">
        <v>0</v>
      </c>
      <c r="AU2" s="1">
        <v>0</v>
      </c>
      <c r="AV2" s="1">
        <v>0</v>
      </c>
      <c r="AW2" s="46">
        <v>0</v>
      </c>
      <c r="AX2" s="1">
        <v>0</v>
      </c>
      <c r="AY2" s="1">
        <v>0</v>
      </c>
      <c r="AZ2" s="46">
        <v>0</v>
      </c>
      <c r="BA2" s="1">
        <v>0</v>
      </c>
      <c r="BB2" s="1">
        <v>0</v>
      </c>
      <c r="BC2" s="46">
        <v>0</v>
      </c>
      <c r="BD2" s="1">
        <v>0</v>
      </c>
      <c r="BE2" s="1">
        <v>0</v>
      </c>
      <c r="BF2" s="46">
        <v>0</v>
      </c>
      <c r="BG2" s="1">
        <v>0</v>
      </c>
      <c r="BH2" s="1">
        <v>0</v>
      </c>
      <c r="BI2" s="46">
        <v>0</v>
      </c>
      <c r="BJ2" s="1">
        <v>0</v>
      </c>
      <c r="BK2" s="1">
        <v>0</v>
      </c>
      <c r="BL2">
        <v>0</v>
      </c>
    </row>
    <row r="3" spans="1:64" ht="15.5" x14ac:dyDescent="0.35">
      <c r="A3" t="s">
        <v>65</v>
      </c>
      <c r="B3" s="1">
        <v>9</v>
      </c>
      <c r="C3" s="1">
        <v>9</v>
      </c>
      <c r="D3" s="46">
        <v>9</v>
      </c>
      <c r="E3" s="1">
        <v>9</v>
      </c>
      <c r="F3" s="1">
        <v>9</v>
      </c>
      <c r="G3" s="46">
        <v>9</v>
      </c>
      <c r="H3" s="1">
        <v>9</v>
      </c>
      <c r="I3" s="1">
        <v>9</v>
      </c>
      <c r="J3" s="46">
        <v>9</v>
      </c>
      <c r="K3" s="1">
        <v>9</v>
      </c>
      <c r="L3" s="1">
        <v>9</v>
      </c>
      <c r="M3" s="46">
        <v>9</v>
      </c>
      <c r="N3" s="1">
        <v>9</v>
      </c>
      <c r="O3" s="1">
        <v>9</v>
      </c>
      <c r="P3" s="46">
        <v>9</v>
      </c>
      <c r="Q3" s="1">
        <v>9</v>
      </c>
      <c r="R3" s="1">
        <v>6</v>
      </c>
      <c r="S3" s="46">
        <v>6</v>
      </c>
      <c r="T3" s="1">
        <v>6</v>
      </c>
      <c r="U3" s="1">
        <v>6</v>
      </c>
      <c r="V3" s="46">
        <v>6</v>
      </c>
      <c r="W3" s="1">
        <v>6</v>
      </c>
      <c r="X3" s="1">
        <v>6</v>
      </c>
      <c r="Y3" s="46">
        <v>6</v>
      </c>
      <c r="Z3" s="1">
        <v>6</v>
      </c>
      <c r="AA3" s="1">
        <v>6</v>
      </c>
      <c r="AB3" s="46">
        <v>6</v>
      </c>
      <c r="AC3" s="1">
        <v>6</v>
      </c>
      <c r="AD3" s="1">
        <v>6</v>
      </c>
      <c r="AE3" s="46">
        <v>6</v>
      </c>
      <c r="AF3" s="1">
        <v>6</v>
      </c>
      <c r="AG3" s="1">
        <v>6</v>
      </c>
      <c r="AH3" s="46">
        <v>6</v>
      </c>
      <c r="AI3" s="1">
        <v>6</v>
      </c>
      <c r="AJ3" s="1">
        <v>6</v>
      </c>
      <c r="AK3" s="46">
        <v>6</v>
      </c>
      <c r="AL3" s="1">
        <v>6</v>
      </c>
      <c r="AM3" s="1">
        <v>6</v>
      </c>
      <c r="AN3" s="46">
        <v>0</v>
      </c>
      <c r="AO3" s="1">
        <v>0</v>
      </c>
      <c r="AP3" s="1">
        <v>0</v>
      </c>
      <c r="AQ3" s="46">
        <v>0</v>
      </c>
      <c r="AR3" s="1">
        <v>0</v>
      </c>
      <c r="AS3" s="1">
        <v>0</v>
      </c>
      <c r="AT3" s="46">
        <v>0</v>
      </c>
      <c r="AU3" s="1">
        <v>0</v>
      </c>
      <c r="AV3" s="1">
        <v>0</v>
      </c>
      <c r="AW3" s="46">
        <v>0</v>
      </c>
      <c r="AX3" s="1">
        <v>0</v>
      </c>
      <c r="AY3" s="1">
        <v>0</v>
      </c>
      <c r="AZ3" s="46">
        <v>0</v>
      </c>
      <c r="BA3" s="1">
        <v>0</v>
      </c>
      <c r="BB3" s="1">
        <v>0</v>
      </c>
      <c r="BC3" s="46">
        <v>0</v>
      </c>
      <c r="BD3" s="1">
        <v>0</v>
      </c>
      <c r="BE3" s="1">
        <v>0</v>
      </c>
      <c r="BF3" s="46">
        <v>0</v>
      </c>
      <c r="BG3" s="1">
        <v>0</v>
      </c>
      <c r="BH3" s="1">
        <v>0</v>
      </c>
      <c r="BI3" s="46">
        <v>0</v>
      </c>
      <c r="BJ3" s="1">
        <v>0</v>
      </c>
      <c r="BK3" s="1">
        <v>0</v>
      </c>
      <c r="BL3">
        <v>0</v>
      </c>
    </row>
    <row r="4" spans="1:64" ht="15.5" x14ac:dyDescent="0.35">
      <c r="A4" t="s">
        <v>66</v>
      </c>
      <c r="B4" s="1">
        <v>1</v>
      </c>
      <c r="C4" s="1">
        <v>1</v>
      </c>
      <c r="D4" s="46">
        <v>1</v>
      </c>
      <c r="E4" s="1">
        <v>1</v>
      </c>
      <c r="F4" s="1">
        <v>1</v>
      </c>
      <c r="G4" s="46">
        <v>1</v>
      </c>
      <c r="H4" s="1">
        <v>1</v>
      </c>
      <c r="I4" s="1">
        <v>1</v>
      </c>
      <c r="J4" s="46">
        <v>1</v>
      </c>
      <c r="K4" s="1">
        <v>1</v>
      </c>
      <c r="L4" s="1">
        <v>1</v>
      </c>
      <c r="M4" s="46">
        <v>1</v>
      </c>
      <c r="N4" s="1">
        <v>1</v>
      </c>
      <c r="O4" s="1">
        <v>1</v>
      </c>
      <c r="P4" s="46">
        <v>1</v>
      </c>
      <c r="Q4" s="1">
        <v>1</v>
      </c>
      <c r="R4" s="1">
        <v>1</v>
      </c>
      <c r="S4" s="46">
        <v>1</v>
      </c>
      <c r="T4" s="1">
        <v>1</v>
      </c>
      <c r="U4" s="1">
        <v>1</v>
      </c>
      <c r="V4" s="46">
        <v>1</v>
      </c>
      <c r="W4" s="1">
        <v>1</v>
      </c>
      <c r="X4" s="1">
        <v>1</v>
      </c>
      <c r="Y4" s="46">
        <v>1</v>
      </c>
      <c r="Z4" s="1">
        <v>1</v>
      </c>
      <c r="AA4" s="1">
        <v>1</v>
      </c>
      <c r="AB4" s="46">
        <v>1</v>
      </c>
      <c r="AC4" s="1">
        <v>1</v>
      </c>
      <c r="AD4" s="1">
        <v>1</v>
      </c>
      <c r="AE4" s="46">
        <v>1</v>
      </c>
      <c r="AF4" s="1">
        <v>1</v>
      </c>
      <c r="AG4" s="1">
        <v>1</v>
      </c>
      <c r="AH4" s="46">
        <v>1</v>
      </c>
      <c r="AI4" s="1">
        <v>1</v>
      </c>
      <c r="AJ4" s="1">
        <v>1</v>
      </c>
      <c r="AK4" s="46">
        <v>1</v>
      </c>
      <c r="AL4" s="1">
        <v>1</v>
      </c>
      <c r="AM4" s="1">
        <v>1</v>
      </c>
      <c r="AN4" s="46">
        <v>1</v>
      </c>
      <c r="AO4" s="1">
        <v>1</v>
      </c>
      <c r="AP4" s="1">
        <v>1</v>
      </c>
      <c r="AQ4" s="46">
        <v>1</v>
      </c>
      <c r="AR4" s="1">
        <v>1</v>
      </c>
      <c r="AS4" s="1">
        <v>1</v>
      </c>
      <c r="AT4" s="46">
        <v>1</v>
      </c>
      <c r="AU4" s="1">
        <v>1</v>
      </c>
      <c r="AV4" s="1">
        <v>1</v>
      </c>
      <c r="AW4" s="46">
        <v>1</v>
      </c>
      <c r="AX4" s="1">
        <v>1</v>
      </c>
      <c r="AY4" s="1">
        <v>1</v>
      </c>
      <c r="AZ4" s="46">
        <v>1</v>
      </c>
      <c r="BA4" s="1">
        <v>1</v>
      </c>
      <c r="BB4" s="1">
        <v>1</v>
      </c>
      <c r="BC4" s="46">
        <v>1</v>
      </c>
      <c r="BD4" s="1">
        <v>1</v>
      </c>
      <c r="BE4" s="1">
        <v>1</v>
      </c>
      <c r="BF4" s="46">
        <v>1</v>
      </c>
      <c r="BG4" s="1">
        <v>0</v>
      </c>
      <c r="BH4" s="1">
        <v>0</v>
      </c>
      <c r="BI4" s="46">
        <v>0</v>
      </c>
      <c r="BJ4" s="1">
        <v>0</v>
      </c>
      <c r="BK4" s="1">
        <v>0</v>
      </c>
      <c r="BL4">
        <v>0</v>
      </c>
    </row>
    <row r="5" spans="1:64" ht="15.5" x14ac:dyDescent="0.35">
      <c r="A5" t="s">
        <v>67</v>
      </c>
      <c r="B5" s="1">
        <v>451260.4</v>
      </c>
      <c r="C5" s="1">
        <v>208163.19</v>
      </c>
      <c r="D5" s="46">
        <v>208163.19</v>
      </c>
      <c r="E5" s="1">
        <v>208163.19</v>
      </c>
      <c r="F5" s="1">
        <v>208163.19</v>
      </c>
      <c r="G5" s="46">
        <v>208163.19</v>
      </c>
      <c r="H5" s="1">
        <v>208163.19</v>
      </c>
      <c r="I5" s="1">
        <v>208163.19</v>
      </c>
      <c r="J5" s="46">
        <v>208163.19</v>
      </c>
      <c r="K5" s="1">
        <v>208163.19</v>
      </c>
      <c r="L5" s="1">
        <v>208163.19</v>
      </c>
      <c r="M5" s="46">
        <v>208163.19</v>
      </c>
      <c r="N5" s="1">
        <v>208163.19</v>
      </c>
      <c r="O5" s="1">
        <v>208163.19</v>
      </c>
      <c r="P5" s="46">
        <v>208163.19</v>
      </c>
      <c r="Q5" s="1">
        <v>208163.19</v>
      </c>
      <c r="R5" s="1">
        <v>171525.02</v>
      </c>
      <c r="S5" s="46">
        <v>171525.02</v>
      </c>
      <c r="T5" s="1">
        <v>171525.02</v>
      </c>
      <c r="U5" s="1">
        <v>153121.10999999999</v>
      </c>
      <c r="V5" s="46">
        <v>153121.10999999999</v>
      </c>
      <c r="W5" s="1">
        <v>153121.10999999999</v>
      </c>
      <c r="X5" s="1">
        <v>153121.10999999999</v>
      </c>
      <c r="Y5" s="46">
        <v>153121.10999999999</v>
      </c>
      <c r="Z5" s="1">
        <v>134866.70000000001</v>
      </c>
      <c r="AA5" s="1">
        <v>134866.70000000001</v>
      </c>
      <c r="AB5" s="46">
        <v>134866.70000000001</v>
      </c>
      <c r="AC5" s="1">
        <v>134866.70000000001</v>
      </c>
      <c r="AD5" s="1">
        <v>134866.70000000001</v>
      </c>
      <c r="AE5" s="46">
        <v>116676.09</v>
      </c>
      <c r="AF5" s="1">
        <v>116676.09</v>
      </c>
      <c r="AG5" s="1">
        <v>116676.09</v>
      </c>
      <c r="AH5" s="46">
        <v>116676.09</v>
      </c>
      <c r="AI5" s="1">
        <v>116676.09</v>
      </c>
      <c r="AJ5" s="1">
        <v>98208.330000000016</v>
      </c>
      <c r="AK5" s="46">
        <v>98208.330000000016</v>
      </c>
      <c r="AL5" s="1">
        <v>98208.330000000016</v>
      </c>
      <c r="AM5" s="1">
        <v>98208.330000000016</v>
      </c>
      <c r="AN5" s="46">
        <v>10057.81</v>
      </c>
      <c r="AO5" s="1">
        <v>10057.81</v>
      </c>
      <c r="AP5" s="1">
        <v>10057.81</v>
      </c>
      <c r="AQ5" s="46">
        <v>10057.81</v>
      </c>
      <c r="AR5" s="1">
        <v>10057.81</v>
      </c>
      <c r="AS5" s="1">
        <v>10057.81</v>
      </c>
      <c r="AT5" s="46">
        <v>10057.81</v>
      </c>
      <c r="AU5" s="1">
        <v>10057.81</v>
      </c>
      <c r="AV5" s="1">
        <v>10057.81</v>
      </c>
      <c r="AW5" s="46">
        <v>10057.81</v>
      </c>
      <c r="AX5" s="1">
        <v>10057.81</v>
      </c>
      <c r="AY5" s="1">
        <v>10057.81</v>
      </c>
      <c r="AZ5" s="46">
        <v>10057.81</v>
      </c>
      <c r="BA5" s="1">
        <v>10057.81</v>
      </c>
      <c r="BB5" s="1">
        <v>10057.81</v>
      </c>
      <c r="BC5" s="46">
        <v>10057.81</v>
      </c>
      <c r="BD5" s="1">
        <v>10057.81</v>
      </c>
      <c r="BE5" s="1">
        <v>10057.81</v>
      </c>
      <c r="BF5" s="46">
        <v>10057.81</v>
      </c>
      <c r="BG5" s="1">
        <v>0</v>
      </c>
      <c r="BH5" s="1">
        <v>0</v>
      </c>
      <c r="BI5" s="46">
        <v>0</v>
      </c>
      <c r="BJ5" s="1">
        <v>0</v>
      </c>
      <c r="BK5" s="1">
        <v>0</v>
      </c>
      <c r="BL5">
        <v>0</v>
      </c>
    </row>
    <row r="6" spans="1:64" ht="15.5" x14ac:dyDescent="0.35">
      <c r="A6" t="s">
        <v>68</v>
      </c>
      <c r="B6" s="1">
        <v>225168.59</v>
      </c>
      <c r="C6" s="1">
        <v>111801.25</v>
      </c>
      <c r="D6" s="46">
        <v>111801.25</v>
      </c>
      <c r="E6" s="1">
        <v>111801.25</v>
      </c>
      <c r="F6" s="1">
        <v>111801.25</v>
      </c>
      <c r="G6" s="46">
        <v>111801.25</v>
      </c>
      <c r="H6" s="1">
        <v>111801.25</v>
      </c>
      <c r="I6" s="1">
        <v>111801.25</v>
      </c>
      <c r="J6" s="46">
        <v>111801.25</v>
      </c>
      <c r="K6" s="1">
        <v>111801.25</v>
      </c>
      <c r="L6" s="1">
        <v>111801.25</v>
      </c>
      <c r="M6" s="46">
        <v>111801.25</v>
      </c>
      <c r="N6" s="1">
        <v>111801.25</v>
      </c>
      <c r="O6" s="1">
        <v>111801.25</v>
      </c>
      <c r="P6" s="46">
        <v>111801.25</v>
      </c>
      <c r="Q6" s="1">
        <v>111801.25</v>
      </c>
      <c r="R6" s="1">
        <v>88938.72</v>
      </c>
      <c r="S6" s="46">
        <v>88938.72</v>
      </c>
      <c r="T6" s="1">
        <v>88938.72</v>
      </c>
      <c r="U6" s="1">
        <v>80602.539999999994</v>
      </c>
      <c r="V6" s="46">
        <v>80602.539999999994</v>
      </c>
      <c r="W6" s="1">
        <v>80602.539999999994</v>
      </c>
      <c r="X6" s="1">
        <v>80602.539999999994</v>
      </c>
      <c r="Y6" s="46">
        <v>80602.539999999994</v>
      </c>
      <c r="Z6" s="1">
        <v>71847.19</v>
      </c>
      <c r="AA6" s="1">
        <v>71847.19</v>
      </c>
      <c r="AB6" s="46">
        <v>71847.19</v>
      </c>
      <c r="AC6" s="1">
        <v>71847.19</v>
      </c>
      <c r="AD6" s="1">
        <v>71847.19</v>
      </c>
      <c r="AE6" s="46">
        <v>63640.97</v>
      </c>
      <c r="AF6" s="1">
        <v>63640.97</v>
      </c>
      <c r="AG6" s="1">
        <v>63640.97</v>
      </c>
      <c r="AH6" s="46">
        <v>63640.97</v>
      </c>
      <c r="AI6" s="1">
        <v>63640.97</v>
      </c>
      <c r="AJ6" s="1">
        <v>55422.91</v>
      </c>
      <c r="AK6" s="46">
        <v>55422.91</v>
      </c>
      <c r="AL6" s="1">
        <v>55422.91</v>
      </c>
      <c r="AM6" s="1">
        <v>55422.91</v>
      </c>
      <c r="AN6" s="46">
        <v>2535.87</v>
      </c>
      <c r="AO6" s="1">
        <v>2535.87</v>
      </c>
      <c r="AP6" s="1">
        <v>2535.87</v>
      </c>
      <c r="AQ6" s="46">
        <v>2535.87</v>
      </c>
      <c r="AR6" s="1">
        <v>2535.87</v>
      </c>
      <c r="AS6" s="1">
        <v>2535.87</v>
      </c>
      <c r="AT6" s="46">
        <v>2535.87</v>
      </c>
      <c r="AU6" s="1">
        <v>2535.87</v>
      </c>
      <c r="AV6" s="1">
        <v>2535.87</v>
      </c>
      <c r="AW6" s="46">
        <v>2535.87</v>
      </c>
      <c r="AX6" s="1">
        <v>2535.87</v>
      </c>
      <c r="AY6" s="1">
        <v>2535.87</v>
      </c>
      <c r="AZ6" s="46">
        <v>2535.87</v>
      </c>
      <c r="BA6" s="1">
        <v>2535.87</v>
      </c>
      <c r="BB6" s="1">
        <v>2535.87</v>
      </c>
      <c r="BC6" s="46">
        <v>2535.87</v>
      </c>
      <c r="BD6" s="1">
        <v>2535.87</v>
      </c>
      <c r="BE6" s="1">
        <v>2535.87</v>
      </c>
      <c r="BF6" s="46">
        <v>2535.87</v>
      </c>
      <c r="BG6" s="1">
        <v>0</v>
      </c>
      <c r="BH6" s="1">
        <v>0</v>
      </c>
      <c r="BI6" s="46">
        <v>0</v>
      </c>
      <c r="BJ6" s="1">
        <v>0</v>
      </c>
      <c r="BK6" s="1">
        <v>0</v>
      </c>
      <c r="BL6">
        <v>0</v>
      </c>
    </row>
    <row r="7" spans="1:64" ht="15.5" x14ac:dyDescent="0.35">
      <c r="A7" t="s">
        <v>69</v>
      </c>
      <c r="B7" s="1">
        <v>111104.85</v>
      </c>
      <c r="C7" s="1">
        <v>61418.16</v>
      </c>
      <c r="D7" s="46">
        <v>61418.16</v>
      </c>
      <c r="E7" s="1">
        <v>61418.16</v>
      </c>
      <c r="F7" s="1">
        <v>61418.16</v>
      </c>
      <c r="G7" s="46">
        <v>61418.16</v>
      </c>
      <c r="H7" s="1">
        <v>61418.16</v>
      </c>
      <c r="I7" s="1">
        <v>61418.16</v>
      </c>
      <c r="J7" s="46">
        <v>61418.16</v>
      </c>
      <c r="K7" s="1">
        <v>61418.16</v>
      </c>
      <c r="L7" s="1">
        <v>61418.16</v>
      </c>
      <c r="M7" s="46">
        <v>61418.16</v>
      </c>
      <c r="N7" s="1">
        <v>61418.16</v>
      </c>
      <c r="O7" s="1">
        <v>61418.16</v>
      </c>
      <c r="P7" s="46">
        <v>61418.16</v>
      </c>
      <c r="Q7" s="1">
        <v>61418.16</v>
      </c>
      <c r="R7" s="1">
        <v>51089.52</v>
      </c>
      <c r="S7" s="46">
        <v>51089.52</v>
      </c>
      <c r="T7" s="1">
        <v>51089.52</v>
      </c>
      <c r="U7" s="1">
        <v>45642.02</v>
      </c>
      <c r="V7" s="46">
        <v>45642.02</v>
      </c>
      <c r="W7" s="1">
        <v>45642.02</v>
      </c>
      <c r="X7" s="1">
        <v>45642.02</v>
      </c>
      <c r="Y7" s="46">
        <v>45642.02</v>
      </c>
      <c r="Z7" s="1">
        <v>40592.120000000003</v>
      </c>
      <c r="AA7" s="1">
        <v>40592.120000000003</v>
      </c>
      <c r="AB7" s="46">
        <v>40592.120000000003</v>
      </c>
      <c r="AC7" s="1">
        <v>40592.120000000003</v>
      </c>
      <c r="AD7" s="1">
        <v>40592.120000000003</v>
      </c>
      <c r="AE7" s="46">
        <v>35585.370000000003</v>
      </c>
      <c r="AF7" s="1">
        <v>35585.370000000003</v>
      </c>
      <c r="AG7" s="1">
        <v>35585.370000000003</v>
      </c>
      <c r="AH7" s="46">
        <v>35585.370000000003</v>
      </c>
      <c r="AI7" s="1">
        <v>35585.370000000003</v>
      </c>
      <c r="AJ7" s="1">
        <v>29883.360000000001</v>
      </c>
      <c r="AK7" s="46">
        <v>29883.360000000001</v>
      </c>
      <c r="AL7" s="1">
        <v>29883.360000000001</v>
      </c>
      <c r="AM7" s="1">
        <v>29883.360000000001</v>
      </c>
      <c r="AN7" s="46">
        <v>3679.97</v>
      </c>
      <c r="AO7" s="1">
        <v>3679.97</v>
      </c>
      <c r="AP7" s="1">
        <v>3679.97</v>
      </c>
      <c r="AQ7" s="46">
        <v>3679.97</v>
      </c>
      <c r="AR7" s="1">
        <v>3679.97</v>
      </c>
      <c r="AS7" s="1">
        <v>3679.97</v>
      </c>
      <c r="AT7" s="46">
        <v>3679.97</v>
      </c>
      <c r="AU7" s="1">
        <v>3679.97</v>
      </c>
      <c r="AV7" s="1">
        <v>3679.97</v>
      </c>
      <c r="AW7" s="46">
        <v>3679.97</v>
      </c>
      <c r="AX7" s="1">
        <v>3679.97</v>
      </c>
      <c r="AY7" s="1">
        <v>3679.97</v>
      </c>
      <c r="AZ7" s="46">
        <v>3679.97</v>
      </c>
      <c r="BA7" s="1">
        <v>3679.97</v>
      </c>
      <c r="BB7" s="1">
        <v>3679.97</v>
      </c>
      <c r="BC7" s="46">
        <v>3679.97</v>
      </c>
      <c r="BD7" s="1">
        <v>3679.97</v>
      </c>
      <c r="BE7" s="1">
        <v>3679.97</v>
      </c>
      <c r="BF7" s="46">
        <v>3679.97</v>
      </c>
      <c r="BG7" s="1">
        <v>0</v>
      </c>
      <c r="BH7" s="1">
        <v>0</v>
      </c>
      <c r="BI7" s="46">
        <v>0</v>
      </c>
      <c r="BJ7" s="1">
        <v>0</v>
      </c>
      <c r="BK7" s="1">
        <v>0</v>
      </c>
      <c r="BL7">
        <v>0</v>
      </c>
    </row>
    <row r="8" spans="1:64" ht="15.5" x14ac:dyDescent="0.35">
      <c r="A8" t="s">
        <v>70</v>
      </c>
      <c r="B8" s="1">
        <v>28386.78</v>
      </c>
      <c r="C8" s="1">
        <v>17053.75</v>
      </c>
      <c r="D8" s="46">
        <v>17053.75</v>
      </c>
      <c r="E8" s="1">
        <v>17053.75</v>
      </c>
      <c r="F8" s="1">
        <v>17053.75</v>
      </c>
      <c r="G8" s="46">
        <v>17053.75</v>
      </c>
      <c r="H8" s="1">
        <v>17053.75</v>
      </c>
      <c r="I8" s="1">
        <v>17053.75</v>
      </c>
      <c r="J8" s="46">
        <v>17053.75</v>
      </c>
      <c r="K8" s="1">
        <v>17053.75</v>
      </c>
      <c r="L8" s="1">
        <v>17053.75</v>
      </c>
      <c r="M8" s="46">
        <v>17053.75</v>
      </c>
      <c r="N8" s="1">
        <v>17053.75</v>
      </c>
      <c r="O8" s="1">
        <v>17053.75</v>
      </c>
      <c r="P8" s="46">
        <v>17053.75</v>
      </c>
      <c r="Q8" s="1">
        <v>17053.75</v>
      </c>
      <c r="R8" s="1">
        <v>14036.75</v>
      </c>
      <c r="S8" s="46">
        <v>14036.75</v>
      </c>
      <c r="T8" s="1">
        <v>14036.75</v>
      </c>
      <c r="U8" s="1">
        <v>12558.96</v>
      </c>
      <c r="V8" s="46">
        <v>12558.96</v>
      </c>
      <c r="W8" s="1">
        <v>12558.96</v>
      </c>
      <c r="X8" s="1">
        <v>12558.96</v>
      </c>
      <c r="Y8" s="46">
        <v>12558.96</v>
      </c>
      <c r="Z8" s="1">
        <v>11111.78</v>
      </c>
      <c r="AA8" s="1">
        <v>11111.78</v>
      </c>
      <c r="AB8" s="46">
        <v>11111.78</v>
      </c>
      <c r="AC8" s="1">
        <v>11111.78</v>
      </c>
      <c r="AD8" s="1">
        <v>11111.78</v>
      </c>
      <c r="AE8" s="46">
        <v>9664.6</v>
      </c>
      <c r="AF8" s="1">
        <v>9664.6</v>
      </c>
      <c r="AG8" s="1">
        <v>9664.6</v>
      </c>
      <c r="AH8" s="46">
        <v>9664.6</v>
      </c>
      <c r="AI8" s="1">
        <v>9664.6</v>
      </c>
      <c r="AJ8" s="1">
        <v>8972.25</v>
      </c>
      <c r="AK8" s="46">
        <v>8972.25</v>
      </c>
      <c r="AL8" s="1">
        <v>8972.25</v>
      </c>
      <c r="AM8" s="1">
        <v>8972.25</v>
      </c>
      <c r="AN8" s="46">
        <v>772.16</v>
      </c>
      <c r="AO8" s="1">
        <v>772.16</v>
      </c>
      <c r="AP8" s="1">
        <v>772.16</v>
      </c>
      <c r="AQ8" s="46">
        <v>772.16</v>
      </c>
      <c r="AR8" s="1">
        <v>772.16</v>
      </c>
      <c r="AS8" s="1">
        <v>772.16</v>
      </c>
      <c r="AT8" s="46">
        <v>772.16</v>
      </c>
      <c r="AU8" s="1">
        <v>772.16</v>
      </c>
      <c r="AV8" s="1">
        <v>772.16</v>
      </c>
      <c r="AW8" s="46">
        <v>772.16</v>
      </c>
      <c r="AX8" s="1">
        <v>772.16</v>
      </c>
      <c r="AY8" s="1">
        <v>772.16</v>
      </c>
      <c r="AZ8" s="46">
        <v>772.16</v>
      </c>
      <c r="BA8" s="1">
        <v>772.16</v>
      </c>
      <c r="BB8" s="1">
        <v>772.16</v>
      </c>
      <c r="BC8" s="46">
        <v>772.16</v>
      </c>
      <c r="BD8" s="1">
        <v>772.16</v>
      </c>
      <c r="BE8" s="1">
        <v>772.16</v>
      </c>
      <c r="BF8" s="46">
        <v>772.16</v>
      </c>
      <c r="BG8" s="1">
        <v>0</v>
      </c>
      <c r="BH8" s="1">
        <v>0</v>
      </c>
      <c r="BI8" s="46">
        <v>0</v>
      </c>
      <c r="BJ8" s="1">
        <v>0</v>
      </c>
      <c r="BK8" s="1">
        <v>0</v>
      </c>
      <c r="BL8">
        <v>0</v>
      </c>
    </row>
    <row r="9" spans="1:64" ht="15.5" x14ac:dyDescent="0.35">
      <c r="A9" t="s">
        <v>71</v>
      </c>
      <c r="B9" s="1">
        <v>3129004.02</v>
      </c>
      <c r="C9" s="1">
        <v>308356.67</v>
      </c>
      <c r="D9" s="46">
        <v>308356.67</v>
      </c>
      <c r="E9" s="1">
        <v>308356.67</v>
      </c>
      <c r="F9" s="1">
        <v>308356.67</v>
      </c>
      <c r="G9" s="46">
        <v>308356.67</v>
      </c>
      <c r="H9" s="1">
        <v>308356.67</v>
      </c>
      <c r="I9" s="1">
        <v>308356.67</v>
      </c>
      <c r="J9" s="46">
        <v>308356.67</v>
      </c>
      <c r="K9" s="1">
        <v>308356.67</v>
      </c>
      <c r="L9" s="1">
        <v>308356.67</v>
      </c>
      <c r="M9" s="46">
        <v>308356.67</v>
      </c>
      <c r="N9" s="1">
        <v>308356.67</v>
      </c>
      <c r="O9" s="1">
        <v>308356.67</v>
      </c>
      <c r="P9" s="46">
        <v>308356.67</v>
      </c>
      <c r="Q9" s="1">
        <v>308356.67</v>
      </c>
      <c r="R9" s="1">
        <v>308356.67</v>
      </c>
      <c r="S9" s="46">
        <v>308356.67</v>
      </c>
      <c r="T9" s="1">
        <v>308356.67</v>
      </c>
      <c r="U9" s="1">
        <v>241632.26</v>
      </c>
      <c r="V9" s="46">
        <v>241632.26</v>
      </c>
      <c r="W9" s="1">
        <v>241632.26</v>
      </c>
      <c r="X9" s="1">
        <v>241632.26</v>
      </c>
      <c r="Y9" s="46">
        <v>241632.26</v>
      </c>
      <c r="Z9" s="1">
        <v>172313.28</v>
      </c>
      <c r="AA9" s="1">
        <v>172313.28</v>
      </c>
      <c r="AB9" s="46">
        <v>172313.28</v>
      </c>
      <c r="AC9" s="1">
        <v>172313.28</v>
      </c>
      <c r="AD9" s="1">
        <v>172313.28</v>
      </c>
      <c r="AE9" s="46">
        <v>98346.4</v>
      </c>
      <c r="AF9" s="1">
        <v>98346.4</v>
      </c>
      <c r="AG9" s="1">
        <v>98346.4</v>
      </c>
      <c r="AH9" s="46">
        <v>98346.4</v>
      </c>
      <c r="AI9" s="1">
        <v>98346.4</v>
      </c>
      <c r="AJ9" s="1">
        <v>2788</v>
      </c>
      <c r="AK9" s="46">
        <v>2788</v>
      </c>
      <c r="AL9" s="1">
        <v>2788</v>
      </c>
      <c r="AM9" s="1">
        <v>2788</v>
      </c>
      <c r="AN9" s="46">
        <v>2788</v>
      </c>
      <c r="AO9" s="1">
        <v>2788</v>
      </c>
      <c r="AP9" s="1">
        <v>2788</v>
      </c>
      <c r="AQ9" s="46">
        <v>2788</v>
      </c>
      <c r="AR9" s="1">
        <v>2788</v>
      </c>
      <c r="AS9" s="1">
        <v>2788</v>
      </c>
      <c r="AT9" s="46">
        <v>2788</v>
      </c>
      <c r="AU9" s="1">
        <v>2788</v>
      </c>
      <c r="AV9" s="1">
        <v>2788</v>
      </c>
      <c r="AW9" s="46">
        <v>2788</v>
      </c>
      <c r="AX9" s="1">
        <v>2788</v>
      </c>
      <c r="AY9" s="1">
        <v>2788</v>
      </c>
      <c r="AZ9" s="46">
        <v>2788</v>
      </c>
      <c r="BA9" s="1">
        <v>2788</v>
      </c>
      <c r="BB9" s="1">
        <v>2788</v>
      </c>
      <c r="BC9" s="46">
        <v>2788</v>
      </c>
      <c r="BD9" s="1">
        <v>2788</v>
      </c>
      <c r="BE9" s="1">
        <v>2788</v>
      </c>
      <c r="BF9" s="46">
        <v>2788</v>
      </c>
      <c r="BG9" s="1">
        <v>0</v>
      </c>
      <c r="BH9" s="1">
        <v>0</v>
      </c>
      <c r="BI9" s="46">
        <v>0</v>
      </c>
      <c r="BJ9" s="1">
        <v>0</v>
      </c>
      <c r="BK9" s="1">
        <v>0</v>
      </c>
      <c r="BL9">
        <v>0</v>
      </c>
    </row>
    <row r="10" spans="1:64" ht="15.5" x14ac:dyDescent="0.35">
      <c r="A10" t="s">
        <v>72</v>
      </c>
      <c r="B10" s="1">
        <v>1427590.9300000011</v>
      </c>
      <c r="C10" s="1">
        <v>231220.5</v>
      </c>
      <c r="D10" s="46">
        <v>231220.5</v>
      </c>
      <c r="E10" s="1">
        <v>231220.5</v>
      </c>
      <c r="F10" s="1">
        <v>231220.5</v>
      </c>
      <c r="G10" s="46">
        <v>231220.5</v>
      </c>
      <c r="H10" s="1">
        <v>231220.5</v>
      </c>
      <c r="I10" s="1">
        <v>231220.5</v>
      </c>
      <c r="J10" s="46">
        <v>231220.5</v>
      </c>
      <c r="K10" s="1">
        <v>231220.5</v>
      </c>
      <c r="L10" s="1">
        <v>231220.5</v>
      </c>
      <c r="M10" s="46">
        <v>231220.5</v>
      </c>
      <c r="N10" s="1">
        <v>231220.5</v>
      </c>
      <c r="O10" s="1">
        <v>231220.5</v>
      </c>
      <c r="P10" s="46">
        <v>231220.5</v>
      </c>
      <c r="Q10" s="1">
        <v>231220.5</v>
      </c>
      <c r="R10" s="1">
        <v>231220.5</v>
      </c>
      <c r="S10" s="46">
        <v>231220.5</v>
      </c>
      <c r="T10" s="1">
        <v>231220.5</v>
      </c>
      <c r="U10" s="1">
        <v>164496.09</v>
      </c>
      <c r="V10" s="46">
        <v>164496.09</v>
      </c>
      <c r="W10" s="1">
        <v>164496.09</v>
      </c>
      <c r="X10" s="1">
        <v>164496.09</v>
      </c>
      <c r="Y10" s="46">
        <v>164496.09</v>
      </c>
      <c r="Z10" s="1">
        <v>112218.83</v>
      </c>
      <c r="AA10" s="1">
        <v>112218.83</v>
      </c>
      <c r="AB10" s="46">
        <v>112218.83</v>
      </c>
      <c r="AC10" s="1">
        <v>112218.83</v>
      </c>
      <c r="AD10" s="1">
        <v>112218.83</v>
      </c>
      <c r="AE10" s="46">
        <v>61267.46</v>
      </c>
      <c r="AF10" s="1">
        <v>61267.46</v>
      </c>
      <c r="AG10" s="1">
        <v>61267.46</v>
      </c>
      <c r="AH10" s="46">
        <v>61267.46</v>
      </c>
      <c r="AI10" s="1">
        <v>61267.46</v>
      </c>
      <c r="AJ10" s="1">
        <v>2788</v>
      </c>
      <c r="AK10" s="46">
        <v>2788</v>
      </c>
      <c r="AL10" s="1">
        <v>2788</v>
      </c>
      <c r="AM10" s="1">
        <v>2788</v>
      </c>
      <c r="AN10" s="46">
        <v>2788</v>
      </c>
      <c r="AO10" s="1">
        <v>2788</v>
      </c>
      <c r="AP10" s="1">
        <v>2788</v>
      </c>
      <c r="AQ10" s="46">
        <v>2788</v>
      </c>
      <c r="AR10" s="1">
        <v>2788</v>
      </c>
      <c r="AS10" s="1">
        <v>2788</v>
      </c>
      <c r="AT10" s="46">
        <v>2788</v>
      </c>
      <c r="AU10" s="1">
        <v>2788</v>
      </c>
      <c r="AV10" s="1">
        <v>2788</v>
      </c>
      <c r="AW10" s="46">
        <v>2788</v>
      </c>
      <c r="AX10" s="1">
        <v>2788</v>
      </c>
      <c r="AY10" s="1">
        <v>2788</v>
      </c>
      <c r="AZ10" s="46">
        <v>2788</v>
      </c>
      <c r="BA10" s="1">
        <v>2788</v>
      </c>
      <c r="BB10" s="1">
        <v>2788</v>
      </c>
      <c r="BC10" s="46">
        <v>2788</v>
      </c>
      <c r="BD10" s="1">
        <v>2788</v>
      </c>
      <c r="BE10" s="1">
        <v>2788</v>
      </c>
      <c r="BF10" s="46">
        <v>2788</v>
      </c>
      <c r="BG10" s="1">
        <v>0</v>
      </c>
      <c r="BH10" s="1">
        <v>0</v>
      </c>
      <c r="BI10" s="46">
        <v>0</v>
      </c>
      <c r="BJ10" s="1">
        <v>0</v>
      </c>
      <c r="BK10" s="1">
        <v>0</v>
      </c>
      <c r="BL10">
        <v>0</v>
      </c>
    </row>
    <row r="11" spans="1:64" ht="15.5" x14ac:dyDescent="0.35">
      <c r="A11" t="s">
        <v>73</v>
      </c>
      <c r="B11" s="1">
        <v>9992.98</v>
      </c>
      <c r="C11" s="1">
        <v>5435.48</v>
      </c>
      <c r="D11" s="46">
        <v>5435.48</v>
      </c>
      <c r="E11" s="1">
        <v>5435.48</v>
      </c>
      <c r="F11" s="1">
        <v>5435.48</v>
      </c>
      <c r="G11" s="46">
        <v>5435.48</v>
      </c>
      <c r="H11" s="1">
        <v>5435.48</v>
      </c>
      <c r="I11" s="1">
        <v>5435.48</v>
      </c>
      <c r="J11" s="46">
        <v>5435.48</v>
      </c>
      <c r="K11" s="1">
        <v>5435.48</v>
      </c>
      <c r="L11" s="1">
        <v>5435.48</v>
      </c>
      <c r="M11" s="46">
        <v>5435.48</v>
      </c>
      <c r="N11" s="1">
        <v>5435.48</v>
      </c>
      <c r="O11" s="1">
        <v>5435.48</v>
      </c>
      <c r="P11" s="46">
        <v>5435.48</v>
      </c>
      <c r="Q11" s="1">
        <v>5435.48</v>
      </c>
      <c r="R11" s="1">
        <v>5005.4799999999996</v>
      </c>
      <c r="S11" s="46">
        <v>5005.4799999999996</v>
      </c>
      <c r="T11" s="1">
        <v>5005.4799999999996</v>
      </c>
      <c r="U11" s="1">
        <v>4560.43</v>
      </c>
      <c r="V11" s="46">
        <v>4560.43</v>
      </c>
      <c r="W11" s="1">
        <v>4560.43</v>
      </c>
      <c r="X11" s="1">
        <v>4560.43</v>
      </c>
      <c r="Y11" s="46">
        <v>4560.43</v>
      </c>
      <c r="Z11" s="1">
        <v>4117.8899999999994</v>
      </c>
      <c r="AA11" s="1">
        <v>4117.8899999999994</v>
      </c>
      <c r="AB11" s="46">
        <v>4117.8899999999994</v>
      </c>
      <c r="AC11" s="1">
        <v>4117.8899999999994</v>
      </c>
      <c r="AD11" s="1">
        <v>4117.8899999999994</v>
      </c>
      <c r="AE11" s="46">
        <v>3675.35</v>
      </c>
      <c r="AF11" s="1">
        <v>3675.35</v>
      </c>
      <c r="AG11" s="1">
        <v>3675.35</v>
      </c>
      <c r="AH11" s="46">
        <v>3675.35</v>
      </c>
      <c r="AI11" s="1">
        <v>3675.35</v>
      </c>
      <c r="AJ11" s="1">
        <v>3232.81</v>
      </c>
      <c r="AK11" s="46">
        <v>3232.81</v>
      </c>
      <c r="AL11" s="1">
        <v>3232.81</v>
      </c>
      <c r="AM11" s="1">
        <v>3232.81</v>
      </c>
      <c r="AN11" s="46">
        <v>2372.81</v>
      </c>
      <c r="AO11" s="1">
        <v>2372.81</v>
      </c>
      <c r="AP11" s="1">
        <v>2372.81</v>
      </c>
      <c r="AQ11" s="46">
        <v>2372.81</v>
      </c>
      <c r="AR11" s="1">
        <v>2372.81</v>
      </c>
      <c r="AS11" s="1">
        <v>2372.81</v>
      </c>
      <c r="AT11" s="46">
        <v>2372.81</v>
      </c>
      <c r="AU11" s="1">
        <v>2372.81</v>
      </c>
      <c r="AV11" s="1">
        <v>2372.81</v>
      </c>
      <c r="AW11" s="46">
        <v>2372.81</v>
      </c>
      <c r="AX11" s="1">
        <v>2372.81</v>
      </c>
      <c r="AY11" s="1">
        <v>2372.81</v>
      </c>
      <c r="AZ11" s="46">
        <v>2372.81</v>
      </c>
      <c r="BA11" s="1">
        <v>2372.81</v>
      </c>
      <c r="BB11" s="1">
        <v>2372.81</v>
      </c>
      <c r="BC11" s="46">
        <v>2372.81</v>
      </c>
      <c r="BD11" s="1">
        <v>2372.81</v>
      </c>
      <c r="BE11" s="1">
        <v>2372.81</v>
      </c>
      <c r="BF11" s="46">
        <v>2372.81</v>
      </c>
      <c r="BG11" s="1">
        <v>0</v>
      </c>
      <c r="BH11" s="1">
        <v>0</v>
      </c>
      <c r="BI11" s="46">
        <v>0</v>
      </c>
      <c r="BJ11" s="1">
        <v>0</v>
      </c>
      <c r="BK11" s="1">
        <v>0</v>
      </c>
      <c r="BL11">
        <v>0</v>
      </c>
    </row>
    <row r="12" spans="1:64" ht="15.5" x14ac:dyDescent="0.35">
      <c r="A12" t="s">
        <v>74</v>
      </c>
      <c r="B12" s="1">
        <v>16833576.780000001</v>
      </c>
      <c r="C12" s="1">
        <v>8989476.2699999996</v>
      </c>
      <c r="D12" s="46">
        <v>8989476.2699999996</v>
      </c>
      <c r="E12" s="1">
        <v>8989476.2699999996</v>
      </c>
      <c r="F12" s="1">
        <v>8989476.2699999996</v>
      </c>
      <c r="G12" s="46">
        <v>8989476.2699999996</v>
      </c>
      <c r="H12" s="1">
        <v>8989476.2699999996</v>
      </c>
      <c r="I12" s="1">
        <v>8989476.2699999996</v>
      </c>
      <c r="J12" s="46">
        <v>8989476.2699999996</v>
      </c>
      <c r="K12" s="1">
        <v>8989476.2699999996</v>
      </c>
      <c r="L12" s="1">
        <v>8989476.2699999996</v>
      </c>
      <c r="M12" s="46">
        <v>8989476.2699999996</v>
      </c>
      <c r="N12" s="1">
        <v>8989476.2699999996</v>
      </c>
      <c r="O12" s="1">
        <v>8989476.2699999996</v>
      </c>
      <c r="P12" s="46">
        <v>8989476.2699999996</v>
      </c>
      <c r="Q12" s="1">
        <v>8989476.2699999996</v>
      </c>
      <c r="R12" s="1">
        <v>7480976.2699999996</v>
      </c>
      <c r="S12" s="46">
        <v>7480976.2699999996</v>
      </c>
      <c r="T12" s="1">
        <v>7480976.2699999996</v>
      </c>
      <c r="U12" s="1">
        <v>6762722.0999999996</v>
      </c>
      <c r="V12" s="46">
        <v>6762722.0999999996</v>
      </c>
      <c r="W12" s="1">
        <v>6762722.0999999996</v>
      </c>
      <c r="X12" s="1">
        <v>6762722.0999999996</v>
      </c>
      <c r="Y12" s="46">
        <v>6762722.0999999996</v>
      </c>
      <c r="Z12" s="1">
        <v>6059776.2699999996</v>
      </c>
      <c r="AA12" s="1">
        <v>6059776.2699999996</v>
      </c>
      <c r="AB12" s="46">
        <v>6059776.2699999996</v>
      </c>
      <c r="AC12" s="1">
        <v>6059776.2699999996</v>
      </c>
      <c r="AD12" s="1">
        <v>6059776.2699999996</v>
      </c>
      <c r="AE12" s="46">
        <v>5356830.4400000004</v>
      </c>
      <c r="AF12" s="1">
        <v>5356830.4400000004</v>
      </c>
      <c r="AG12" s="1">
        <v>5356830.4400000004</v>
      </c>
      <c r="AH12" s="46">
        <v>5356830.4400000004</v>
      </c>
      <c r="AI12" s="1">
        <v>5356830.4400000004</v>
      </c>
      <c r="AJ12" s="1">
        <v>4551549.59</v>
      </c>
      <c r="AK12" s="46">
        <v>4551549.59</v>
      </c>
      <c r="AL12" s="1">
        <v>4551549.59</v>
      </c>
      <c r="AM12" s="1">
        <v>4551549.59</v>
      </c>
      <c r="AN12" s="46">
        <v>451503.01</v>
      </c>
      <c r="AO12" s="1">
        <v>451503.01</v>
      </c>
      <c r="AP12" s="1">
        <v>451503.01</v>
      </c>
      <c r="AQ12" s="46">
        <v>451503.01</v>
      </c>
      <c r="AR12" s="1">
        <v>451503.01</v>
      </c>
      <c r="AS12" s="1">
        <v>451503.01</v>
      </c>
      <c r="AT12" s="46">
        <v>451503.01</v>
      </c>
      <c r="AU12" s="1">
        <v>451503.01</v>
      </c>
      <c r="AV12" s="1">
        <v>451503.01</v>
      </c>
      <c r="AW12" s="46">
        <v>451503.01</v>
      </c>
      <c r="AX12" s="1">
        <v>451503.01</v>
      </c>
      <c r="AY12" s="1">
        <v>451503.01</v>
      </c>
      <c r="AZ12" s="46">
        <v>451503.01</v>
      </c>
      <c r="BA12" s="1">
        <v>451503.01</v>
      </c>
      <c r="BB12" s="1">
        <v>451503.01</v>
      </c>
      <c r="BC12" s="46">
        <v>451503.01</v>
      </c>
      <c r="BD12" s="1">
        <v>451503.01</v>
      </c>
      <c r="BE12" s="1">
        <v>451503.01</v>
      </c>
      <c r="BF12" s="46">
        <v>451503.01</v>
      </c>
      <c r="BG12" s="1">
        <v>0</v>
      </c>
      <c r="BH12" s="1">
        <v>0</v>
      </c>
      <c r="BI12" s="46">
        <v>0</v>
      </c>
      <c r="BJ12" s="1">
        <v>0</v>
      </c>
      <c r="BK12" s="1">
        <v>0</v>
      </c>
      <c r="BL12">
        <v>0</v>
      </c>
    </row>
    <row r="13" spans="1:64" ht="15.5" x14ac:dyDescent="0.35">
      <c r="A13" t="s">
        <v>75</v>
      </c>
      <c r="B13" s="1">
        <v>8148882.9100000011</v>
      </c>
      <c r="C13" s="1">
        <v>6249638.5099999998</v>
      </c>
      <c r="D13" s="46">
        <v>6137837.2599999998</v>
      </c>
      <c r="E13" s="1">
        <v>6026036.0099999998</v>
      </c>
      <c r="F13" s="1">
        <v>5914234.7599999998</v>
      </c>
      <c r="G13" s="46">
        <v>5802433.5099999998</v>
      </c>
      <c r="H13" s="1">
        <v>5690632.2599999998</v>
      </c>
      <c r="I13" s="1">
        <v>5578831.0099999998</v>
      </c>
      <c r="J13" s="46">
        <v>5467029.7599999998</v>
      </c>
      <c r="K13" s="1">
        <v>5355228.51</v>
      </c>
      <c r="L13" s="1">
        <v>5243427.26</v>
      </c>
      <c r="M13" s="46">
        <v>5131626.01</v>
      </c>
      <c r="N13" s="1">
        <v>5019824.76</v>
      </c>
      <c r="O13" s="1">
        <v>4908023.51</v>
      </c>
      <c r="P13" s="46">
        <v>4796222.26</v>
      </c>
      <c r="Q13" s="1">
        <v>4684421.01</v>
      </c>
      <c r="R13" s="1">
        <v>4155198.290000001</v>
      </c>
      <c r="S13" s="46">
        <v>4066259.5700000012</v>
      </c>
      <c r="T13" s="1">
        <v>3977320.850000001</v>
      </c>
      <c r="U13" s="1">
        <v>3516055.4100000011</v>
      </c>
      <c r="V13" s="46">
        <v>3435452.870000001</v>
      </c>
      <c r="W13" s="1">
        <v>3354850.330000001</v>
      </c>
      <c r="X13" s="1">
        <v>3274247.790000001</v>
      </c>
      <c r="Y13" s="46">
        <v>3193645.2500000009</v>
      </c>
      <c r="Z13" s="1">
        <v>2821138.2</v>
      </c>
      <c r="AA13" s="1">
        <v>2749291.01</v>
      </c>
      <c r="AB13" s="46">
        <v>2677443.8199999998</v>
      </c>
      <c r="AC13" s="1">
        <v>2605596.63</v>
      </c>
      <c r="AD13" s="1">
        <v>2533749.44</v>
      </c>
      <c r="AE13" s="46">
        <v>2182564.21</v>
      </c>
      <c r="AF13" s="1">
        <v>2118923.2400000002</v>
      </c>
      <c r="AG13" s="1">
        <v>2055282.27</v>
      </c>
      <c r="AH13" s="46">
        <v>1991641.3</v>
      </c>
      <c r="AI13" s="1">
        <v>1928000.33</v>
      </c>
      <c r="AJ13" s="1">
        <v>1551471.07</v>
      </c>
      <c r="AK13" s="46">
        <v>1496048.16</v>
      </c>
      <c r="AL13" s="1">
        <v>1440625.25</v>
      </c>
      <c r="AM13" s="1">
        <v>1385202.34</v>
      </c>
      <c r="AN13" s="46">
        <v>350068.21</v>
      </c>
      <c r="AO13" s="1">
        <v>347532.34</v>
      </c>
      <c r="AP13" s="1">
        <v>344996.47</v>
      </c>
      <c r="AQ13" s="46">
        <v>342460.6</v>
      </c>
      <c r="AR13" s="1">
        <v>339924.73</v>
      </c>
      <c r="AS13" s="1">
        <v>337388.86</v>
      </c>
      <c r="AT13" s="46">
        <v>334852.99</v>
      </c>
      <c r="AU13" s="1">
        <v>332317.12</v>
      </c>
      <c r="AV13" s="1">
        <v>329781.25</v>
      </c>
      <c r="AW13" s="46">
        <v>327245.38</v>
      </c>
      <c r="AX13" s="1">
        <v>324709.51</v>
      </c>
      <c r="AY13" s="1">
        <v>322173.64</v>
      </c>
      <c r="AZ13" s="46">
        <v>319637.77</v>
      </c>
      <c r="BA13" s="1">
        <v>317101.90000000002</v>
      </c>
      <c r="BB13" s="1">
        <v>314566.03000000003</v>
      </c>
      <c r="BC13" s="46">
        <v>312030.15999999997</v>
      </c>
      <c r="BD13" s="1">
        <v>309494.28999999998</v>
      </c>
      <c r="BE13" s="1">
        <v>306958.42</v>
      </c>
      <c r="BF13" s="46">
        <v>304422.55</v>
      </c>
      <c r="BG13" s="1">
        <v>0</v>
      </c>
      <c r="BH13" s="1">
        <v>0</v>
      </c>
      <c r="BI13" s="46">
        <v>0</v>
      </c>
      <c r="BJ13" s="1">
        <v>0</v>
      </c>
      <c r="BK13" s="1">
        <v>0</v>
      </c>
      <c r="BL13">
        <v>0</v>
      </c>
    </row>
    <row r="14" spans="1:64" ht="15.5" x14ac:dyDescent="0.35">
      <c r="A14" t="s">
        <v>76</v>
      </c>
      <c r="B14" s="1">
        <v>0</v>
      </c>
      <c r="C14" s="1">
        <v>0</v>
      </c>
      <c r="D14" s="46">
        <v>0</v>
      </c>
      <c r="E14" s="1">
        <v>0</v>
      </c>
      <c r="F14" s="1">
        <v>0</v>
      </c>
      <c r="G14" s="46">
        <v>0</v>
      </c>
      <c r="H14" s="1">
        <v>0</v>
      </c>
      <c r="I14" s="1">
        <v>0</v>
      </c>
      <c r="J14" s="46">
        <v>0</v>
      </c>
      <c r="K14" s="1">
        <v>0</v>
      </c>
      <c r="L14" s="1">
        <v>0</v>
      </c>
      <c r="M14" s="46">
        <v>0</v>
      </c>
      <c r="N14" s="1">
        <v>0</v>
      </c>
      <c r="O14" s="1">
        <v>0</v>
      </c>
      <c r="P14" s="46">
        <v>0</v>
      </c>
      <c r="Q14" s="1">
        <v>0</v>
      </c>
      <c r="R14" s="1">
        <v>0</v>
      </c>
      <c r="S14" s="46">
        <v>0</v>
      </c>
      <c r="T14" s="1">
        <v>0</v>
      </c>
      <c r="U14" s="1">
        <v>0</v>
      </c>
      <c r="V14" s="46">
        <v>0</v>
      </c>
      <c r="W14" s="1">
        <v>0</v>
      </c>
      <c r="X14" s="1">
        <v>0</v>
      </c>
      <c r="Y14" s="46">
        <v>0</v>
      </c>
      <c r="Z14" s="1">
        <v>0</v>
      </c>
      <c r="AA14" s="1">
        <v>0</v>
      </c>
      <c r="AB14" s="46">
        <v>0</v>
      </c>
      <c r="AC14" s="1">
        <v>0</v>
      </c>
      <c r="AD14" s="1">
        <v>0</v>
      </c>
      <c r="AE14" s="46">
        <v>0</v>
      </c>
      <c r="AF14" s="1">
        <v>0</v>
      </c>
      <c r="AG14" s="1">
        <v>0</v>
      </c>
      <c r="AH14" s="46">
        <v>0</v>
      </c>
      <c r="AI14" s="1">
        <v>0</v>
      </c>
      <c r="AJ14" s="1">
        <v>0</v>
      </c>
      <c r="AK14" s="46">
        <v>0</v>
      </c>
      <c r="AL14" s="1">
        <v>0</v>
      </c>
      <c r="AM14" s="1">
        <v>0</v>
      </c>
      <c r="AN14" s="46">
        <v>0</v>
      </c>
      <c r="AO14" s="1">
        <v>0</v>
      </c>
      <c r="AP14" s="1">
        <v>0</v>
      </c>
      <c r="AQ14" s="46">
        <v>0</v>
      </c>
      <c r="AR14" s="1">
        <v>0</v>
      </c>
      <c r="AS14" s="1">
        <v>0</v>
      </c>
      <c r="AT14" s="46">
        <v>0</v>
      </c>
      <c r="AU14" s="1">
        <v>0</v>
      </c>
      <c r="AV14" s="1">
        <v>0</v>
      </c>
      <c r="AW14" s="46">
        <v>0</v>
      </c>
      <c r="AX14" s="1">
        <v>0</v>
      </c>
      <c r="AY14" s="1">
        <v>0</v>
      </c>
      <c r="AZ14" s="46">
        <v>0</v>
      </c>
      <c r="BA14" s="1">
        <v>0</v>
      </c>
      <c r="BB14" s="1">
        <v>0</v>
      </c>
      <c r="BC14" s="46">
        <v>0</v>
      </c>
      <c r="BD14" s="1">
        <v>0</v>
      </c>
      <c r="BE14" s="1">
        <v>0</v>
      </c>
      <c r="BF14" s="46">
        <v>0</v>
      </c>
      <c r="BG14" s="1">
        <v>0</v>
      </c>
      <c r="BH14" s="1">
        <v>0</v>
      </c>
      <c r="BI14" s="46">
        <v>0</v>
      </c>
      <c r="BJ14" s="1">
        <v>0</v>
      </c>
      <c r="BK14" s="1">
        <v>0</v>
      </c>
      <c r="BL14">
        <v>0</v>
      </c>
    </row>
    <row r="15" spans="1:64" ht="15.5" x14ac:dyDescent="0.35">
      <c r="A15" t="s">
        <v>77</v>
      </c>
      <c r="B15" s="1">
        <v>0</v>
      </c>
      <c r="C15" s="1">
        <v>12</v>
      </c>
      <c r="D15" s="46">
        <v>0</v>
      </c>
      <c r="E15" s="1">
        <v>0</v>
      </c>
      <c r="F15" s="1">
        <v>0</v>
      </c>
      <c r="G15" s="46">
        <v>0</v>
      </c>
      <c r="H15" s="1">
        <v>0</v>
      </c>
      <c r="I15" s="1">
        <v>0</v>
      </c>
      <c r="J15" s="46">
        <v>0</v>
      </c>
      <c r="K15" s="1">
        <v>0</v>
      </c>
      <c r="L15" s="1">
        <v>0</v>
      </c>
      <c r="M15" s="46">
        <v>0</v>
      </c>
      <c r="N15" s="1">
        <v>0</v>
      </c>
      <c r="O15" s="1">
        <v>0</v>
      </c>
      <c r="P15" s="46">
        <v>0</v>
      </c>
      <c r="Q15" s="1">
        <v>0</v>
      </c>
      <c r="R15" s="1">
        <v>0</v>
      </c>
      <c r="S15" s="46">
        <v>0</v>
      </c>
      <c r="T15" s="1">
        <v>0</v>
      </c>
      <c r="U15" s="1">
        <v>1</v>
      </c>
      <c r="V15" s="46">
        <v>0</v>
      </c>
      <c r="W15" s="1">
        <v>0</v>
      </c>
      <c r="X15" s="1">
        <v>0</v>
      </c>
      <c r="Y15" s="46">
        <v>0</v>
      </c>
      <c r="Z15" s="1">
        <v>1</v>
      </c>
      <c r="AA15" s="1">
        <v>0</v>
      </c>
      <c r="AB15" s="46">
        <v>0</v>
      </c>
      <c r="AC15" s="1">
        <v>0</v>
      </c>
      <c r="AD15" s="1">
        <v>0</v>
      </c>
      <c r="AE15" s="46">
        <v>1</v>
      </c>
      <c r="AF15" s="1">
        <v>0</v>
      </c>
      <c r="AG15" s="1">
        <v>0</v>
      </c>
      <c r="AH15" s="46">
        <v>0</v>
      </c>
      <c r="AI15" s="1">
        <v>0</v>
      </c>
      <c r="AJ15" s="1">
        <v>1</v>
      </c>
      <c r="AK15" s="46">
        <v>0</v>
      </c>
      <c r="AL15" s="1">
        <v>0</v>
      </c>
      <c r="AM15" s="1">
        <v>0</v>
      </c>
      <c r="AN15" s="46">
        <v>0</v>
      </c>
      <c r="AO15" s="1">
        <v>0</v>
      </c>
      <c r="AP15" s="1">
        <v>0</v>
      </c>
      <c r="AQ15" s="46">
        <v>0</v>
      </c>
      <c r="AR15" s="1">
        <v>0</v>
      </c>
      <c r="AS15" s="1">
        <v>0</v>
      </c>
      <c r="AT15" s="46">
        <v>0</v>
      </c>
      <c r="AU15" s="1">
        <v>0</v>
      </c>
      <c r="AV15" s="1">
        <v>0</v>
      </c>
      <c r="AW15" s="46">
        <v>0</v>
      </c>
      <c r="AX15" s="1">
        <v>0</v>
      </c>
      <c r="AY15" s="1">
        <v>0</v>
      </c>
      <c r="AZ15" s="46">
        <v>0</v>
      </c>
      <c r="BA15" s="1">
        <v>0</v>
      </c>
      <c r="BB15" s="1">
        <v>0</v>
      </c>
      <c r="BC15" s="46">
        <v>0</v>
      </c>
      <c r="BD15" s="1">
        <v>0</v>
      </c>
      <c r="BE15" s="1">
        <v>0</v>
      </c>
      <c r="BF15" s="46">
        <v>0</v>
      </c>
      <c r="BG15" s="1">
        <v>0</v>
      </c>
      <c r="BH15" s="1">
        <v>0</v>
      </c>
      <c r="BI15" s="46">
        <v>0</v>
      </c>
      <c r="BJ15" s="1">
        <v>0</v>
      </c>
      <c r="BK15" s="1">
        <v>0</v>
      </c>
      <c r="BL15">
        <v>0</v>
      </c>
    </row>
    <row r="16" spans="1:64" ht="15.5" x14ac:dyDescent="0.35">
      <c r="A16" t="s">
        <v>78</v>
      </c>
      <c r="B16" s="1">
        <v>0</v>
      </c>
      <c r="C16" s="1">
        <v>0</v>
      </c>
      <c r="D16" s="46">
        <v>0</v>
      </c>
      <c r="E16" s="1">
        <v>0</v>
      </c>
      <c r="F16" s="1">
        <v>0</v>
      </c>
      <c r="G16" s="46">
        <v>0</v>
      </c>
      <c r="H16" s="1">
        <v>0</v>
      </c>
      <c r="I16" s="1">
        <v>0</v>
      </c>
      <c r="J16" s="46">
        <v>0</v>
      </c>
      <c r="K16" s="1">
        <v>0</v>
      </c>
      <c r="L16" s="1">
        <v>0</v>
      </c>
      <c r="M16" s="46">
        <v>0</v>
      </c>
      <c r="N16" s="1">
        <v>0</v>
      </c>
      <c r="O16" s="1">
        <v>0</v>
      </c>
      <c r="P16" s="46">
        <v>0</v>
      </c>
      <c r="Q16" s="1">
        <v>0</v>
      </c>
      <c r="R16" s="1">
        <v>3</v>
      </c>
      <c r="S16" s="46">
        <v>0</v>
      </c>
      <c r="T16" s="1">
        <v>0</v>
      </c>
      <c r="U16" s="1">
        <v>0</v>
      </c>
      <c r="V16" s="46">
        <v>0</v>
      </c>
      <c r="W16" s="1">
        <v>0</v>
      </c>
      <c r="X16" s="1">
        <v>0</v>
      </c>
      <c r="Y16" s="46">
        <v>0</v>
      </c>
      <c r="Z16" s="1">
        <v>0</v>
      </c>
      <c r="AA16" s="1">
        <v>0</v>
      </c>
      <c r="AB16" s="46">
        <v>0</v>
      </c>
      <c r="AC16" s="1">
        <v>0</v>
      </c>
      <c r="AD16" s="1">
        <v>0</v>
      </c>
      <c r="AE16" s="46">
        <v>0</v>
      </c>
      <c r="AF16" s="1">
        <v>0</v>
      </c>
      <c r="AG16" s="1">
        <v>0</v>
      </c>
      <c r="AH16" s="46">
        <v>0</v>
      </c>
      <c r="AI16" s="1">
        <v>0</v>
      </c>
      <c r="AJ16" s="1">
        <v>0</v>
      </c>
      <c r="AK16" s="46">
        <v>0</v>
      </c>
      <c r="AL16" s="1">
        <v>0</v>
      </c>
      <c r="AM16" s="1">
        <v>0</v>
      </c>
      <c r="AN16" s="46">
        <v>6</v>
      </c>
      <c r="AO16" s="1">
        <v>0</v>
      </c>
      <c r="AP16" s="1">
        <v>0</v>
      </c>
      <c r="AQ16" s="46">
        <v>0</v>
      </c>
      <c r="AR16" s="1">
        <v>0</v>
      </c>
      <c r="AS16" s="1">
        <v>0</v>
      </c>
      <c r="AT16" s="46">
        <v>0</v>
      </c>
      <c r="AU16" s="1">
        <v>0</v>
      </c>
      <c r="AV16" s="1">
        <v>0</v>
      </c>
      <c r="AW16" s="46">
        <v>0</v>
      </c>
      <c r="AX16" s="1">
        <v>0</v>
      </c>
      <c r="AY16" s="1">
        <v>0</v>
      </c>
      <c r="AZ16" s="46">
        <v>0</v>
      </c>
      <c r="BA16" s="1">
        <v>0</v>
      </c>
      <c r="BB16" s="1">
        <v>0</v>
      </c>
      <c r="BC16" s="46">
        <v>0</v>
      </c>
      <c r="BD16" s="1">
        <v>0</v>
      </c>
      <c r="BE16" s="1">
        <v>0</v>
      </c>
      <c r="BF16" s="46">
        <v>0</v>
      </c>
      <c r="BG16" s="1">
        <v>0</v>
      </c>
      <c r="BH16" s="1">
        <v>0</v>
      </c>
      <c r="BI16" s="46">
        <v>0</v>
      </c>
      <c r="BJ16" s="1">
        <v>0</v>
      </c>
      <c r="BK16" s="1">
        <v>0</v>
      </c>
      <c r="BL16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L16"/>
  <sheetViews>
    <sheetView workbookViewId="0">
      <selection sqref="A1:XFD1048576"/>
    </sheetView>
  </sheetViews>
  <sheetFormatPr defaultRowHeight="14.5" x14ac:dyDescent="0.35"/>
  <cols>
    <col min="1" max="1" width="13" bestFit="1" customWidth="1"/>
    <col min="2" max="3" width="13" hidden="1" bestFit="1" customWidth="1"/>
    <col min="4" max="4" width="13" bestFit="1" customWidth="1"/>
    <col min="5" max="6" width="13" hidden="1" bestFit="1" customWidth="1"/>
    <col min="7" max="7" width="13" bestFit="1" customWidth="1"/>
    <col min="8" max="9" width="13" hidden="1" bestFit="1" customWidth="1"/>
    <col min="10" max="10" width="13" bestFit="1" customWidth="1"/>
    <col min="11" max="12" width="13" hidden="1" bestFit="1" customWidth="1"/>
    <col min="13" max="13" width="13" bestFit="1" customWidth="1"/>
    <col min="14" max="15" width="13" hidden="1" bestFit="1" customWidth="1"/>
    <col min="16" max="16" width="13" bestFit="1" customWidth="1"/>
    <col min="17" max="18" width="13" hidden="1" bestFit="1" customWidth="1"/>
    <col min="19" max="19" width="13" bestFit="1" customWidth="1"/>
    <col min="20" max="21" width="13" hidden="1" bestFit="1" customWidth="1"/>
    <col min="22" max="22" width="13" bestFit="1" customWidth="1"/>
    <col min="23" max="24" width="13" hidden="1" bestFit="1" customWidth="1"/>
    <col min="25" max="25" width="13" bestFit="1" customWidth="1"/>
    <col min="26" max="27" width="13" hidden="1" bestFit="1" customWidth="1"/>
    <col min="28" max="28" width="13" bestFit="1" customWidth="1"/>
    <col min="29" max="30" width="13" hidden="1" bestFit="1" customWidth="1"/>
    <col min="31" max="31" width="13" bestFit="1" customWidth="1"/>
    <col min="32" max="33" width="13" hidden="1" bestFit="1" customWidth="1"/>
    <col min="34" max="34" width="13" bestFit="1" customWidth="1"/>
    <col min="35" max="36" width="13" hidden="1" bestFit="1" customWidth="1"/>
    <col min="37" max="37" width="13" bestFit="1" customWidth="1"/>
    <col min="38" max="39" width="13" hidden="1" bestFit="1" customWidth="1"/>
    <col min="40" max="40" width="13" bestFit="1" customWidth="1"/>
    <col min="41" max="42" width="13" hidden="1" bestFit="1" customWidth="1"/>
    <col min="43" max="43" width="13" bestFit="1" customWidth="1"/>
    <col min="44" max="45" width="13" hidden="1" bestFit="1" customWidth="1"/>
    <col min="46" max="46" width="13" bestFit="1" customWidth="1"/>
    <col min="47" max="48" width="13" hidden="1" bestFit="1" customWidth="1"/>
    <col min="49" max="49" width="13" bestFit="1" customWidth="1"/>
    <col min="50" max="51" width="13" hidden="1" bestFit="1" customWidth="1"/>
    <col min="52" max="52" width="13" bestFit="1" customWidth="1"/>
    <col min="53" max="54" width="13" hidden="1" bestFit="1" customWidth="1"/>
    <col min="55" max="55" width="13" bestFit="1" customWidth="1"/>
    <col min="56" max="57" width="13" hidden="1" bestFit="1" customWidth="1"/>
    <col min="58" max="58" width="13" bestFit="1" customWidth="1"/>
    <col min="59" max="60" width="13" hidden="1" bestFit="1" customWidth="1"/>
    <col min="61" max="61" width="13" bestFit="1" customWidth="1"/>
    <col min="62" max="62" width="13" hidden="1" bestFit="1" customWidth="1"/>
  </cols>
  <sheetData>
    <row r="1" spans="1:64" x14ac:dyDescent="0.35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t="s">
        <v>5</v>
      </c>
      <c r="G1" s="16" t="s">
        <v>6</v>
      </c>
      <c r="H1" t="s">
        <v>7</v>
      </c>
      <c r="I1" t="s">
        <v>8</v>
      </c>
      <c r="J1" s="16" t="s">
        <v>9</v>
      </c>
      <c r="K1" t="s">
        <v>10</v>
      </c>
      <c r="L1" t="s">
        <v>11</v>
      </c>
      <c r="M1" s="16" t="s">
        <v>12</v>
      </c>
      <c r="N1" t="s">
        <v>13</v>
      </c>
      <c r="O1" t="s">
        <v>14</v>
      </c>
      <c r="P1" s="16" t="s">
        <v>15</v>
      </c>
      <c r="Q1" t="s">
        <v>16</v>
      </c>
      <c r="R1" t="s">
        <v>17</v>
      </c>
      <c r="S1" s="16" t="s">
        <v>18</v>
      </c>
      <c r="T1" t="s">
        <v>19</v>
      </c>
      <c r="U1" t="s">
        <v>20</v>
      </c>
      <c r="V1" s="16" t="s">
        <v>21</v>
      </c>
      <c r="W1" t="s">
        <v>22</v>
      </c>
      <c r="X1" t="s">
        <v>23</v>
      </c>
      <c r="Y1" s="16" t="s">
        <v>24</v>
      </c>
      <c r="Z1" t="s">
        <v>25</v>
      </c>
      <c r="AA1" t="s">
        <v>26</v>
      </c>
      <c r="AB1" s="16" t="s">
        <v>27</v>
      </c>
      <c r="AC1" t="s">
        <v>28</v>
      </c>
      <c r="AD1" t="s">
        <v>29</v>
      </c>
      <c r="AE1" s="16" t="s">
        <v>30</v>
      </c>
      <c r="AF1" t="s">
        <v>31</v>
      </c>
      <c r="AG1" t="s">
        <v>32</v>
      </c>
      <c r="AH1" s="16" t="s">
        <v>33</v>
      </c>
      <c r="AI1" t="s">
        <v>34</v>
      </c>
      <c r="AJ1" t="s">
        <v>35</v>
      </c>
      <c r="AK1" s="16" t="s">
        <v>36</v>
      </c>
      <c r="AL1" t="s">
        <v>37</v>
      </c>
      <c r="AM1" t="s">
        <v>38</v>
      </c>
      <c r="AN1" s="16" t="s">
        <v>39</v>
      </c>
      <c r="AO1" t="s">
        <v>40</v>
      </c>
      <c r="AP1" t="s">
        <v>41</v>
      </c>
      <c r="AQ1" s="16" t="s">
        <v>42</v>
      </c>
      <c r="AR1" t="s">
        <v>43</v>
      </c>
      <c r="AS1" t="s">
        <v>44</v>
      </c>
      <c r="AT1" s="16" t="s">
        <v>45</v>
      </c>
      <c r="AU1" t="s">
        <v>46</v>
      </c>
      <c r="AV1" t="s">
        <v>47</v>
      </c>
      <c r="AW1" s="16" t="s">
        <v>48</v>
      </c>
      <c r="AX1" t="s">
        <v>49</v>
      </c>
      <c r="AY1" t="s">
        <v>50</v>
      </c>
      <c r="AZ1" s="16" t="s">
        <v>51</v>
      </c>
      <c r="BA1" t="s">
        <v>52</v>
      </c>
      <c r="BB1" t="s">
        <v>53</v>
      </c>
      <c r="BC1" s="16" t="s">
        <v>54</v>
      </c>
      <c r="BD1" t="s">
        <v>55</v>
      </c>
      <c r="BE1" t="s">
        <v>56</v>
      </c>
      <c r="BF1" s="16" t="s">
        <v>57</v>
      </c>
      <c r="BG1" t="s">
        <v>58</v>
      </c>
      <c r="BH1" t="s">
        <v>59</v>
      </c>
      <c r="BI1" s="16" t="s">
        <v>60</v>
      </c>
      <c r="BJ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1">
        <v>0</v>
      </c>
      <c r="C2" s="1">
        <v>0</v>
      </c>
      <c r="D2" s="46">
        <v>0</v>
      </c>
      <c r="E2" s="1">
        <v>0</v>
      </c>
      <c r="F2" s="1">
        <v>0</v>
      </c>
      <c r="G2" s="46">
        <v>0</v>
      </c>
      <c r="H2" s="1">
        <v>0</v>
      </c>
      <c r="I2" s="1">
        <v>0</v>
      </c>
      <c r="J2" s="46">
        <v>0</v>
      </c>
      <c r="K2" s="1">
        <v>0</v>
      </c>
      <c r="L2" s="1">
        <v>0</v>
      </c>
      <c r="M2" s="46">
        <v>0</v>
      </c>
      <c r="N2" s="1">
        <v>0</v>
      </c>
      <c r="O2" s="1">
        <v>0</v>
      </c>
      <c r="P2" s="46">
        <v>0</v>
      </c>
      <c r="Q2" s="1">
        <v>0</v>
      </c>
      <c r="R2" s="1">
        <v>0</v>
      </c>
      <c r="S2" s="46">
        <v>0</v>
      </c>
      <c r="T2" s="1">
        <v>0</v>
      </c>
      <c r="U2" s="1">
        <v>0</v>
      </c>
      <c r="V2" s="46">
        <v>0</v>
      </c>
      <c r="W2" s="1">
        <v>0</v>
      </c>
      <c r="X2" s="1">
        <v>0</v>
      </c>
      <c r="Y2" s="46">
        <v>0</v>
      </c>
      <c r="Z2" s="1">
        <v>0</v>
      </c>
      <c r="AA2" s="1">
        <v>0</v>
      </c>
      <c r="AB2" s="46">
        <v>0</v>
      </c>
      <c r="AC2" s="1">
        <v>0</v>
      </c>
      <c r="AD2" s="1">
        <v>0</v>
      </c>
      <c r="AE2" s="46">
        <v>0</v>
      </c>
      <c r="AF2" s="1">
        <v>0</v>
      </c>
      <c r="AG2" s="1">
        <v>0</v>
      </c>
      <c r="AH2" s="46">
        <v>0</v>
      </c>
      <c r="AI2" s="1">
        <v>0</v>
      </c>
      <c r="AJ2" s="1">
        <v>0</v>
      </c>
      <c r="AK2" s="46">
        <v>0</v>
      </c>
      <c r="AL2" s="1">
        <v>0</v>
      </c>
      <c r="AM2" s="1">
        <v>0</v>
      </c>
      <c r="AN2" s="46">
        <v>0</v>
      </c>
      <c r="AO2" s="1">
        <v>0</v>
      </c>
      <c r="AP2" s="1">
        <v>0</v>
      </c>
      <c r="AQ2" s="46">
        <v>0</v>
      </c>
      <c r="AR2" s="1">
        <v>0</v>
      </c>
      <c r="AS2" s="1">
        <v>0</v>
      </c>
      <c r="AT2" s="46">
        <v>0</v>
      </c>
      <c r="AU2" s="1">
        <v>0</v>
      </c>
      <c r="AV2" s="1">
        <v>0</v>
      </c>
      <c r="AW2" s="46">
        <v>0</v>
      </c>
      <c r="AX2" s="1">
        <v>0</v>
      </c>
      <c r="AY2" s="1">
        <v>0</v>
      </c>
      <c r="AZ2" s="46">
        <v>0</v>
      </c>
      <c r="BA2" s="1">
        <v>0</v>
      </c>
      <c r="BB2" s="1">
        <v>0</v>
      </c>
      <c r="BC2" s="46">
        <v>0</v>
      </c>
      <c r="BD2" s="1">
        <v>0</v>
      </c>
      <c r="BE2" s="1">
        <v>0</v>
      </c>
      <c r="BF2" s="46">
        <v>0</v>
      </c>
      <c r="BG2" s="1">
        <v>0</v>
      </c>
      <c r="BH2" s="1">
        <v>0</v>
      </c>
      <c r="BI2" s="46">
        <v>0</v>
      </c>
      <c r="BJ2" s="1">
        <v>0</v>
      </c>
      <c r="BK2" s="1">
        <v>0</v>
      </c>
      <c r="BL2">
        <v>0</v>
      </c>
    </row>
    <row r="3" spans="1:64" ht="15.5" x14ac:dyDescent="0.35">
      <c r="A3" t="s">
        <v>65</v>
      </c>
      <c r="B3" s="1">
        <v>0</v>
      </c>
      <c r="C3" s="1">
        <v>0</v>
      </c>
      <c r="D3" s="46">
        <v>0</v>
      </c>
      <c r="E3" s="1">
        <v>0</v>
      </c>
      <c r="F3" s="1">
        <v>0</v>
      </c>
      <c r="G3" s="46">
        <v>0</v>
      </c>
      <c r="H3" s="1">
        <v>0</v>
      </c>
      <c r="I3" s="1">
        <v>0</v>
      </c>
      <c r="J3" s="46">
        <v>0</v>
      </c>
      <c r="K3" s="1">
        <v>0</v>
      </c>
      <c r="L3" s="1">
        <v>0</v>
      </c>
      <c r="M3" s="46">
        <v>0</v>
      </c>
      <c r="N3" s="1">
        <v>0</v>
      </c>
      <c r="O3" s="1">
        <v>0</v>
      </c>
      <c r="P3" s="46">
        <v>0</v>
      </c>
      <c r="Q3" s="1">
        <v>0</v>
      </c>
      <c r="R3" s="1">
        <v>0</v>
      </c>
      <c r="S3" s="46">
        <v>0</v>
      </c>
      <c r="T3" s="1">
        <v>0</v>
      </c>
      <c r="U3" s="1">
        <v>0</v>
      </c>
      <c r="V3" s="46">
        <v>0</v>
      </c>
      <c r="W3" s="1">
        <v>0</v>
      </c>
      <c r="X3" s="1">
        <v>0</v>
      </c>
      <c r="Y3" s="46">
        <v>0</v>
      </c>
      <c r="Z3" s="1">
        <v>0</v>
      </c>
      <c r="AA3" s="1">
        <v>0</v>
      </c>
      <c r="AB3" s="46">
        <v>0</v>
      </c>
      <c r="AC3" s="1">
        <v>0</v>
      </c>
      <c r="AD3" s="1">
        <v>0</v>
      </c>
      <c r="AE3" s="46">
        <v>0</v>
      </c>
      <c r="AF3" s="1">
        <v>0</v>
      </c>
      <c r="AG3" s="1">
        <v>0</v>
      </c>
      <c r="AH3" s="46">
        <v>0</v>
      </c>
      <c r="AI3" s="1">
        <v>0</v>
      </c>
      <c r="AJ3" s="1">
        <v>0</v>
      </c>
      <c r="AK3" s="46">
        <v>0</v>
      </c>
      <c r="AL3" s="1">
        <v>0</v>
      </c>
      <c r="AM3" s="1">
        <v>0</v>
      </c>
      <c r="AN3" s="46">
        <v>0</v>
      </c>
      <c r="AO3" s="1">
        <v>0</v>
      </c>
      <c r="AP3" s="1">
        <v>0</v>
      </c>
      <c r="AQ3" s="46">
        <v>0</v>
      </c>
      <c r="AR3" s="1">
        <v>0</v>
      </c>
      <c r="AS3" s="1">
        <v>0</v>
      </c>
      <c r="AT3" s="46">
        <v>0</v>
      </c>
      <c r="AU3" s="1">
        <v>0</v>
      </c>
      <c r="AV3" s="1">
        <v>0</v>
      </c>
      <c r="AW3" s="46">
        <v>0</v>
      </c>
      <c r="AX3" s="1">
        <v>0</v>
      </c>
      <c r="AY3" s="1">
        <v>0</v>
      </c>
      <c r="AZ3" s="46">
        <v>0</v>
      </c>
      <c r="BA3" s="1">
        <v>0</v>
      </c>
      <c r="BB3" s="1">
        <v>0</v>
      </c>
      <c r="BC3" s="46">
        <v>0</v>
      </c>
      <c r="BD3" s="1">
        <v>0</v>
      </c>
      <c r="BE3" s="1">
        <v>0</v>
      </c>
      <c r="BF3" s="46">
        <v>0</v>
      </c>
      <c r="BG3" s="1">
        <v>0</v>
      </c>
      <c r="BH3" s="1">
        <v>0</v>
      </c>
      <c r="BI3" s="46">
        <v>0</v>
      </c>
      <c r="BJ3" s="1">
        <v>0</v>
      </c>
      <c r="BK3" s="1">
        <v>0</v>
      </c>
      <c r="BL3">
        <v>0</v>
      </c>
    </row>
    <row r="4" spans="1:64" ht="15.5" x14ac:dyDescent="0.35">
      <c r="A4" t="s">
        <v>66</v>
      </c>
      <c r="B4" s="1">
        <v>9</v>
      </c>
      <c r="C4" s="1">
        <v>9</v>
      </c>
      <c r="D4" s="46">
        <v>9</v>
      </c>
      <c r="E4" s="1">
        <v>9</v>
      </c>
      <c r="F4" s="1">
        <v>9</v>
      </c>
      <c r="G4" s="46">
        <v>9</v>
      </c>
      <c r="H4" s="1">
        <v>9</v>
      </c>
      <c r="I4" s="1">
        <v>9</v>
      </c>
      <c r="J4" s="46">
        <v>9</v>
      </c>
      <c r="K4" s="1">
        <v>9</v>
      </c>
      <c r="L4" s="1">
        <v>9</v>
      </c>
      <c r="M4" s="46">
        <v>9</v>
      </c>
      <c r="N4" s="1">
        <v>9</v>
      </c>
      <c r="O4" s="1">
        <v>9</v>
      </c>
      <c r="P4" s="46">
        <v>9</v>
      </c>
      <c r="Q4" s="1">
        <v>9</v>
      </c>
      <c r="R4" s="1">
        <v>9</v>
      </c>
      <c r="S4" s="46">
        <v>9</v>
      </c>
      <c r="T4" s="1">
        <v>9</v>
      </c>
      <c r="U4" s="1">
        <v>9</v>
      </c>
      <c r="V4" s="46">
        <v>9</v>
      </c>
      <c r="W4" s="1">
        <v>9</v>
      </c>
      <c r="X4" s="1">
        <v>9</v>
      </c>
      <c r="Y4" s="46">
        <v>9</v>
      </c>
      <c r="Z4" s="1">
        <v>9</v>
      </c>
      <c r="AA4" s="1">
        <v>8</v>
      </c>
      <c r="AB4" s="46">
        <v>8</v>
      </c>
      <c r="AC4" s="1">
        <v>8</v>
      </c>
      <c r="AD4" s="1">
        <v>8</v>
      </c>
      <c r="AE4" s="46">
        <v>8</v>
      </c>
      <c r="AF4" s="1">
        <v>8</v>
      </c>
      <c r="AG4" s="1">
        <v>8</v>
      </c>
      <c r="AH4" s="46">
        <v>8</v>
      </c>
      <c r="AI4" s="1">
        <v>7</v>
      </c>
      <c r="AJ4" s="1">
        <v>7</v>
      </c>
      <c r="AK4" s="46">
        <v>7</v>
      </c>
      <c r="AL4" s="1">
        <v>6</v>
      </c>
      <c r="AM4" s="1">
        <v>6</v>
      </c>
      <c r="AN4" s="46">
        <v>6</v>
      </c>
      <c r="AO4" s="1">
        <v>6</v>
      </c>
      <c r="AP4" s="1">
        <v>6</v>
      </c>
      <c r="AQ4" s="46">
        <v>6</v>
      </c>
      <c r="AR4" s="1">
        <v>6</v>
      </c>
      <c r="AS4" s="1">
        <v>6</v>
      </c>
      <c r="AT4" s="46">
        <v>6</v>
      </c>
      <c r="AU4" s="1">
        <v>6</v>
      </c>
      <c r="AV4" s="1">
        <v>6</v>
      </c>
      <c r="AW4" s="46">
        <v>6</v>
      </c>
      <c r="AX4" s="1">
        <v>6</v>
      </c>
      <c r="AY4" s="1">
        <v>6</v>
      </c>
      <c r="AZ4" s="46">
        <v>6</v>
      </c>
      <c r="BA4" s="1">
        <v>6</v>
      </c>
      <c r="BB4" s="1">
        <v>6</v>
      </c>
      <c r="BC4" s="46">
        <v>6</v>
      </c>
      <c r="BD4" s="1">
        <v>5</v>
      </c>
      <c r="BE4" s="1">
        <v>5</v>
      </c>
      <c r="BF4" s="46">
        <v>5</v>
      </c>
      <c r="BG4" s="1">
        <v>4</v>
      </c>
      <c r="BH4" s="1">
        <v>3</v>
      </c>
      <c r="BI4" s="46">
        <v>0</v>
      </c>
      <c r="BJ4" s="1">
        <v>0</v>
      </c>
      <c r="BK4" s="1">
        <v>0</v>
      </c>
      <c r="BL4">
        <v>0</v>
      </c>
    </row>
    <row r="5" spans="1:64" ht="15.5" x14ac:dyDescent="0.35">
      <c r="A5" t="s">
        <v>67</v>
      </c>
      <c r="B5" s="1">
        <v>150718.92000000001</v>
      </c>
      <c r="C5" s="1">
        <v>150718.92000000001</v>
      </c>
      <c r="D5" s="46">
        <v>150718.92000000001</v>
      </c>
      <c r="E5" s="1">
        <v>150718.92000000001</v>
      </c>
      <c r="F5" s="1">
        <v>150718.92000000001</v>
      </c>
      <c r="G5" s="46">
        <v>150718.92000000001</v>
      </c>
      <c r="H5" s="1">
        <v>150718.92000000001</v>
      </c>
      <c r="I5" s="1">
        <v>150718.92000000001</v>
      </c>
      <c r="J5" s="46">
        <v>150718.92000000001</v>
      </c>
      <c r="K5" s="1">
        <v>150718.92000000001</v>
      </c>
      <c r="L5" s="1">
        <v>150718.92000000001</v>
      </c>
      <c r="M5" s="46">
        <v>150718.92000000001</v>
      </c>
      <c r="N5" s="1">
        <v>150718.92000000001</v>
      </c>
      <c r="O5" s="1">
        <v>150718.92000000001</v>
      </c>
      <c r="P5" s="46">
        <v>150718.92000000001</v>
      </c>
      <c r="Q5" s="1">
        <v>150718.92000000001</v>
      </c>
      <c r="R5" s="1">
        <v>150718.92000000001</v>
      </c>
      <c r="S5" s="46">
        <v>150718.92000000001</v>
      </c>
      <c r="T5" s="1">
        <v>150718.92000000001</v>
      </c>
      <c r="U5" s="1">
        <v>150718.92000000001</v>
      </c>
      <c r="V5" s="46">
        <v>150718.92000000001</v>
      </c>
      <c r="W5" s="1">
        <v>150718.92000000001</v>
      </c>
      <c r="X5" s="1">
        <v>150718.92000000001</v>
      </c>
      <c r="Y5" s="46">
        <v>150718.92000000001</v>
      </c>
      <c r="Z5" s="1">
        <v>150718.92000000001</v>
      </c>
      <c r="AA5" s="1">
        <v>120063.5</v>
      </c>
      <c r="AB5" s="46">
        <v>120063.5</v>
      </c>
      <c r="AC5" s="1">
        <v>120063.5</v>
      </c>
      <c r="AD5" s="1">
        <v>120063.5</v>
      </c>
      <c r="AE5" s="46">
        <v>120063.5</v>
      </c>
      <c r="AF5" s="1">
        <v>120063.5</v>
      </c>
      <c r="AG5" s="1">
        <v>120063.5</v>
      </c>
      <c r="AH5" s="46">
        <v>120063.5</v>
      </c>
      <c r="AI5" s="1">
        <v>112818.8</v>
      </c>
      <c r="AJ5" s="1">
        <v>112818.8</v>
      </c>
      <c r="AK5" s="46">
        <v>112818.8</v>
      </c>
      <c r="AL5" s="1">
        <v>104055.85</v>
      </c>
      <c r="AM5" s="1">
        <v>104055.85</v>
      </c>
      <c r="AN5" s="46">
        <v>104055.85</v>
      </c>
      <c r="AO5" s="1">
        <v>104055.85</v>
      </c>
      <c r="AP5" s="1">
        <v>104055.85</v>
      </c>
      <c r="AQ5" s="46">
        <v>104055.85</v>
      </c>
      <c r="AR5" s="1">
        <v>104055.85</v>
      </c>
      <c r="AS5" s="1">
        <v>104055.85</v>
      </c>
      <c r="AT5" s="46">
        <v>104055.85</v>
      </c>
      <c r="AU5" s="1">
        <v>104055.85</v>
      </c>
      <c r="AV5" s="1">
        <v>104055.85</v>
      </c>
      <c r="AW5" s="46">
        <v>104055.85</v>
      </c>
      <c r="AX5" s="1">
        <v>104055.85</v>
      </c>
      <c r="AY5" s="1">
        <v>104055.85</v>
      </c>
      <c r="AZ5" s="46">
        <v>104055.85</v>
      </c>
      <c r="BA5" s="1">
        <v>104055.85</v>
      </c>
      <c r="BB5" s="1">
        <v>104055.85</v>
      </c>
      <c r="BC5" s="46">
        <v>104055.85</v>
      </c>
      <c r="BD5" s="1">
        <v>92453.67</v>
      </c>
      <c r="BE5" s="1">
        <v>92453.67</v>
      </c>
      <c r="BF5" s="46">
        <v>92453.67</v>
      </c>
      <c r="BG5" s="1">
        <v>71410.760000000009</v>
      </c>
      <c r="BH5" s="1">
        <v>60243.86</v>
      </c>
      <c r="BI5" s="46">
        <v>0</v>
      </c>
      <c r="BJ5" s="1">
        <v>0</v>
      </c>
      <c r="BK5" s="1">
        <v>0</v>
      </c>
      <c r="BL5">
        <v>0</v>
      </c>
    </row>
    <row r="6" spans="1:64" ht="15.5" x14ac:dyDescent="0.35">
      <c r="A6" t="s">
        <v>68</v>
      </c>
      <c r="B6" s="1">
        <v>59074.53</v>
      </c>
      <c r="C6" s="1">
        <v>59074.53</v>
      </c>
      <c r="D6" s="46">
        <v>59074.53</v>
      </c>
      <c r="E6" s="1">
        <v>59074.53</v>
      </c>
      <c r="F6" s="1">
        <v>59074.53</v>
      </c>
      <c r="G6" s="46">
        <v>59074.53</v>
      </c>
      <c r="H6" s="1">
        <v>59074.53</v>
      </c>
      <c r="I6" s="1">
        <v>59074.53</v>
      </c>
      <c r="J6" s="46">
        <v>59074.53</v>
      </c>
      <c r="K6" s="1">
        <v>59074.53</v>
      </c>
      <c r="L6" s="1">
        <v>59074.53</v>
      </c>
      <c r="M6" s="46">
        <v>59074.53</v>
      </c>
      <c r="N6" s="1">
        <v>59074.53</v>
      </c>
      <c r="O6" s="1">
        <v>59074.53</v>
      </c>
      <c r="P6" s="46">
        <v>59074.53</v>
      </c>
      <c r="Q6" s="1">
        <v>59074.53</v>
      </c>
      <c r="R6" s="1">
        <v>59074.53</v>
      </c>
      <c r="S6" s="46">
        <v>59074.53</v>
      </c>
      <c r="T6" s="1">
        <v>59074.53</v>
      </c>
      <c r="U6" s="1">
        <v>59074.53</v>
      </c>
      <c r="V6" s="46">
        <v>59074.53</v>
      </c>
      <c r="W6" s="1">
        <v>59074.53</v>
      </c>
      <c r="X6" s="1">
        <v>59074.53</v>
      </c>
      <c r="Y6" s="46">
        <v>59074.53</v>
      </c>
      <c r="Z6" s="1">
        <v>59074.53</v>
      </c>
      <c r="AA6" s="1">
        <v>43126.61</v>
      </c>
      <c r="AB6" s="46">
        <v>43126.61</v>
      </c>
      <c r="AC6" s="1">
        <v>43126.61</v>
      </c>
      <c r="AD6" s="1">
        <v>43126.61</v>
      </c>
      <c r="AE6" s="46">
        <v>43126.61</v>
      </c>
      <c r="AF6" s="1">
        <v>43126.61</v>
      </c>
      <c r="AG6" s="1">
        <v>43126.61</v>
      </c>
      <c r="AH6" s="46">
        <v>43126.61</v>
      </c>
      <c r="AI6" s="1">
        <v>40750.68</v>
      </c>
      <c r="AJ6" s="1">
        <v>40750.68</v>
      </c>
      <c r="AK6" s="46">
        <v>40750.68</v>
      </c>
      <c r="AL6" s="1">
        <v>38339.49</v>
      </c>
      <c r="AM6" s="1">
        <v>38339.49</v>
      </c>
      <c r="AN6" s="46">
        <v>38339.49</v>
      </c>
      <c r="AO6" s="1">
        <v>38339.49</v>
      </c>
      <c r="AP6" s="1">
        <v>38339.49</v>
      </c>
      <c r="AQ6" s="46">
        <v>38339.49</v>
      </c>
      <c r="AR6" s="1">
        <v>38339.49</v>
      </c>
      <c r="AS6" s="1">
        <v>38339.49</v>
      </c>
      <c r="AT6" s="46">
        <v>38339.49</v>
      </c>
      <c r="AU6" s="1">
        <v>38339.49</v>
      </c>
      <c r="AV6" s="1">
        <v>38339.49</v>
      </c>
      <c r="AW6" s="46">
        <v>38339.49</v>
      </c>
      <c r="AX6" s="1">
        <v>38339.49</v>
      </c>
      <c r="AY6" s="1">
        <v>38339.49</v>
      </c>
      <c r="AZ6" s="46">
        <v>38339.49</v>
      </c>
      <c r="BA6" s="1">
        <v>38339.49</v>
      </c>
      <c r="BB6" s="1">
        <v>38339.49</v>
      </c>
      <c r="BC6" s="46">
        <v>38339.49</v>
      </c>
      <c r="BD6" s="1">
        <v>35055.839999999997</v>
      </c>
      <c r="BE6" s="1">
        <v>35055.839999999997</v>
      </c>
      <c r="BF6" s="46">
        <v>35055.839999999997</v>
      </c>
      <c r="BG6" s="1">
        <v>28312.95</v>
      </c>
      <c r="BH6" s="1">
        <v>25259.47</v>
      </c>
      <c r="BI6" s="46">
        <v>0</v>
      </c>
      <c r="BJ6" s="1">
        <v>0</v>
      </c>
      <c r="BK6" s="1">
        <v>0</v>
      </c>
      <c r="BL6">
        <v>0</v>
      </c>
    </row>
    <row r="7" spans="1:64" ht="15.5" x14ac:dyDescent="0.35">
      <c r="A7" t="s">
        <v>69</v>
      </c>
      <c r="B7" s="1">
        <v>44741.890000000007</v>
      </c>
      <c r="C7" s="1">
        <v>44741.890000000007</v>
      </c>
      <c r="D7" s="46">
        <v>44741.890000000007</v>
      </c>
      <c r="E7" s="1">
        <v>44741.890000000007</v>
      </c>
      <c r="F7" s="1">
        <v>44741.890000000007</v>
      </c>
      <c r="G7" s="46">
        <v>44741.890000000007</v>
      </c>
      <c r="H7" s="1">
        <v>44741.890000000007</v>
      </c>
      <c r="I7" s="1">
        <v>44741.890000000007</v>
      </c>
      <c r="J7" s="46">
        <v>44741.890000000007</v>
      </c>
      <c r="K7" s="1">
        <v>44741.890000000007</v>
      </c>
      <c r="L7" s="1">
        <v>44741.890000000007</v>
      </c>
      <c r="M7" s="46">
        <v>44741.890000000007</v>
      </c>
      <c r="N7" s="1">
        <v>44741.890000000007</v>
      </c>
      <c r="O7" s="1">
        <v>44741.890000000007</v>
      </c>
      <c r="P7" s="46">
        <v>44741.890000000007</v>
      </c>
      <c r="Q7" s="1">
        <v>44741.890000000007</v>
      </c>
      <c r="R7" s="1">
        <v>44741.890000000007</v>
      </c>
      <c r="S7" s="46">
        <v>44741.890000000007</v>
      </c>
      <c r="T7" s="1">
        <v>44741.890000000007</v>
      </c>
      <c r="U7" s="1">
        <v>44741.890000000007</v>
      </c>
      <c r="V7" s="46">
        <v>44741.890000000007</v>
      </c>
      <c r="W7" s="1">
        <v>44741.890000000007</v>
      </c>
      <c r="X7" s="1">
        <v>44741.890000000007</v>
      </c>
      <c r="Y7" s="46">
        <v>44741.890000000007</v>
      </c>
      <c r="Z7" s="1">
        <v>44741.890000000007</v>
      </c>
      <c r="AA7" s="1">
        <v>37918.49</v>
      </c>
      <c r="AB7" s="46">
        <v>37918.49</v>
      </c>
      <c r="AC7" s="1">
        <v>37918.49</v>
      </c>
      <c r="AD7" s="1">
        <v>37918.49</v>
      </c>
      <c r="AE7" s="46">
        <v>37918.49</v>
      </c>
      <c r="AF7" s="1">
        <v>37918.49</v>
      </c>
      <c r="AG7" s="1">
        <v>37918.49</v>
      </c>
      <c r="AH7" s="46">
        <v>37918.49</v>
      </c>
      <c r="AI7" s="1">
        <v>36693.94</v>
      </c>
      <c r="AJ7" s="1">
        <v>36693.94</v>
      </c>
      <c r="AK7" s="46">
        <v>36693.94</v>
      </c>
      <c r="AL7" s="1">
        <v>33856.54</v>
      </c>
      <c r="AM7" s="1">
        <v>33856.54</v>
      </c>
      <c r="AN7" s="46">
        <v>33856.54</v>
      </c>
      <c r="AO7" s="1">
        <v>33856.54</v>
      </c>
      <c r="AP7" s="1">
        <v>33856.54</v>
      </c>
      <c r="AQ7" s="46">
        <v>33856.54</v>
      </c>
      <c r="AR7" s="1">
        <v>33856.54</v>
      </c>
      <c r="AS7" s="1">
        <v>33856.54</v>
      </c>
      <c r="AT7" s="46">
        <v>33856.54</v>
      </c>
      <c r="AU7" s="1">
        <v>33856.54</v>
      </c>
      <c r="AV7" s="1">
        <v>33856.54</v>
      </c>
      <c r="AW7" s="46">
        <v>33856.54</v>
      </c>
      <c r="AX7" s="1">
        <v>33856.54</v>
      </c>
      <c r="AY7" s="1">
        <v>33856.54</v>
      </c>
      <c r="AZ7" s="46">
        <v>33856.54</v>
      </c>
      <c r="BA7" s="1">
        <v>33856.54</v>
      </c>
      <c r="BB7" s="1">
        <v>33856.54</v>
      </c>
      <c r="BC7" s="46">
        <v>33856.54</v>
      </c>
      <c r="BD7" s="1">
        <v>29975.78</v>
      </c>
      <c r="BE7" s="1">
        <v>29975.78</v>
      </c>
      <c r="BF7" s="46">
        <v>29975.78</v>
      </c>
      <c r="BG7" s="1">
        <v>21864.63</v>
      </c>
      <c r="BH7" s="1">
        <v>17952.07</v>
      </c>
      <c r="BI7" s="46">
        <v>0</v>
      </c>
      <c r="BJ7" s="1">
        <v>0</v>
      </c>
      <c r="BK7" s="1">
        <v>0</v>
      </c>
      <c r="BL7">
        <v>0</v>
      </c>
    </row>
    <row r="8" spans="1:64" ht="15.5" x14ac:dyDescent="0.35">
      <c r="A8" t="s">
        <v>70</v>
      </c>
      <c r="B8" s="1">
        <v>12132.78</v>
      </c>
      <c r="C8" s="1">
        <v>12132.78</v>
      </c>
      <c r="D8" s="46">
        <v>12132.78</v>
      </c>
      <c r="E8" s="1">
        <v>12132.78</v>
      </c>
      <c r="F8" s="1">
        <v>12132.78</v>
      </c>
      <c r="G8" s="46">
        <v>12132.78</v>
      </c>
      <c r="H8" s="1">
        <v>12132.78</v>
      </c>
      <c r="I8" s="1">
        <v>12132.78</v>
      </c>
      <c r="J8" s="46">
        <v>12132.78</v>
      </c>
      <c r="K8" s="1">
        <v>12132.78</v>
      </c>
      <c r="L8" s="1">
        <v>12132.78</v>
      </c>
      <c r="M8" s="46">
        <v>12132.78</v>
      </c>
      <c r="N8" s="1">
        <v>12132.78</v>
      </c>
      <c r="O8" s="1">
        <v>12132.78</v>
      </c>
      <c r="P8" s="46">
        <v>12132.78</v>
      </c>
      <c r="Q8" s="1">
        <v>12132.78</v>
      </c>
      <c r="R8" s="1">
        <v>12132.78</v>
      </c>
      <c r="S8" s="46">
        <v>12132.78</v>
      </c>
      <c r="T8" s="1">
        <v>12132.78</v>
      </c>
      <c r="U8" s="1">
        <v>12132.78</v>
      </c>
      <c r="V8" s="46">
        <v>12132.78</v>
      </c>
      <c r="W8" s="1">
        <v>12132.78</v>
      </c>
      <c r="X8" s="1">
        <v>12132.78</v>
      </c>
      <c r="Y8" s="46">
        <v>12132.78</v>
      </c>
      <c r="Z8" s="1">
        <v>12132.78</v>
      </c>
      <c r="AA8" s="1">
        <v>10154.790000000001</v>
      </c>
      <c r="AB8" s="46">
        <v>10154.790000000001</v>
      </c>
      <c r="AC8" s="1">
        <v>10154.790000000001</v>
      </c>
      <c r="AD8" s="1">
        <v>10154.790000000001</v>
      </c>
      <c r="AE8" s="46">
        <v>10154.790000000001</v>
      </c>
      <c r="AF8" s="1">
        <v>10154.790000000001</v>
      </c>
      <c r="AG8" s="1">
        <v>10154.790000000001</v>
      </c>
      <c r="AH8" s="46">
        <v>10154.790000000001</v>
      </c>
      <c r="AI8" s="1">
        <v>9778.7000000000007</v>
      </c>
      <c r="AJ8" s="1">
        <v>9778.7000000000007</v>
      </c>
      <c r="AK8" s="46">
        <v>9778.7000000000007</v>
      </c>
      <c r="AL8" s="1">
        <v>9107.11</v>
      </c>
      <c r="AM8" s="1">
        <v>9107.11</v>
      </c>
      <c r="AN8" s="46">
        <v>9107.11</v>
      </c>
      <c r="AO8" s="1">
        <v>9107.11</v>
      </c>
      <c r="AP8" s="1">
        <v>9107.11</v>
      </c>
      <c r="AQ8" s="46">
        <v>9107.11</v>
      </c>
      <c r="AR8" s="1">
        <v>9107.11</v>
      </c>
      <c r="AS8" s="1">
        <v>9107.11</v>
      </c>
      <c r="AT8" s="46">
        <v>9107.11</v>
      </c>
      <c r="AU8" s="1">
        <v>9107.11</v>
      </c>
      <c r="AV8" s="1">
        <v>9107.11</v>
      </c>
      <c r="AW8" s="46">
        <v>9107.11</v>
      </c>
      <c r="AX8" s="1">
        <v>9107.11</v>
      </c>
      <c r="AY8" s="1">
        <v>9107.11</v>
      </c>
      <c r="AZ8" s="46">
        <v>9107.11</v>
      </c>
      <c r="BA8" s="1">
        <v>9107.11</v>
      </c>
      <c r="BB8" s="1">
        <v>9107.11</v>
      </c>
      <c r="BC8" s="46">
        <v>9107.11</v>
      </c>
      <c r="BD8" s="1">
        <v>8122.77</v>
      </c>
      <c r="BE8" s="1">
        <v>8122.77</v>
      </c>
      <c r="BF8" s="46">
        <v>8122.77</v>
      </c>
      <c r="BG8" s="1">
        <v>6071.01</v>
      </c>
      <c r="BH8" s="1">
        <v>5091.91</v>
      </c>
      <c r="BI8" s="46">
        <v>0</v>
      </c>
      <c r="BJ8" s="1">
        <v>0</v>
      </c>
      <c r="BK8" s="1">
        <v>0</v>
      </c>
      <c r="BL8">
        <v>0</v>
      </c>
    </row>
    <row r="9" spans="1:64" ht="15.5" x14ac:dyDescent="0.35">
      <c r="A9" t="s">
        <v>71</v>
      </c>
      <c r="B9" s="1">
        <v>117102.29</v>
      </c>
      <c r="C9" s="1">
        <v>117102.29</v>
      </c>
      <c r="D9" s="46">
        <v>117102.29</v>
      </c>
      <c r="E9" s="1">
        <v>117102.29</v>
      </c>
      <c r="F9" s="1">
        <v>117102.29</v>
      </c>
      <c r="G9" s="46">
        <v>117102.29</v>
      </c>
      <c r="H9" s="1">
        <v>117102.29</v>
      </c>
      <c r="I9" s="1">
        <v>117102.29</v>
      </c>
      <c r="J9" s="46">
        <v>117102.29</v>
      </c>
      <c r="K9" s="1">
        <v>117102.29</v>
      </c>
      <c r="L9" s="1">
        <v>117102.29</v>
      </c>
      <c r="M9" s="46">
        <v>117102.29</v>
      </c>
      <c r="N9" s="1">
        <v>117102.29</v>
      </c>
      <c r="O9" s="1">
        <v>117102.29</v>
      </c>
      <c r="P9" s="46">
        <v>117102.29</v>
      </c>
      <c r="Q9" s="1">
        <v>117102.29</v>
      </c>
      <c r="R9" s="1">
        <v>117102.29</v>
      </c>
      <c r="S9" s="46">
        <v>117102.29</v>
      </c>
      <c r="T9" s="1">
        <v>117102.29</v>
      </c>
      <c r="U9" s="1">
        <v>117102.29</v>
      </c>
      <c r="V9" s="46">
        <v>117102.29</v>
      </c>
      <c r="W9" s="1">
        <v>117102.29</v>
      </c>
      <c r="X9" s="1">
        <v>117102.29</v>
      </c>
      <c r="Y9" s="46">
        <v>117102.29</v>
      </c>
      <c r="Z9" s="1">
        <v>117102.29</v>
      </c>
      <c r="AA9" s="1">
        <v>43714</v>
      </c>
      <c r="AB9" s="46">
        <v>43714</v>
      </c>
      <c r="AC9" s="1">
        <v>43714</v>
      </c>
      <c r="AD9" s="1">
        <v>43714</v>
      </c>
      <c r="AE9" s="46">
        <v>43714</v>
      </c>
      <c r="AF9" s="1">
        <v>43714</v>
      </c>
      <c r="AG9" s="1">
        <v>43714</v>
      </c>
      <c r="AH9" s="46">
        <v>43714</v>
      </c>
      <c r="AI9" s="1">
        <v>24952.080000000002</v>
      </c>
      <c r="AJ9" s="1">
        <v>24952.080000000002</v>
      </c>
      <c r="AK9" s="46">
        <v>24952.080000000002</v>
      </c>
      <c r="AL9" s="1">
        <v>24433.58</v>
      </c>
      <c r="AM9" s="1">
        <v>24433.58</v>
      </c>
      <c r="AN9" s="46">
        <v>24433.58</v>
      </c>
      <c r="AO9" s="1">
        <v>24433.58</v>
      </c>
      <c r="AP9" s="1">
        <v>24433.58</v>
      </c>
      <c r="AQ9" s="46">
        <v>24433.58</v>
      </c>
      <c r="AR9" s="1">
        <v>24433.58</v>
      </c>
      <c r="AS9" s="1">
        <v>24433.58</v>
      </c>
      <c r="AT9" s="46">
        <v>24433.58</v>
      </c>
      <c r="AU9" s="1">
        <v>24433.58</v>
      </c>
      <c r="AV9" s="1">
        <v>24433.58</v>
      </c>
      <c r="AW9" s="46">
        <v>24433.58</v>
      </c>
      <c r="AX9" s="1">
        <v>24433.58</v>
      </c>
      <c r="AY9" s="1">
        <v>24433.58</v>
      </c>
      <c r="AZ9" s="46">
        <v>24433.58</v>
      </c>
      <c r="BA9" s="1">
        <v>24433.58</v>
      </c>
      <c r="BB9" s="1">
        <v>24433.58</v>
      </c>
      <c r="BC9" s="46">
        <v>24433.58</v>
      </c>
      <c r="BD9" s="1">
        <v>17572.04</v>
      </c>
      <c r="BE9" s="1">
        <v>17572.04</v>
      </c>
      <c r="BF9" s="46">
        <v>17572.04</v>
      </c>
      <c r="BG9" s="1">
        <v>12856.04</v>
      </c>
      <c r="BH9" s="1">
        <v>9987</v>
      </c>
      <c r="BI9" s="46">
        <v>0</v>
      </c>
      <c r="BJ9" s="1">
        <v>0</v>
      </c>
      <c r="BK9" s="1">
        <v>0</v>
      </c>
      <c r="BL9">
        <v>0</v>
      </c>
    </row>
    <row r="10" spans="1:64" ht="15.5" x14ac:dyDescent="0.35">
      <c r="A10" t="s">
        <v>72</v>
      </c>
      <c r="B10" s="1">
        <v>112388.55</v>
      </c>
      <c r="C10" s="1">
        <v>112388.55</v>
      </c>
      <c r="D10" s="46">
        <v>112388.55</v>
      </c>
      <c r="E10" s="1">
        <v>112388.55</v>
      </c>
      <c r="F10" s="1">
        <v>112388.55</v>
      </c>
      <c r="G10" s="46">
        <v>112388.55</v>
      </c>
      <c r="H10" s="1">
        <v>112388.55</v>
      </c>
      <c r="I10" s="1">
        <v>112388.55</v>
      </c>
      <c r="J10" s="46">
        <v>112388.55</v>
      </c>
      <c r="K10" s="1">
        <v>112388.55</v>
      </c>
      <c r="L10" s="1">
        <v>112388.55</v>
      </c>
      <c r="M10" s="46">
        <v>112388.55</v>
      </c>
      <c r="N10" s="1">
        <v>112388.55</v>
      </c>
      <c r="O10" s="1">
        <v>112388.55</v>
      </c>
      <c r="P10" s="46">
        <v>112388.55</v>
      </c>
      <c r="Q10" s="1">
        <v>112388.55</v>
      </c>
      <c r="R10" s="1">
        <v>112388.55</v>
      </c>
      <c r="S10" s="46">
        <v>112388.55</v>
      </c>
      <c r="T10" s="1">
        <v>112388.55</v>
      </c>
      <c r="U10" s="1">
        <v>112388.55</v>
      </c>
      <c r="V10" s="46">
        <v>112388.55</v>
      </c>
      <c r="W10" s="1">
        <v>112388.55</v>
      </c>
      <c r="X10" s="1">
        <v>112388.55</v>
      </c>
      <c r="Y10" s="46">
        <v>112388.55</v>
      </c>
      <c r="Z10" s="1">
        <v>112388.55</v>
      </c>
      <c r="AA10" s="1">
        <v>43714</v>
      </c>
      <c r="AB10" s="46">
        <v>43714</v>
      </c>
      <c r="AC10" s="1">
        <v>43714</v>
      </c>
      <c r="AD10" s="1">
        <v>43714</v>
      </c>
      <c r="AE10" s="46">
        <v>43714</v>
      </c>
      <c r="AF10" s="1">
        <v>43714</v>
      </c>
      <c r="AG10" s="1">
        <v>43714</v>
      </c>
      <c r="AH10" s="46">
        <v>43714</v>
      </c>
      <c r="AI10" s="1">
        <v>24952.080000000002</v>
      </c>
      <c r="AJ10" s="1">
        <v>24952.080000000002</v>
      </c>
      <c r="AK10" s="46">
        <v>24952.080000000002</v>
      </c>
      <c r="AL10" s="1">
        <v>24433.58</v>
      </c>
      <c r="AM10" s="1">
        <v>24433.58</v>
      </c>
      <c r="AN10" s="46">
        <v>24433.58</v>
      </c>
      <c r="AO10" s="1">
        <v>24433.58</v>
      </c>
      <c r="AP10" s="1">
        <v>24433.58</v>
      </c>
      <c r="AQ10" s="46">
        <v>24433.58</v>
      </c>
      <c r="AR10" s="1">
        <v>24433.58</v>
      </c>
      <c r="AS10" s="1">
        <v>24433.58</v>
      </c>
      <c r="AT10" s="46">
        <v>24433.58</v>
      </c>
      <c r="AU10" s="1">
        <v>24433.58</v>
      </c>
      <c r="AV10" s="1">
        <v>24433.58</v>
      </c>
      <c r="AW10" s="46">
        <v>24433.58</v>
      </c>
      <c r="AX10" s="1">
        <v>24433.58</v>
      </c>
      <c r="AY10" s="1">
        <v>24433.58</v>
      </c>
      <c r="AZ10" s="46">
        <v>24433.58</v>
      </c>
      <c r="BA10" s="1">
        <v>24433.58</v>
      </c>
      <c r="BB10" s="1">
        <v>24433.58</v>
      </c>
      <c r="BC10" s="46">
        <v>24433.58</v>
      </c>
      <c r="BD10" s="1">
        <v>17572.04</v>
      </c>
      <c r="BE10" s="1">
        <v>17572.04</v>
      </c>
      <c r="BF10" s="46">
        <v>17572.04</v>
      </c>
      <c r="BG10" s="1">
        <v>12856.04</v>
      </c>
      <c r="BH10" s="1">
        <v>9987</v>
      </c>
      <c r="BI10" s="46">
        <v>0</v>
      </c>
      <c r="BJ10" s="1">
        <v>0</v>
      </c>
      <c r="BK10" s="1">
        <v>0</v>
      </c>
      <c r="BL10">
        <v>0</v>
      </c>
    </row>
    <row r="11" spans="1:64" ht="15.5" x14ac:dyDescent="0.35">
      <c r="A11" t="s">
        <v>73</v>
      </c>
      <c r="B11" s="1">
        <v>24531.85</v>
      </c>
      <c r="C11" s="1">
        <v>24531.85</v>
      </c>
      <c r="D11" s="46">
        <v>24531.85</v>
      </c>
      <c r="E11" s="1">
        <v>24531.85</v>
      </c>
      <c r="F11" s="1">
        <v>24531.85</v>
      </c>
      <c r="G11" s="46">
        <v>24531.85</v>
      </c>
      <c r="H11" s="1">
        <v>24531.85</v>
      </c>
      <c r="I11" s="1">
        <v>24531.85</v>
      </c>
      <c r="J11" s="46">
        <v>24531.85</v>
      </c>
      <c r="K11" s="1">
        <v>24531.85</v>
      </c>
      <c r="L11" s="1">
        <v>24531.85</v>
      </c>
      <c r="M11" s="46">
        <v>24531.85</v>
      </c>
      <c r="N11" s="1">
        <v>24531.85</v>
      </c>
      <c r="O11" s="1">
        <v>24531.85</v>
      </c>
      <c r="P11" s="46">
        <v>24531.85</v>
      </c>
      <c r="Q11" s="1">
        <v>24531.85</v>
      </c>
      <c r="R11" s="1">
        <v>24531.85</v>
      </c>
      <c r="S11" s="46">
        <v>24531.85</v>
      </c>
      <c r="T11" s="1">
        <v>24531.85</v>
      </c>
      <c r="U11" s="1">
        <v>24531.85</v>
      </c>
      <c r="V11" s="46">
        <v>24531.85</v>
      </c>
      <c r="W11" s="1">
        <v>24531.85</v>
      </c>
      <c r="X11" s="1">
        <v>24531.85</v>
      </c>
      <c r="Y11" s="46">
        <v>24531.85</v>
      </c>
      <c r="Z11" s="1">
        <v>24531.85</v>
      </c>
      <c r="AA11" s="1">
        <v>20967.009999999998</v>
      </c>
      <c r="AB11" s="46">
        <v>20967.009999999998</v>
      </c>
      <c r="AC11" s="1">
        <v>20967.009999999998</v>
      </c>
      <c r="AD11" s="1">
        <v>20967.009999999998</v>
      </c>
      <c r="AE11" s="46">
        <v>20967.009999999998</v>
      </c>
      <c r="AF11" s="1">
        <v>20967.009999999998</v>
      </c>
      <c r="AG11" s="1">
        <v>20967.009999999998</v>
      </c>
      <c r="AH11" s="46">
        <v>20967.009999999998</v>
      </c>
      <c r="AI11" s="1">
        <v>18871.5</v>
      </c>
      <c r="AJ11" s="1">
        <v>18871.5</v>
      </c>
      <c r="AK11" s="46">
        <v>18871.5</v>
      </c>
      <c r="AL11" s="1">
        <v>16547.23</v>
      </c>
      <c r="AM11" s="1">
        <v>16547.23</v>
      </c>
      <c r="AN11" s="46">
        <v>16547.23</v>
      </c>
      <c r="AO11" s="1">
        <v>16547.23</v>
      </c>
      <c r="AP11" s="1">
        <v>16547.23</v>
      </c>
      <c r="AQ11" s="46">
        <v>16547.23</v>
      </c>
      <c r="AR11" s="1">
        <v>16547.23</v>
      </c>
      <c r="AS11" s="1">
        <v>16547.23</v>
      </c>
      <c r="AT11" s="46">
        <v>16547.23</v>
      </c>
      <c r="AU11" s="1">
        <v>16547.23</v>
      </c>
      <c r="AV11" s="1">
        <v>16547.23</v>
      </c>
      <c r="AW11" s="46">
        <v>16547.23</v>
      </c>
      <c r="AX11" s="1">
        <v>16547.23</v>
      </c>
      <c r="AY11" s="1">
        <v>16547.23</v>
      </c>
      <c r="AZ11" s="46">
        <v>16547.23</v>
      </c>
      <c r="BA11" s="1">
        <v>16547.23</v>
      </c>
      <c r="BB11" s="1">
        <v>16547.23</v>
      </c>
      <c r="BC11" s="46">
        <v>16547.23</v>
      </c>
      <c r="BD11" s="1">
        <v>14074.02</v>
      </c>
      <c r="BE11" s="1">
        <v>14074.02</v>
      </c>
      <c r="BF11" s="46">
        <v>14074.02</v>
      </c>
      <c r="BG11" s="1">
        <v>11115.91</v>
      </c>
      <c r="BH11" s="1">
        <v>8611.41</v>
      </c>
      <c r="BI11" s="46">
        <v>0</v>
      </c>
      <c r="BJ11" s="1">
        <v>0</v>
      </c>
      <c r="BK11" s="1">
        <v>0</v>
      </c>
      <c r="BL11">
        <v>0</v>
      </c>
    </row>
    <row r="12" spans="1:64" ht="15.5" x14ac:dyDescent="0.35">
      <c r="A12" t="s">
        <v>74</v>
      </c>
      <c r="B12" s="1">
        <v>6047395.3500000006</v>
      </c>
      <c r="C12" s="1">
        <v>6047395.3500000006</v>
      </c>
      <c r="D12" s="46">
        <v>6047395.3500000006</v>
      </c>
      <c r="E12" s="1">
        <v>6047395.3500000006</v>
      </c>
      <c r="F12" s="1">
        <v>6047395.3500000006</v>
      </c>
      <c r="G12" s="46">
        <v>6047395.3500000006</v>
      </c>
      <c r="H12" s="1">
        <v>6047395.3500000006</v>
      </c>
      <c r="I12" s="1">
        <v>6047395.3500000006</v>
      </c>
      <c r="J12" s="46">
        <v>6047395.3500000006</v>
      </c>
      <c r="K12" s="1">
        <v>6047395.3500000006</v>
      </c>
      <c r="L12" s="1">
        <v>6047395.3500000006</v>
      </c>
      <c r="M12" s="46">
        <v>6047395.3500000006</v>
      </c>
      <c r="N12" s="1">
        <v>6047395.3500000006</v>
      </c>
      <c r="O12" s="1">
        <v>6047395.3500000006</v>
      </c>
      <c r="P12" s="46">
        <v>6047395.3500000006</v>
      </c>
      <c r="Q12" s="1">
        <v>6047395.3500000006</v>
      </c>
      <c r="R12" s="1">
        <v>6047395.3500000006</v>
      </c>
      <c r="S12" s="46">
        <v>6047395.3500000006</v>
      </c>
      <c r="T12" s="1">
        <v>6047395.3500000006</v>
      </c>
      <c r="U12" s="1">
        <v>6047395.3500000006</v>
      </c>
      <c r="V12" s="46">
        <v>6047395.3500000006</v>
      </c>
      <c r="W12" s="1">
        <v>6047395.3500000006</v>
      </c>
      <c r="X12" s="1">
        <v>6047395.3500000006</v>
      </c>
      <c r="Y12" s="46">
        <v>6047395.3500000006</v>
      </c>
      <c r="Z12" s="1">
        <v>6047395.3500000006</v>
      </c>
      <c r="AA12" s="1">
        <v>5077411.7200000007</v>
      </c>
      <c r="AB12" s="46">
        <v>5077411.7200000007</v>
      </c>
      <c r="AC12" s="1">
        <v>5077411.7200000007</v>
      </c>
      <c r="AD12" s="1">
        <v>5077411.7200000007</v>
      </c>
      <c r="AE12" s="46">
        <v>5077411.7200000007</v>
      </c>
      <c r="AF12" s="1">
        <v>5077411.7200000007</v>
      </c>
      <c r="AG12" s="1">
        <v>5077411.7200000007</v>
      </c>
      <c r="AH12" s="46">
        <v>5077411.7200000007</v>
      </c>
      <c r="AI12" s="1">
        <v>4889364.76</v>
      </c>
      <c r="AJ12" s="1">
        <v>4889364.76</v>
      </c>
      <c r="AK12" s="46">
        <v>4889364.76</v>
      </c>
      <c r="AL12" s="1">
        <v>4553569.1100000003</v>
      </c>
      <c r="AM12" s="1">
        <v>4553569.1100000003</v>
      </c>
      <c r="AN12" s="46">
        <v>4553569.1100000003</v>
      </c>
      <c r="AO12" s="1">
        <v>4553569.1100000003</v>
      </c>
      <c r="AP12" s="1">
        <v>4553569.1100000003</v>
      </c>
      <c r="AQ12" s="46">
        <v>4553569.1100000003</v>
      </c>
      <c r="AR12" s="1">
        <v>4553569.1100000003</v>
      </c>
      <c r="AS12" s="1">
        <v>4553569.1100000003</v>
      </c>
      <c r="AT12" s="46">
        <v>4553569.1100000003</v>
      </c>
      <c r="AU12" s="1">
        <v>4553569.1100000003</v>
      </c>
      <c r="AV12" s="1">
        <v>4553569.1100000003</v>
      </c>
      <c r="AW12" s="46">
        <v>4553569.1100000003</v>
      </c>
      <c r="AX12" s="1">
        <v>4553569.1100000003</v>
      </c>
      <c r="AY12" s="1">
        <v>4553569.1100000003</v>
      </c>
      <c r="AZ12" s="46">
        <v>4553569.1100000003</v>
      </c>
      <c r="BA12" s="1">
        <v>4553569.1100000003</v>
      </c>
      <c r="BB12" s="1">
        <v>4553569.1100000003</v>
      </c>
      <c r="BC12" s="46">
        <v>4553569.1100000003</v>
      </c>
      <c r="BD12" s="1">
        <v>4061397.8</v>
      </c>
      <c r="BE12" s="1">
        <v>4061397.8</v>
      </c>
      <c r="BF12" s="46">
        <v>4061397.8</v>
      </c>
      <c r="BG12" s="1">
        <v>3035517.8</v>
      </c>
      <c r="BH12" s="1">
        <v>2545965.21</v>
      </c>
      <c r="BI12" s="46">
        <v>0</v>
      </c>
      <c r="BJ12" s="1">
        <v>0</v>
      </c>
      <c r="BK12" s="1">
        <v>0</v>
      </c>
      <c r="BL12">
        <v>0</v>
      </c>
    </row>
    <row r="13" spans="1:64" ht="15.5" x14ac:dyDescent="0.35">
      <c r="A13" t="s">
        <v>75</v>
      </c>
      <c r="B13" s="1">
        <v>5736675</v>
      </c>
      <c r="C13" s="1">
        <v>5736675</v>
      </c>
      <c r="D13" s="46">
        <v>5677600.4699999997</v>
      </c>
      <c r="E13" s="1">
        <v>5618525.9400000004</v>
      </c>
      <c r="F13" s="1">
        <v>5559451.4100000001</v>
      </c>
      <c r="G13" s="46">
        <v>5500376.8799999999</v>
      </c>
      <c r="H13" s="1">
        <v>5441302.3499999996</v>
      </c>
      <c r="I13" s="1">
        <v>5382227.8200000003</v>
      </c>
      <c r="J13" s="46">
        <v>5323153.29</v>
      </c>
      <c r="K13" s="1">
        <v>5264078.76</v>
      </c>
      <c r="L13" s="1">
        <v>5205004.2300000004</v>
      </c>
      <c r="M13" s="46">
        <v>5145929.7</v>
      </c>
      <c r="N13" s="1">
        <v>5086855.17</v>
      </c>
      <c r="O13" s="1">
        <v>5027780.6399999997</v>
      </c>
      <c r="P13" s="46">
        <v>4968706.1100000003</v>
      </c>
      <c r="Q13" s="1">
        <v>4909631.58</v>
      </c>
      <c r="R13" s="1">
        <v>4850557.05</v>
      </c>
      <c r="S13" s="46">
        <v>4791482.5199999996</v>
      </c>
      <c r="T13" s="1">
        <v>4732407.99</v>
      </c>
      <c r="U13" s="1">
        <v>4673333.46</v>
      </c>
      <c r="V13" s="46">
        <v>4614258.93</v>
      </c>
      <c r="W13" s="1">
        <v>4555184.4000000004</v>
      </c>
      <c r="X13" s="1">
        <v>4496109.87</v>
      </c>
      <c r="Y13" s="46">
        <v>4437035.34</v>
      </c>
      <c r="Z13" s="1">
        <v>4377960.8100000015</v>
      </c>
      <c r="AA13" s="1">
        <v>3907124.18</v>
      </c>
      <c r="AB13" s="46">
        <v>3863997.57</v>
      </c>
      <c r="AC13" s="1">
        <v>3820870.96</v>
      </c>
      <c r="AD13" s="1">
        <v>3777744.350000001</v>
      </c>
      <c r="AE13" s="46">
        <v>3734617.74</v>
      </c>
      <c r="AF13" s="1">
        <v>3691491.13</v>
      </c>
      <c r="AG13" s="1">
        <v>3648364.52</v>
      </c>
      <c r="AH13" s="46">
        <v>3605237.91</v>
      </c>
      <c r="AI13" s="1">
        <v>3485733.05</v>
      </c>
      <c r="AJ13" s="1">
        <v>3444982.37</v>
      </c>
      <c r="AK13" s="46">
        <v>3404231.689999999</v>
      </c>
      <c r="AL13" s="1">
        <v>3112077.01</v>
      </c>
      <c r="AM13" s="1">
        <v>3073737.52</v>
      </c>
      <c r="AN13" s="46">
        <v>3035398.03</v>
      </c>
      <c r="AO13" s="1">
        <v>2997058.54</v>
      </c>
      <c r="AP13" s="1">
        <v>2958719.05</v>
      </c>
      <c r="AQ13" s="46">
        <v>2920379.560000001</v>
      </c>
      <c r="AR13" s="1">
        <v>2882040.07</v>
      </c>
      <c r="AS13" s="1">
        <v>2843700.58</v>
      </c>
      <c r="AT13" s="46">
        <v>2805361.09</v>
      </c>
      <c r="AU13" s="1">
        <v>2767021.600000001</v>
      </c>
      <c r="AV13" s="1">
        <v>2728682.11</v>
      </c>
      <c r="AW13" s="46">
        <v>2690342.62</v>
      </c>
      <c r="AX13" s="1">
        <v>2652003.13</v>
      </c>
      <c r="AY13" s="1">
        <v>2613663.64</v>
      </c>
      <c r="AZ13" s="46">
        <v>2575324.15</v>
      </c>
      <c r="BA13" s="1">
        <v>2536984.66</v>
      </c>
      <c r="BB13" s="1">
        <v>2498645.17</v>
      </c>
      <c r="BC13" s="46">
        <v>2460305.6800000002</v>
      </c>
      <c r="BD13" s="1">
        <v>2123530.23</v>
      </c>
      <c r="BE13" s="1">
        <v>2088474.39</v>
      </c>
      <c r="BF13" s="46">
        <v>2053418.55</v>
      </c>
      <c r="BG13" s="1">
        <v>1390313.22</v>
      </c>
      <c r="BH13" s="1">
        <v>1055656.48</v>
      </c>
      <c r="BI13" s="46">
        <v>0</v>
      </c>
      <c r="BJ13" s="1">
        <v>0</v>
      </c>
      <c r="BK13" s="1">
        <v>0</v>
      </c>
      <c r="BL13">
        <v>0</v>
      </c>
    </row>
    <row r="14" spans="1:64" ht="15.5" x14ac:dyDescent="0.35">
      <c r="A14" t="s">
        <v>76</v>
      </c>
      <c r="B14" s="1">
        <v>0</v>
      </c>
      <c r="C14" s="1">
        <v>0</v>
      </c>
      <c r="D14" s="46">
        <v>0</v>
      </c>
      <c r="E14" s="1">
        <v>0</v>
      </c>
      <c r="F14" s="1">
        <v>0</v>
      </c>
      <c r="G14" s="46">
        <v>0</v>
      </c>
      <c r="H14" s="1">
        <v>0</v>
      </c>
      <c r="I14" s="1">
        <v>0</v>
      </c>
      <c r="J14" s="46">
        <v>0</v>
      </c>
      <c r="K14" s="1">
        <v>0</v>
      </c>
      <c r="L14" s="1">
        <v>0</v>
      </c>
      <c r="M14" s="46">
        <v>0</v>
      </c>
      <c r="N14" s="1">
        <v>0</v>
      </c>
      <c r="O14" s="1">
        <v>0</v>
      </c>
      <c r="P14" s="46">
        <v>0</v>
      </c>
      <c r="Q14" s="1">
        <v>0</v>
      </c>
      <c r="R14" s="1">
        <v>0</v>
      </c>
      <c r="S14" s="46">
        <v>0</v>
      </c>
      <c r="T14" s="1">
        <v>0</v>
      </c>
      <c r="U14" s="1">
        <v>0</v>
      </c>
      <c r="V14" s="46">
        <v>0</v>
      </c>
      <c r="W14" s="1">
        <v>0</v>
      </c>
      <c r="X14" s="1">
        <v>0</v>
      </c>
      <c r="Y14" s="46">
        <v>0</v>
      </c>
      <c r="Z14" s="1">
        <v>0</v>
      </c>
      <c r="AA14" s="1">
        <v>0</v>
      </c>
      <c r="AB14" s="46">
        <v>0</v>
      </c>
      <c r="AC14" s="1">
        <v>0</v>
      </c>
      <c r="AD14" s="1">
        <v>0</v>
      </c>
      <c r="AE14" s="46">
        <v>0</v>
      </c>
      <c r="AF14" s="1">
        <v>0</v>
      </c>
      <c r="AG14" s="1">
        <v>0</v>
      </c>
      <c r="AH14" s="46">
        <v>0</v>
      </c>
      <c r="AI14" s="1">
        <v>0</v>
      </c>
      <c r="AJ14" s="1">
        <v>0</v>
      </c>
      <c r="AK14" s="46">
        <v>0</v>
      </c>
      <c r="AL14" s="1">
        <v>0</v>
      </c>
      <c r="AM14" s="1">
        <v>0</v>
      </c>
      <c r="AN14" s="46">
        <v>0</v>
      </c>
      <c r="AO14" s="1">
        <v>0</v>
      </c>
      <c r="AP14" s="1">
        <v>0</v>
      </c>
      <c r="AQ14" s="46">
        <v>0</v>
      </c>
      <c r="AR14" s="1">
        <v>0</v>
      </c>
      <c r="AS14" s="1">
        <v>0</v>
      </c>
      <c r="AT14" s="46">
        <v>0</v>
      </c>
      <c r="AU14" s="1">
        <v>0</v>
      </c>
      <c r="AV14" s="1">
        <v>0</v>
      </c>
      <c r="AW14" s="46">
        <v>0</v>
      </c>
      <c r="AX14" s="1">
        <v>0</v>
      </c>
      <c r="AY14" s="1">
        <v>0</v>
      </c>
      <c r="AZ14" s="46">
        <v>0</v>
      </c>
      <c r="BA14" s="1">
        <v>0</v>
      </c>
      <c r="BB14" s="1">
        <v>0</v>
      </c>
      <c r="BC14" s="46">
        <v>0</v>
      </c>
      <c r="BD14" s="1">
        <v>0</v>
      </c>
      <c r="BE14" s="1">
        <v>0</v>
      </c>
      <c r="BF14" s="46">
        <v>0</v>
      </c>
      <c r="BG14" s="1">
        <v>0</v>
      </c>
      <c r="BH14" s="1">
        <v>0</v>
      </c>
      <c r="BI14" s="46">
        <v>0</v>
      </c>
      <c r="BJ14" s="1">
        <v>0</v>
      </c>
      <c r="BK14" s="1">
        <v>0</v>
      </c>
      <c r="BL14">
        <v>0</v>
      </c>
    </row>
    <row r="15" spans="1:64" ht="15.5" x14ac:dyDescent="0.35">
      <c r="A15" t="s">
        <v>77</v>
      </c>
      <c r="B15" s="1">
        <v>0</v>
      </c>
      <c r="C15" s="1">
        <v>0</v>
      </c>
      <c r="D15" s="46">
        <v>0</v>
      </c>
      <c r="E15" s="1">
        <v>0</v>
      </c>
      <c r="F15" s="1">
        <v>0</v>
      </c>
      <c r="G15" s="46">
        <v>0</v>
      </c>
      <c r="H15" s="1">
        <v>0</v>
      </c>
      <c r="I15" s="1">
        <v>0</v>
      </c>
      <c r="J15" s="46">
        <v>0</v>
      </c>
      <c r="K15" s="1">
        <v>0</v>
      </c>
      <c r="L15" s="1">
        <v>0</v>
      </c>
      <c r="M15" s="46">
        <v>0</v>
      </c>
      <c r="N15" s="1">
        <v>0</v>
      </c>
      <c r="O15" s="1">
        <v>0</v>
      </c>
      <c r="P15" s="46">
        <v>0</v>
      </c>
      <c r="Q15" s="1">
        <v>0</v>
      </c>
      <c r="R15" s="1">
        <v>0</v>
      </c>
      <c r="S15" s="46">
        <v>0</v>
      </c>
      <c r="T15" s="1">
        <v>0</v>
      </c>
      <c r="U15" s="1">
        <v>0</v>
      </c>
      <c r="V15" s="46">
        <v>0</v>
      </c>
      <c r="W15" s="1">
        <v>0</v>
      </c>
      <c r="X15" s="1">
        <v>0</v>
      </c>
      <c r="Y15" s="46">
        <v>0</v>
      </c>
      <c r="Z15" s="1">
        <v>0</v>
      </c>
      <c r="AA15" s="1">
        <v>0</v>
      </c>
      <c r="AB15" s="46">
        <v>0</v>
      </c>
      <c r="AC15" s="1">
        <v>0</v>
      </c>
      <c r="AD15" s="1">
        <v>0</v>
      </c>
      <c r="AE15" s="46">
        <v>0</v>
      </c>
      <c r="AF15" s="1">
        <v>0</v>
      </c>
      <c r="AG15" s="1">
        <v>0</v>
      </c>
      <c r="AH15" s="46">
        <v>0</v>
      </c>
      <c r="AI15" s="1">
        <v>0</v>
      </c>
      <c r="AJ15" s="1">
        <v>0</v>
      </c>
      <c r="AK15" s="46">
        <v>0</v>
      </c>
      <c r="AL15" s="1">
        <v>0</v>
      </c>
      <c r="AM15" s="1">
        <v>0</v>
      </c>
      <c r="AN15" s="46">
        <v>0</v>
      </c>
      <c r="AO15" s="1">
        <v>0</v>
      </c>
      <c r="AP15" s="1">
        <v>0</v>
      </c>
      <c r="AQ15" s="46">
        <v>0</v>
      </c>
      <c r="AR15" s="1">
        <v>0</v>
      </c>
      <c r="AS15" s="1">
        <v>0</v>
      </c>
      <c r="AT15" s="46">
        <v>0</v>
      </c>
      <c r="AU15" s="1">
        <v>0</v>
      </c>
      <c r="AV15" s="1">
        <v>0</v>
      </c>
      <c r="AW15" s="46">
        <v>0</v>
      </c>
      <c r="AX15" s="1">
        <v>0</v>
      </c>
      <c r="AY15" s="1">
        <v>0</v>
      </c>
      <c r="AZ15" s="46">
        <v>0</v>
      </c>
      <c r="BA15" s="1">
        <v>0</v>
      </c>
      <c r="BB15" s="1">
        <v>0</v>
      </c>
      <c r="BC15" s="46">
        <v>0</v>
      </c>
      <c r="BD15" s="1">
        <v>0</v>
      </c>
      <c r="BE15" s="1">
        <v>0</v>
      </c>
      <c r="BF15" s="46">
        <v>0</v>
      </c>
      <c r="BG15" s="1">
        <v>0</v>
      </c>
      <c r="BH15" s="1">
        <v>0</v>
      </c>
      <c r="BI15" s="46">
        <v>0</v>
      </c>
      <c r="BJ15" s="1">
        <v>0</v>
      </c>
      <c r="BK15" s="1">
        <v>0</v>
      </c>
      <c r="BL15">
        <v>0</v>
      </c>
    </row>
    <row r="16" spans="1:64" ht="15.5" x14ac:dyDescent="0.35">
      <c r="A16" t="s">
        <v>78</v>
      </c>
      <c r="B16" s="1">
        <v>0</v>
      </c>
      <c r="C16" s="1">
        <v>0</v>
      </c>
      <c r="D16" s="46">
        <v>0</v>
      </c>
      <c r="E16" s="1">
        <v>0</v>
      </c>
      <c r="F16" s="1">
        <v>0</v>
      </c>
      <c r="G16" s="46">
        <v>0</v>
      </c>
      <c r="H16" s="1">
        <v>0</v>
      </c>
      <c r="I16" s="1">
        <v>0</v>
      </c>
      <c r="J16" s="46">
        <v>0</v>
      </c>
      <c r="K16" s="1">
        <v>0</v>
      </c>
      <c r="L16" s="1">
        <v>0</v>
      </c>
      <c r="M16" s="46">
        <v>0</v>
      </c>
      <c r="N16" s="1">
        <v>0</v>
      </c>
      <c r="O16" s="1">
        <v>0</v>
      </c>
      <c r="P16" s="46">
        <v>0</v>
      </c>
      <c r="Q16" s="1">
        <v>0</v>
      </c>
      <c r="R16" s="1">
        <v>0</v>
      </c>
      <c r="S16" s="46">
        <v>0</v>
      </c>
      <c r="T16" s="1">
        <v>0</v>
      </c>
      <c r="U16" s="1">
        <v>0</v>
      </c>
      <c r="V16" s="46">
        <v>0</v>
      </c>
      <c r="W16" s="1">
        <v>0</v>
      </c>
      <c r="X16" s="1">
        <v>0</v>
      </c>
      <c r="Y16" s="46">
        <v>0</v>
      </c>
      <c r="Z16" s="1">
        <v>0</v>
      </c>
      <c r="AA16" s="1">
        <v>0</v>
      </c>
      <c r="AB16" s="46">
        <v>0</v>
      </c>
      <c r="AC16" s="1">
        <v>0</v>
      </c>
      <c r="AD16" s="1">
        <v>0</v>
      </c>
      <c r="AE16" s="46">
        <v>0</v>
      </c>
      <c r="AF16" s="1">
        <v>0</v>
      </c>
      <c r="AG16" s="1">
        <v>0</v>
      </c>
      <c r="AH16" s="46">
        <v>0</v>
      </c>
      <c r="AI16" s="1">
        <v>0</v>
      </c>
      <c r="AJ16" s="1">
        <v>0</v>
      </c>
      <c r="AK16" s="46">
        <v>0</v>
      </c>
      <c r="AL16" s="1">
        <v>0</v>
      </c>
      <c r="AM16" s="1">
        <v>0</v>
      </c>
      <c r="AN16" s="46">
        <v>0</v>
      </c>
      <c r="AO16" s="1">
        <v>0</v>
      </c>
      <c r="AP16" s="1">
        <v>0</v>
      </c>
      <c r="AQ16" s="46">
        <v>0</v>
      </c>
      <c r="AR16" s="1">
        <v>0</v>
      </c>
      <c r="AS16" s="1">
        <v>0</v>
      </c>
      <c r="AT16" s="46">
        <v>0</v>
      </c>
      <c r="AU16" s="1">
        <v>0</v>
      </c>
      <c r="AV16" s="1">
        <v>0</v>
      </c>
      <c r="AW16" s="46">
        <v>0</v>
      </c>
      <c r="AX16" s="1">
        <v>0</v>
      </c>
      <c r="AY16" s="1">
        <v>0</v>
      </c>
      <c r="AZ16" s="46">
        <v>0</v>
      </c>
      <c r="BA16" s="1">
        <v>0</v>
      </c>
      <c r="BB16" s="1">
        <v>0</v>
      </c>
      <c r="BC16" s="46">
        <v>0</v>
      </c>
      <c r="BD16" s="1">
        <v>0</v>
      </c>
      <c r="BE16" s="1">
        <v>0</v>
      </c>
      <c r="BF16" s="46">
        <v>0</v>
      </c>
      <c r="BG16" s="1">
        <v>0</v>
      </c>
      <c r="BH16" s="1">
        <v>0</v>
      </c>
      <c r="BI16" s="46">
        <v>0</v>
      </c>
      <c r="BJ16" s="1">
        <v>0</v>
      </c>
      <c r="BK16" s="1">
        <v>0</v>
      </c>
      <c r="BL16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16"/>
  <sheetViews>
    <sheetView workbookViewId="0"/>
  </sheetViews>
  <sheetFormatPr defaultRowHeight="14.5" x14ac:dyDescent="0.35"/>
  <cols>
    <col min="1" max="1" width="13" bestFit="1" customWidth="1"/>
    <col min="2" max="3" width="13" hidden="1" bestFit="1" customWidth="1"/>
    <col min="4" max="4" width="13" bestFit="1" customWidth="1"/>
    <col min="5" max="6" width="13" hidden="1" bestFit="1" customWidth="1"/>
    <col min="7" max="7" width="13" bestFit="1" customWidth="1"/>
    <col min="8" max="9" width="13" hidden="1" bestFit="1" customWidth="1"/>
    <col min="10" max="10" width="13" bestFit="1" customWidth="1"/>
    <col min="11" max="12" width="13" hidden="1" bestFit="1" customWidth="1"/>
    <col min="13" max="13" width="13" bestFit="1" customWidth="1"/>
    <col min="14" max="15" width="13" hidden="1" bestFit="1" customWidth="1"/>
    <col min="16" max="16" width="13" bestFit="1" customWidth="1"/>
    <col min="17" max="18" width="13" hidden="1" bestFit="1" customWidth="1"/>
    <col min="19" max="19" width="13" bestFit="1" customWidth="1"/>
    <col min="20" max="21" width="13" hidden="1" bestFit="1" customWidth="1"/>
    <col min="22" max="22" width="13" bestFit="1" customWidth="1"/>
    <col min="23" max="24" width="13" hidden="1" bestFit="1" customWidth="1"/>
    <col min="25" max="25" width="13" bestFit="1" customWidth="1"/>
    <col min="26" max="27" width="13" hidden="1" bestFit="1" customWidth="1"/>
    <col min="28" max="28" width="13" bestFit="1" customWidth="1"/>
    <col min="29" max="30" width="13" hidden="1" bestFit="1" customWidth="1"/>
    <col min="31" max="31" width="13" bestFit="1" customWidth="1"/>
    <col min="32" max="33" width="13" hidden="1" bestFit="1" customWidth="1"/>
    <col min="34" max="34" width="13" bestFit="1" customWidth="1"/>
    <col min="35" max="36" width="13" hidden="1" bestFit="1" customWidth="1"/>
    <col min="37" max="37" width="13" bestFit="1" customWidth="1"/>
    <col min="38" max="39" width="13" hidden="1" bestFit="1" customWidth="1"/>
    <col min="40" max="40" width="13" bestFit="1" customWidth="1"/>
    <col min="41" max="42" width="13" hidden="1" bestFit="1" customWidth="1"/>
    <col min="43" max="43" width="13" bestFit="1" customWidth="1"/>
    <col min="44" max="45" width="13" hidden="1" bestFit="1" customWidth="1"/>
    <col min="46" max="46" width="13" bestFit="1" customWidth="1"/>
    <col min="47" max="48" width="13" hidden="1" bestFit="1" customWidth="1"/>
    <col min="49" max="49" width="13" bestFit="1" customWidth="1"/>
    <col min="50" max="51" width="13" hidden="1" bestFit="1" customWidth="1"/>
    <col min="52" max="52" width="13" bestFit="1" customWidth="1"/>
    <col min="53" max="54" width="13" hidden="1" bestFit="1" customWidth="1"/>
    <col min="55" max="55" width="13" bestFit="1" customWidth="1"/>
    <col min="56" max="57" width="13" hidden="1" bestFit="1" customWidth="1"/>
    <col min="58" max="58" width="13" bestFit="1" customWidth="1"/>
    <col min="59" max="60" width="13" hidden="1" bestFit="1" customWidth="1"/>
    <col min="61" max="61" width="13" bestFit="1" customWidth="1"/>
    <col min="62" max="62" width="13" hidden="1" bestFit="1" customWidth="1"/>
  </cols>
  <sheetData>
    <row r="1" spans="1:64" x14ac:dyDescent="0.35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t="s">
        <v>5</v>
      </c>
      <c r="G1" s="16" t="s">
        <v>6</v>
      </c>
      <c r="H1" t="s">
        <v>7</v>
      </c>
      <c r="I1" t="s">
        <v>8</v>
      </c>
      <c r="J1" s="16" t="s">
        <v>9</v>
      </c>
      <c r="K1" t="s">
        <v>10</v>
      </c>
      <c r="L1" t="s">
        <v>11</v>
      </c>
      <c r="M1" s="16" t="s">
        <v>12</v>
      </c>
      <c r="N1" t="s">
        <v>13</v>
      </c>
      <c r="O1" t="s">
        <v>14</v>
      </c>
      <c r="P1" s="16" t="s">
        <v>15</v>
      </c>
      <c r="Q1" t="s">
        <v>16</v>
      </c>
      <c r="R1" t="s">
        <v>17</v>
      </c>
      <c r="S1" s="16" t="s">
        <v>18</v>
      </c>
      <c r="T1" t="s">
        <v>19</v>
      </c>
      <c r="U1" t="s">
        <v>20</v>
      </c>
      <c r="V1" s="16" t="s">
        <v>21</v>
      </c>
      <c r="W1" t="s">
        <v>22</v>
      </c>
      <c r="X1" t="s">
        <v>23</v>
      </c>
      <c r="Y1" s="16" t="s">
        <v>24</v>
      </c>
      <c r="Z1" t="s">
        <v>25</v>
      </c>
      <c r="AA1" t="s">
        <v>26</v>
      </c>
      <c r="AB1" s="16" t="s">
        <v>27</v>
      </c>
      <c r="AC1" t="s">
        <v>28</v>
      </c>
      <c r="AD1" t="s">
        <v>29</v>
      </c>
      <c r="AE1" s="16" t="s">
        <v>30</v>
      </c>
      <c r="AF1" t="s">
        <v>31</v>
      </c>
      <c r="AG1" t="s">
        <v>32</v>
      </c>
      <c r="AH1" s="16" t="s">
        <v>33</v>
      </c>
      <c r="AI1" t="s">
        <v>34</v>
      </c>
      <c r="AJ1" t="s">
        <v>35</v>
      </c>
      <c r="AK1" s="16" t="s">
        <v>36</v>
      </c>
      <c r="AL1" t="s">
        <v>37</v>
      </c>
      <c r="AM1" t="s">
        <v>38</v>
      </c>
      <c r="AN1" s="16" t="s">
        <v>39</v>
      </c>
      <c r="AO1" t="s">
        <v>40</v>
      </c>
      <c r="AP1" t="s">
        <v>41</v>
      </c>
      <c r="AQ1" s="16" t="s">
        <v>42</v>
      </c>
      <c r="AR1" t="s">
        <v>43</v>
      </c>
      <c r="AS1" t="s">
        <v>44</v>
      </c>
      <c r="AT1" s="16" t="s">
        <v>45</v>
      </c>
      <c r="AU1" t="s">
        <v>46</v>
      </c>
      <c r="AV1" t="s">
        <v>47</v>
      </c>
      <c r="AW1" s="16" t="s">
        <v>48</v>
      </c>
      <c r="AX1" t="s">
        <v>49</v>
      </c>
      <c r="AY1" t="s">
        <v>50</v>
      </c>
      <c r="AZ1" s="16" t="s">
        <v>51</v>
      </c>
      <c r="BA1" t="s">
        <v>52</v>
      </c>
      <c r="BB1" t="s">
        <v>53</v>
      </c>
      <c r="BC1" s="16" t="s">
        <v>54</v>
      </c>
      <c r="BD1" t="s">
        <v>55</v>
      </c>
      <c r="BE1" t="s">
        <v>56</v>
      </c>
      <c r="BF1" s="16" t="s">
        <v>57</v>
      </c>
      <c r="BG1" t="s">
        <v>58</v>
      </c>
      <c r="BH1" t="s">
        <v>59</v>
      </c>
      <c r="BI1" s="16" t="s">
        <v>60</v>
      </c>
      <c r="BJ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1">
        <v>2</v>
      </c>
      <c r="C2" s="1">
        <v>2</v>
      </c>
      <c r="D2" s="46">
        <v>2</v>
      </c>
      <c r="E2" s="1">
        <v>2</v>
      </c>
      <c r="F2" s="1">
        <v>2</v>
      </c>
      <c r="G2" s="46">
        <v>2</v>
      </c>
      <c r="H2" s="1">
        <v>2</v>
      </c>
      <c r="I2" s="1">
        <v>2</v>
      </c>
      <c r="J2" s="46">
        <v>2</v>
      </c>
      <c r="K2" s="1">
        <v>2</v>
      </c>
      <c r="L2" s="1">
        <v>1</v>
      </c>
      <c r="M2" s="46">
        <v>1</v>
      </c>
      <c r="N2" s="1">
        <v>1</v>
      </c>
      <c r="O2" s="1">
        <v>1</v>
      </c>
      <c r="P2" s="46">
        <v>1</v>
      </c>
      <c r="Q2" s="1">
        <v>1</v>
      </c>
      <c r="R2" s="1">
        <v>1</v>
      </c>
      <c r="S2" s="46">
        <v>1</v>
      </c>
      <c r="T2" s="1">
        <v>1</v>
      </c>
      <c r="U2" s="1">
        <v>1</v>
      </c>
      <c r="V2" s="46">
        <v>1</v>
      </c>
      <c r="W2" s="1">
        <v>1</v>
      </c>
      <c r="X2" s="1">
        <v>1</v>
      </c>
      <c r="Y2" s="46">
        <v>1</v>
      </c>
      <c r="Z2" s="1">
        <v>1</v>
      </c>
      <c r="AA2" s="1">
        <v>1</v>
      </c>
      <c r="AB2" s="46">
        <v>1</v>
      </c>
      <c r="AC2" s="1">
        <v>1</v>
      </c>
      <c r="AD2" s="1">
        <v>1</v>
      </c>
      <c r="AE2" s="46">
        <v>1</v>
      </c>
      <c r="AF2" s="1">
        <v>1</v>
      </c>
      <c r="AG2" s="1">
        <v>1</v>
      </c>
      <c r="AH2" s="46">
        <v>1</v>
      </c>
      <c r="AI2" s="1">
        <v>1</v>
      </c>
      <c r="AJ2" s="1">
        <v>1</v>
      </c>
      <c r="AK2" s="46">
        <v>1</v>
      </c>
      <c r="AL2" s="1">
        <v>0</v>
      </c>
      <c r="AM2" s="1">
        <v>0</v>
      </c>
      <c r="AN2" s="46">
        <v>0</v>
      </c>
      <c r="AO2" s="1">
        <v>0</v>
      </c>
      <c r="AP2" s="1">
        <v>0</v>
      </c>
      <c r="AQ2" s="46">
        <v>0</v>
      </c>
      <c r="AR2" s="1">
        <v>0</v>
      </c>
      <c r="AS2" s="1">
        <v>0</v>
      </c>
      <c r="AT2" s="46">
        <v>0</v>
      </c>
      <c r="AU2" s="1">
        <v>0</v>
      </c>
      <c r="AV2" s="1">
        <v>0</v>
      </c>
      <c r="AW2" s="46">
        <v>0</v>
      </c>
      <c r="AX2" s="1">
        <v>0</v>
      </c>
      <c r="AY2" s="1">
        <v>0</v>
      </c>
      <c r="AZ2" s="46">
        <v>0</v>
      </c>
      <c r="BA2" s="1">
        <v>0</v>
      </c>
      <c r="BB2" s="1">
        <v>0</v>
      </c>
      <c r="BC2" s="46">
        <v>0</v>
      </c>
      <c r="BD2" s="1">
        <v>0</v>
      </c>
      <c r="BE2" s="1">
        <v>0</v>
      </c>
      <c r="BF2" s="46">
        <v>0</v>
      </c>
      <c r="BG2" s="1">
        <v>0</v>
      </c>
      <c r="BH2" s="1">
        <v>0</v>
      </c>
      <c r="BI2" s="46">
        <v>0</v>
      </c>
      <c r="BJ2" s="1">
        <v>0</v>
      </c>
      <c r="BK2" s="1">
        <v>0</v>
      </c>
      <c r="BL2">
        <v>0</v>
      </c>
    </row>
    <row r="3" spans="1:64" ht="15.5" x14ac:dyDescent="0.35">
      <c r="A3" t="s">
        <v>65</v>
      </c>
      <c r="B3" s="1">
        <v>0</v>
      </c>
      <c r="C3" s="1">
        <v>0</v>
      </c>
      <c r="D3" s="46">
        <v>0</v>
      </c>
      <c r="E3" s="1">
        <v>0</v>
      </c>
      <c r="F3" s="1">
        <v>0</v>
      </c>
      <c r="G3" s="46">
        <v>0</v>
      </c>
      <c r="H3" s="1">
        <v>0</v>
      </c>
      <c r="I3" s="1">
        <v>0</v>
      </c>
      <c r="J3" s="46">
        <v>0</v>
      </c>
      <c r="K3" s="1">
        <v>0</v>
      </c>
      <c r="L3" s="1">
        <v>0</v>
      </c>
      <c r="M3" s="46">
        <v>0</v>
      </c>
      <c r="N3" s="1">
        <v>0</v>
      </c>
      <c r="O3" s="1">
        <v>0</v>
      </c>
      <c r="P3" s="46">
        <v>0</v>
      </c>
      <c r="Q3" s="1">
        <v>0</v>
      </c>
      <c r="R3" s="1">
        <v>0</v>
      </c>
      <c r="S3" s="46">
        <v>0</v>
      </c>
      <c r="T3" s="1">
        <v>0</v>
      </c>
      <c r="U3" s="1">
        <v>0</v>
      </c>
      <c r="V3" s="46">
        <v>0</v>
      </c>
      <c r="W3" s="1">
        <v>0</v>
      </c>
      <c r="X3" s="1">
        <v>0</v>
      </c>
      <c r="Y3" s="46">
        <v>0</v>
      </c>
      <c r="Z3" s="1">
        <v>0</v>
      </c>
      <c r="AA3" s="1">
        <v>0</v>
      </c>
      <c r="AB3" s="46">
        <v>0</v>
      </c>
      <c r="AC3" s="1">
        <v>0</v>
      </c>
      <c r="AD3" s="1">
        <v>0</v>
      </c>
      <c r="AE3" s="46">
        <v>0</v>
      </c>
      <c r="AF3" s="1">
        <v>0</v>
      </c>
      <c r="AG3" s="1">
        <v>0</v>
      </c>
      <c r="AH3" s="46">
        <v>0</v>
      </c>
      <c r="AI3" s="1">
        <v>0</v>
      </c>
      <c r="AJ3" s="1">
        <v>0</v>
      </c>
      <c r="AK3" s="46">
        <v>0</v>
      </c>
      <c r="AL3" s="1">
        <v>0</v>
      </c>
      <c r="AM3" s="1">
        <v>0</v>
      </c>
      <c r="AN3" s="46">
        <v>0</v>
      </c>
      <c r="AO3" s="1">
        <v>0</v>
      </c>
      <c r="AP3" s="1">
        <v>0</v>
      </c>
      <c r="AQ3" s="46">
        <v>0</v>
      </c>
      <c r="AR3" s="1">
        <v>0</v>
      </c>
      <c r="AS3" s="1">
        <v>0</v>
      </c>
      <c r="AT3" s="46">
        <v>0</v>
      </c>
      <c r="AU3" s="1">
        <v>0</v>
      </c>
      <c r="AV3" s="1">
        <v>0</v>
      </c>
      <c r="AW3" s="46">
        <v>0</v>
      </c>
      <c r="AX3" s="1">
        <v>0</v>
      </c>
      <c r="AY3" s="1">
        <v>0</v>
      </c>
      <c r="AZ3" s="46">
        <v>0</v>
      </c>
      <c r="BA3" s="1">
        <v>0</v>
      </c>
      <c r="BB3" s="1">
        <v>0</v>
      </c>
      <c r="BC3" s="46">
        <v>0</v>
      </c>
      <c r="BD3" s="1">
        <v>0</v>
      </c>
      <c r="BE3" s="1">
        <v>0</v>
      </c>
      <c r="BF3" s="46">
        <v>0</v>
      </c>
      <c r="BG3" s="1">
        <v>0</v>
      </c>
      <c r="BH3" s="1">
        <v>0</v>
      </c>
      <c r="BI3" s="46">
        <v>0</v>
      </c>
      <c r="BJ3" s="1">
        <v>0</v>
      </c>
      <c r="BK3" s="1">
        <v>0</v>
      </c>
      <c r="BL3">
        <v>0</v>
      </c>
    </row>
    <row r="4" spans="1:64" ht="15.5" x14ac:dyDescent="0.35">
      <c r="A4" t="s">
        <v>66</v>
      </c>
      <c r="B4" s="1">
        <v>2</v>
      </c>
      <c r="C4" s="1">
        <v>2</v>
      </c>
      <c r="D4" s="46">
        <v>2</v>
      </c>
      <c r="E4" s="1">
        <v>2</v>
      </c>
      <c r="F4" s="1">
        <v>2</v>
      </c>
      <c r="G4" s="46">
        <v>2</v>
      </c>
      <c r="H4" s="1">
        <v>2</v>
      </c>
      <c r="I4" s="1">
        <v>2</v>
      </c>
      <c r="J4" s="46">
        <v>2</v>
      </c>
      <c r="K4" s="1">
        <v>2</v>
      </c>
      <c r="L4" s="1">
        <v>2</v>
      </c>
      <c r="M4" s="46">
        <v>2</v>
      </c>
      <c r="N4" s="1">
        <v>2</v>
      </c>
      <c r="O4" s="1">
        <v>2</v>
      </c>
      <c r="P4" s="46">
        <v>2</v>
      </c>
      <c r="Q4" s="1">
        <v>2</v>
      </c>
      <c r="R4" s="1">
        <v>2</v>
      </c>
      <c r="S4" s="46">
        <v>2</v>
      </c>
      <c r="T4" s="1">
        <v>2</v>
      </c>
      <c r="U4" s="1">
        <v>2</v>
      </c>
      <c r="V4" s="46">
        <v>2</v>
      </c>
      <c r="W4" s="1">
        <v>2</v>
      </c>
      <c r="X4" s="1">
        <v>2</v>
      </c>
      <c r="Y4" s="46">
        <v>2</v>
      </c>
      <c r="Z4" s="1">
        <v>2</v>
      </c>
      <c r="AA4" s="1">
        <v>2</v>
      </c>
      <c r="AB4" s="46">
        <v>2</v>
      </c>
      <c r="AC4" s="1">
        <v>2</v>
      </c>
      <c r="AD4" s="1">
        <v>2</v>
      </c>
      <c r="AE4" s="46">
        <v>2</v>
      </c>
      <c r="AF4" s="1">
        <v>2</v>
      </c>
      <c r="AG4" s="1">
        <v>2</v>
      </c>
      <c r="AH4" s="46">
        <v>2</v>
      </c>
      <c r="AI4" s="1">
        <v>1</v>
      </c>
      <c r="AJ4" s="1">
        <v>1</v>
      </c>
      <c r="AK4" s="46">
        <v>0</v>
      </c>
      <c r="AL4" s="1">
        <v>0</v>
      </c>
      <c r="AM4" s="1">
        <v>0</v>
      </c>
      <c r="AN4" s="46">
        <v>0</v>
      </c>
      <c r="AO4" s="1">
        <v>0</v>
      </c>
      <c r="AP4" s="1">
        <v>0</v>
      </c>
      <c r="AQ4" s="46">
        <v>0</v>
      </c>
      <c r="AR4" s="1">
        <v>0</v>
      </c>
      <c r="AS4" s="1">
        <v>0</v>
      </c>
      <c r="AT4" s="46">
        <v>0</v>
      </c>
      <c r="AU4" s="1">
        <v>0</v>
      </c>
      <c r="AV4" s="1">
        <v>0</v>
      </c>
      <c r="AW4" s="46">
        <v>0</v>
      </c>
      <c r="AX4" s="1">
        <v>0</v>
      </c>
      <c r="AY4" s="1">
        <v>0</v>
      </c>
      <c r="AZ4" s="46">
        <v>0</v>
      </c>
      <c r="BA4" s="1">
        <v>0</v>
      </c>
      <c r="BB4" s="1">
        <v>0</v>
      </c>
      <c r="BC4" s="46">
        <v>0</v>
      </c>
      <c r="BD4" s="1">
        <v>0</v>
      </c>
      <c r="BE4" s="1">
        <v>0</v>
      </c>
      <c r="BF4" s="46">
        <v>0</v>
      </c>
      <c r="BG4" s="1">
        <v>0</v>
      </c>
      <c r="BH4" s="1">
        <v>0</v>
      </c>
      <c r="BI4" s="46">
        <v>0</v>
      </c>
      <c r="BJ4" s="1">
        <v>0</v>
      </c>
      <c r="BK4" s="1">
        <v>0</v>
      </c>
      <c r="BL4">
        <v>0</v>
      </c>
    </row>
    <row r="5" spans="1:64" ht="15.5" x14ac:dyDescent="0.35">
      <c r="A5" t="s">
        <v>67</v>
      </c>
      <c r="B5" s="1">
        <v>40982.509999999987</v>
      </c>
      <c r="C5" s="1">
        <v>40982.509999999987</v>
      </c>
      <c r="D5" s="46">
        <v>40982.509999999987</v>
      </c>
      <c r="E5" s="1">
        <v>40982.509999999987</v>
      </c>
      <c r="F5" s="1">
        <v>40982.509999999987</v>
      </c>
      <c r="G5" s="46">
        <v>40982.509999999987</v>
      </c>
      <c r="H5" s="1">
        <v>40982.509999999987</v>
      </c>
      <c r="I5" s="1">
        <v>40982.509999999987</v>
      </c>
      <c r="J5" s="46">
        <v>40982.509999999987</v>
      </c>
      <c r="K5" s="1">
        <v>40982.509999999987</v>
      </c>
      <c r="L5" s="1">
        <v>35601.17</v>
      </c>
      <c r="M5" s="46">
        <v>35601.17</v>
      </c>
      <c r="N5" s="1">
        <v>35601.17</v>
      </c>
      <c r="O5" s="1">
        <v>35601.17</v>
      </c>
      <c r="P5" s="46">
        <v>35601.17</v>
      </c>
      <c r="Q5" s="1">
        <v>35601.17</v>
      </c>
      <c r="R5" s="1">
        <v>35601.17</v>
      </c>
      <c r="S5" s="46">
        <v>35601.17</v>
      </c>
      <c r="T5" s="1">
        <v>35601.17</v>
      </c>
      <c r="U5" s="1">
        <v>35601.17</v>
      </c>
      <c r="V5" s="46">
        <v>35601.17</v>
      </c>
      <c r="W5" s="1">
        <v>35601.17</v>
      </c>
      <c r="X5" s="1">
        <v>35601.17</v>
      </c>
      <c r="Y5" s="46">
        <v>35601.17</v>
      </c>
      <c r="Z5" s="1">
        <v>35601.17</v>
      </c>
      <c r="AA5" s="1">
        <v>35601.17</v>
      </c>
      <c r="AB5" s="46">
        <v>35601.17</v>
      </c>
      <c r="AC5" s="1">
        <v>35601.17</v>
      </c>
      <c r="AD5" s="1">
        <v>35601.17</v>
      </c>
      <c r="AE5" s="46">
        <v>35601.17</v>
      </c>
      <c r="AF5" s="1">
        <v>35601.17</v>
      </c>
      <c r="AG5" s="1">
        <v>35601.17</v>
      </c>
      <c r="AH5" s="46">
        <v>35601.17</v>
      </c>
      <c r="AI5" s="1">
        <v>21234.240000000002</v>
      </c>
      <c r="AJ5" s="1">
        <v>21234.240000000002</v>
      </c>
      <c r="AK5" s="46">
        <v>8045.15</v>
      </c>
      <c r="AL5" s="1">
        <v>0</v>
      </c>
      <c r="AM5" s="1">
        <v>0</v>
      </c>
      <c r="AN5" s="46">
        <v>0</v>
      </c>
      <c r="AO5" s="1">
        <v>0</v>
      </c>
      <c r="AP5" s="1">
        <v>0</v>
      </c>
      <c r="AQ5" s="46">
        <v>0</v>
      </c>
      <c r="AR5" s="1">
        <v>0</v>
      </c>
      <c r="AS5" s="1">
        <v>0</v>
      </c>
      <c r="AT5" s="46">
        <v>0</v>
      </c>
      <c r="AU5" s="1">
        <v>0</v>
      </c>
      <c r="AV5" s="1">
        <v>0</v>
      </c>
      <c r="AW5" s="46">
        <v>0</v>
      </c>
      <c r="AX5" s="1">
        <v>0</v>
      </c>
      <c r="AY5" s="1">
        <v>0</v>
      </c>
      <c r="AZ5" s="46">
        <v>0</v>
      </c>
      <c r="BA5" s="1">
        <v>0</v>
      </c>
      <c r="BB5" s="1">
        <v>0</v>
      </c>
      <c r="BC5" s="46">
        <v>0</v>
      </c>
      <c r="BD5" s="1">
        <v>0</v>
      </c>
      <c r="BE5" s="1">
        <v>0</v>
      </c>
      <c r="BF5" s="46">
        <v>0</v>
      </c>
      <c r="BG5" s="1">
        <v>0</v>
      </c>
      <c r="BH5" s="1">
        <v>0</v>
      </c>
      <c r="BI5" s="46">
        <v>0</v>
      </c>
      <c r="BJ5" s="1">
        <v>0</v>
      </c>
      <c r="BK5" s="1">
        <v>0</v>
      </c>
      <c r="BL5">
        <v>0</v>
      </c>
    </row>
    <row r="6" spans="1:64" ht="15.5" x14ac:dyDescent="0.35">
      <c r="A6" t="s">
        <v>68</v>
      </c>
      <c r="B6" s="1">
        <v>15765.88</v>
      </c>
      <c r="C6" s="1">
        <v>15765.88</v>
      </c>
      <c r="D6" s="46">
        <v>15765.88</v>
      </c>
      <c r="E6" s="1">
        <v>15765.88</v>
      </c>
      <c r="F6" s="1">
        <v>15765.88</v>
      </c>
      <c r="G6" s="46">
        <v>15765.88</v>
      </c>
      <c r="H6" s="1">
        <v>15765.88</v>
      </c>
      <c r="I6" s="1">
        <v>15765.88</v>
      </c>
      <c r="J6" s="46">
        <v>15765.88</v>
      </c>
      <c r="K6" s="1">
        <v>15765.88</v>
      </c>
      <c r="L6" s="1">
        <v>13411.01</v>
      </c>
      <c r="M6" s="46">
        <v>13411.01</v>
      </c>
      <c r="N6" s="1">
        <v>13411.01</v>
      </c>
      <c r="O6" s="1">
        <v>13411.01</v>
      </c>
      <c r="P6" s="46">
        <v>13411.01</v>
      </c>
      <c r="Q6" s="1">
        <v>13411.01</v>
      </c>
      <c r="R6" s="1">
        <v>13411.01</v>
      </c>
      <c r="S6" s="46">
        <v>13411.01</v>
      </c>
      <c r="T6" s="1">
        <v>13411.01</v>
      </c>
      <c r="U6" s="1">
        <v>13411.01</v>
      </c>
      <c r="V6" s="46">
        <v>13411.01</v>
      </c>
      <c r="W6" s="1">
        <v>13411.01</v>
      </c>
      <c r="X6" s="1">
        <v>13411.01</v>
      </c>
      <c r="Y6" s="46">
        <v>13411.01</v>
      </c>
      <c r="Z6" s="1">
        <v>13411.01</v>
      </c>
      <c r="AA6" s="1">
        <v>13411.01</v>
      </c>
      <c r="AB6" s="46">
        <v>13411.01</v>
      </c>
      <c r="AC6" s="1">
        <v>13411.01</v>
      </c>
      <c r="AD6" s="1">
        <v>13411.01</v>
      </c>
      <c r="AE6" s="46">
        <v>13411.01</v>
      </c>
      <c r="AF6" s="1">
        <v>13411.01</v>
      </c>
      <c r="AG6" s="1">
        <v>13411.01</v>
      </c>
      <c r="AH6" s="46">
        <v>13411.01</v>
      </c>
      <c r="AI6" s="1">
        <v>7428.43</v>
      </c>
      <c r="AJ6" s="1">
        <v>7428.43</v>
      </c>
      <c r="AK6" s="46">
        <v>2938.22</v>
      </c>
      <c r="AL6" s="1">
        <v>0</v>
      </c>
      <c r="AM6" s="1">
        <v>0</v>
      </c>
      <c r="AN6" s="46">
        <v>0</v>
      </c>
      <c r="AO6" s="1">
        <v>0</v>
      </c>
      <c r="AP6" s="1">
        <v>0</v>
      </c>
      <c r="AQ6" s="46">
        <v>0</v>
      </c>
      <c r="AR6" s="1">
        <v>0</v>
      </c>
      <c r="AS6" s="1">
        <v>0</v>
      </c>
      <c r="AT6" s="46">
        <v>0</v>
      </c>
      <c r="AU6" s="1">
        <v>0</v>
      </c>
      <c r="AV6" s="1">
        <v>0</v>
      </c>
      <c r="AW6" s="46">
        <v>0</v>
      </c>
      <c r="AX6" s="1">
        <v>0</v>
      </c>
      <c r="AY6" s="1">
        <v>0</v>
      </c>
      <c r="AZ6" s="46">
        <v>0</v>
      </c>
      <c r="BA6" s="1">
        <v>0</v>
      </c>
      <c r="BB6" s="1">
        <v>0</v>
      </c>
      <c r="BC6" s="46">
        <v>0</v>
      </c>
      <c r="BD6" s="1">
        <v>0</v>
      </c>
      <c r="BE6" s="1">
        <v>0</v>
      </c>
      <c r="BF6" s="46">
        <v>0</v>
      </c>
      <c r="BG6" s="1">
        <v>0</v>
      </c>
      <c r="BH6" s="1">
        <v>0</v>
      </c>
      <c r="BI6" s="46">
        <v>0</v>
      </c>
      <c r="BJ6" s="1">
        <v>0</v>
      </c>
      <c r="BK6" s="1">
        <v>0</v>
      </c>
      <c r="BL6">
        <v>0</v>
      </c>
    </row>
    <row r="7" spans="1:64" ht="15.5" x14ac:dyDescent="0.35">
      <c r="A7" t="s">
        <v>69</v>
      </c>
      <c r="B7" s="1">
        <v>12658.26</v>
      </c>
      <c r="C7" s="1">
        <v>12658.26</v>
      </c>
      <c r="D7" s="46">
        <v>12658.26</v>
      </c>
      <c r="E7" s="1">
        <v>12658.26</v>
      </c>
      <c r="F7" s="1">
        <v>12658.26</v>
      </c>
      <c r="G7" s="46">
        <v>12658.26</v>
      </c>
      <c r="H7" s="1">
        <v>12658.26</v>
      </c>
      <c r="I7" s="1">
        <v>12658.26</v>
      </c>
      <c r="J7" s="46">
        <v>12658.26</v>
      </c>
      <c r="K7" s="1">
        <v>12658.26</v>
      </c>
      <c r="L7" s="1">
        <v>11326.85</v>
      </c>
      <c r="M7" s="46">
        <v>11326.85</v>
      </c>
      <c r="N7" s="1">
        <v>11326.85</v>
      </c>
      <c r="O7" s="1">
        <v>11326.85</v>
      </c>
      <c r="P7" s="46">
        <v>11326.85</v>
      </c>
      <c r="Q7" s="1">
        <v>11326.85</v>
      </c>
      <c r="R7" s="1">
        <v>11326.85</v>
      </c>
      <c r="S7" s="46">
        <v>11326.85</v>
      </c>
      <c r="T7" s="1">
        <v>11326.85</v>
      </c>
      <c r="U7" s="1">
        <v>11326.85</v>
      </c>
      <c r="V7" s="46">
        <v>11326.85</v>
      </c>
      <c r="W7" s="1">
        <v>11326.85</v>
      </c>
      <c r="X7" s="1">
        <v>11326.85</v>
      </c>
      <c r="Y7" s="46">
        <v>11326.85</v>
      </c>
      <c r="Z7" s="1">
        <v>11326.85</v>
      </c>
      <c r="AA7" s="1">
        <v>11326.85</v>
      </c>
      <c r="AB7" s="46">
        <v>11326.85</v>
      </c>
      <c r="AC7" s="1">
        <v>11326.85</v>
      </c>
      <c r="AD7" s="1">
        <v>11326.85</v>
      </c>
      <c r="AE7" s="46">
        <v>11326.85</v>
      </c>
      <c r="AF7" s="1">
        <v>11326.85</v>
      </c>
      <c r="AG7" s="1">
        <v>11326.85</v>
      </c>
      <c r="AH7" s="46">
        <v>11326.85</v>
      </c>
      <c r="AI7" s="1">
        <v>7236.7</v>
      </c>
      <c r="AJ7" s="1">
        <v>7236.7</v>
      </c>
      <c r="AK7" s="46">
        <v>2780.54</v>
      </c>
      <c r="AL7" s="1">
        <v>0</v>
      </c>
      <c r="AM7" s="1">
        <v>0</v>
      </c>
      <c r="AN7" s="46">
        <v>0</v>
      </c>
      <c r="AO7" s="1">
        <v>0</v>
      </c>
      <c r="AP7" s="1">
        <v>0</v>
      </c>
      <c r="AQ7" s="46">
        <v>0</v>
      </c>
      <c r="AR7" s="1">
        <v>0</v>
      </c>
      <c r="AS7" s="1">
        <v>0</v>
      </c>
      <c r="AT7" s="46">
        <v>0</v>
      </c>
      <c r="AU7" s="1">
        <v>0</v>
      </c>
      <c r="AV7" s="1">
        <v>0</v>
      </c>
      <c r="AW7" s="46">
        <v>0</v>
      </c>
      <c r="AX7" s="1">
        <v>0</v>
      </c>
      <c r="AY7" s="1">
        <v>0</v>
      </c>
      <c r="AZ7" s="46">
        <v>0</v>
      </c>
      <c r="BA7" s="1">
        <v>0</v>
      </c>
      <c r="BB7" s="1">
        <v>0</v>
      </c>
      <c r="BC7" s="46">
        <v>0</v>
      </c>
      <c r="BD7" s="1">
        <v>0</v>
      </c>
      <c r="BE7" s="1">
        <v>0</v>
      </c>
      <c r="BF7" s="46">
        <v>0</v>
      </c>
      <c r="BG7" s="1">
        <v>0</v>
      </c>
      <c r="BH7" s="1">
        <v>0</v>
      </c>
      <c r="BI7" s="46">
        <v>0</v>
      </c>
      <c r="BJ7" s="1">
        <v>0</v>
      </c>
      <c r="BK7" s="1">
        <v>0</v>
      </c>
      <c r="BL7">
        <v>0</v>
      </c>
    </row>
    <row r="8" spans="1:64" ht="15.5" x14ac:dyDescent="0.35">
      <c r="A8" t="s">
        <v>70</v>
      </c>
      <c r="B8" s="1">
        <v>2858.33</v>
      </c>
      <c r="C8" s="1">
        <v>2858.33</v>
      </c>
      <c r="D8" s="46">
        <v>2858.33</v>
      </c>
      <c r="E8" s="1">
        <v>2858.33</v>
      </c>
      <c r="F8" s="1">
        <v>2858.33</v>
      </c>
      <c r="G8" s="46">
        <v>2858.33</v>
      </c>
      <c r="H8" s="1">
        <v>2858.33</v>
      </c>
      <c r="I8" s="1">
        <v>2858.33</v>
      </c>
      <c r="J8" s="46">
        <v>2858.33</v>
      </c>
      <c r="K8" s="1">
        <v>2858.33</v>
      </c>
      <c r="L8" s="1">
        <v>2848.33</v>
      </c>
      <c r="M8" s="46">
        <v>2848.33</v>
      </c>
      <c r="N8" s="1">
        <v>2848.33</v>
      </c>
      <c r="O8" s="1">
        <v>2848.33</v>
      </c>
      <c r="P8" s="46">
        <v>2848.33</v>
      </c>
      <c r="Q8" s="1">
        <v>2848.33</v>
      </c>
      <c r="R8" s="1">
        <v>2848.33</v>
      </c>
      <c r="S8" s="46">
        <v>2848.33</v>
      </c>
      <c r="T8" s="1">
        <v>2848.33</v>
      </c>
      <c r="U8" s="1">
        <v>2848.33</v>
      </c>
      <c r="V8" s="46">
        <v>2848.33</v>
      </c>
      <c r="W8" s="1">
        <v>2848.33</v>
      </c>
      <c r="X8" s="1">
        <v>2848.33</v>
      </c>
      <c r="Y8" s="46">
        <v>2848.33</v>
      </c>
      <c r="Z8" s="1">
        <v>2848.33</v>
      </c>
      <c r="AA8" s="1">
        <v>2848.33</v>
      </c>
      <c r="AB8" s="46">
        <v>2848.33</v>
      </c>
      <c r="AC8" s="1">
        <v>2848.33</v>
      </c>
      <c r="AD8" s="1">
        <v>2848.33</v>
      </c>
      <c r="AE8" s="46">
        <v>2848.33</v>
      </c>
      <c r="AF8" s="1">
        <v>2848.33</v>
      </c>
      <c r="AG8" s="1">
        <v>2848.33</v>
      </c>
      <c r="AH8" s="46">
        <v>2848.33</v>
      </c>
      <c r="AI8" s="1">
        <v>1798.18</v>
      </c>
      <c r="AJ8" s="1">
        <v>1798.18</v>
      </c>
      <c r="AK8" s="46">
        <v>677.08</v>
      </c>
      <c r="AL8" s="1">
        <v>0</v>
      </c>
      <c r="AM8" s="1">
        <v>0</v>
      </c>
      <c r="AN8" s="46">
        <v>0</v>
      </c>
      <c r="AO8" s="1">
        <v>0</v>
      </c>
      <c r="AP8" s="1">
        <v>0</v>
      </c>
      <c r="AQ8" s="46">
        <v>0</v>
      </c>
      <c r="AR8" s="1">
        <v>0</v>
      </c>
      <c r="AS8" s="1">
        <v>0</v>
      </c>
      <c r="AT8" s="46">
        <v>0</v>
      </c>
      <c r="AU8" s="1">
        <v>0</v>
      </c>
      <c r="AV8" s="1">
        <v>0</v>
      </c>
      <c r="AW8" s="46">
        <v>0</v>
      </c>
      <c r="AX8" s="1">
        <v>0</v>
      </c>
      <c r="AY8" s="1">
        <v>0</v>
      </c>
      <c r="AZ8" s="46">
        <v>0</v>
      </c>
      <c r="BA8" s="1">
        <v>0</v>
      </c>
      <c r="BB8" s="1">
        <v>0</v>
      </c>
      <c r="BC8" s="46">
        <v>0</v>
      </c>
      <c r="BD8" s="1">
        <v>0</v>
      </c>
      <c r="BE8" s="1">
        <v>0</v>
      </c>
      <c r="BF8" s="46">
        <v>0</v>
      </c>
      <c r="BG8" s="1">
        <v>0</v>
      </c>
      <c r="BH8" s="1">
        <v>0</v>
      </c>
      <c r="BI8" s="46">
        <v>0</v>
      </c>
      <c r="BJ8" s="1">
        <v>0</v>
      </c>
      <c r="BK8" s="1">
        <v>0</v>
      </c>
      <c r="BL8">
        <v>0</v>
      </c>
    </row>
    <row r="9" spans="1:64" ht="15.5" x14ac:dyDescent="0.35">
      <c r="A9" t="s">
        <v>71</v>
      </c>
      <c r="B9" s="1">
        <v>46986.3</v>
      </c>
      <c r="C9" s="1">
        <v>46986.3</v>
      </c>
      <c r="D9" s="46">
        <v>46986.3</v>
      </c>
      <c r="E9" s="1">
        <v>46986.3</v>
      </c>
      <c r="F9" s="1">
        <v>46986.3</v>
      </c>
      <c r="G9" s="46">
        <v>46986.3</v>
      </c>
      <c r="H9" s="1">
        <v>46986.3</v>
      </c>
      <c r="I9" s="1">
        <v>46986.3</v>
      </c>
      <c r="J9" s="46">
        <v>46986.3</v>
      </c>
      <c r="K9" s="1">
        <v>46986.3</v>
      </c>
      <c r="L9" s="1">
        <v>15747.3</v>
      </c>
      <c r="M9" s="46">
        <v>15747.3</v>
      </c>
      <c r="N9" s="1">
        <v>15747.3</v>
      </c>
      <c r="O9" s="1">
        <v>15747.3</v>
      </c>
      <c r="P9" s="46">
        <v>15747.3</v>
      </c>
      <c r="Q9" s="1">
        <v>15747.3</v>
      </c>
      <c r="R9" s="1">
        <v>15747.3</v>
      </c>
      <c r="S9" s="46">
        <v>15747.3</v>
      </c>
      <c r="T9" s="1">
        <v>15747.3</v>
      </c>
      <c r="U9" s="1">
        <v>15747.3</v>
      </c>
      <c r="V9" s="46">
        <v>15747.3</v>
      </c>
      <c r="W9" s="1">
        <v>15747.3</v>
      </c>
      <c r="X9" s="1">
        <v>15747.3</v>
      </c>
      <c r="Y9" s="46">
        <v>15747.3</v>
      </c>
      <c r="Z9" s="1">
        <v>15747.3</v>
      </c>
      <c r="AA9" s="1">
        <v>15747.3</v>
      </c>
      <c r="AB9" s="46">
        <v>15747.3</v>
      </c>
      <c r="AC9" s="1">
        <v>15747.3</v>
      </c>
      <c r="AD9" s="1">
        <v>15747.3</v>
      </c>
      <c r="AE9" s="46">
        <v>15747.3</v>
      </c>
      <c r="AF9" s="1">
        <v>15747.3</v>
      </c>
      <c r="AG9" s="1">
        <v>15747.3</v>
      </c>
      <c r="AH9" s="46">
        <v>15747.3</v>
      </c>
      <c r="AI9" s="1">
        <v>11107.3</v>
      </c>
      <c r="AJ9" s="1">
        <v>11107.3</v>
      </c>
      <c r="AK9" s="46">
        <v>1181.3</v>
      </c>
      <c r="AL9" s="1">
        <v>0</v>
      </c>
      <c r="AM9" s="1">
        <v>0</v>
      </c>
      <c r="AN9" s="46">
        <v>0</v>
      </c>
      <c r="AO9" s="1">
        <v>0</v>
      </c>
      <c r="AP9" s="1">
        <v>0</v>
      </c>
      <c r="AQ9" s="46">
        <v>0</v>
      </c>
      <c r="AR9" s="1">
        <v>0</v>
      </c>
      <c r="AS9" s="1">
        <v>0</v>
      </c>
      <c r="AT9" s="46">
        <v>0</v>
      </c>
      <c r="AU9" s="1">
        <v>0</v>
      </c>
      <c r="AV9" s="1">
        <v>0</v>
      </c>
      <c r="AW9" s="46">
        <v>0</v>
      </c>
      <c r="AX9" s="1">
        <v>0</v>
      </c>
      <c r="AY9" s="1">
        <v>0</v>
      </c>
      <c r="AZ9" s="46">
        <v>0</v>
      </c>
      <c r="BA9" s="1">
        <v>0</v>
      </c>
      <c r="BB9" s="1">
        <v>0</v>
      </c>
      <c r="BC9" s="46">
        <v>0</v>
      </c>
      <c r="BD9" s="1">
        <v>0</v>
      </c>
      <c r="BE9" s="1">
        <v>0</v>
      </c>
      <c r="BF9" s="46">
        <v>0</v>
      </c>
      <c r="BG9" s="1">
        <v>0</v>
      </c>
      <c r="BH9" s="1">
        <v>0</v>
      </c>
      <c r="BI9" s="46">
        <v>0</v>
      </c>
      <c r="BJ9" s="1">
        <v>0</v>
      </c>
      <c r="BK9" s="1">
        <v>0</v>
      </c>
      <c r="BL9">
        <v>0</v>
      </c>
    </row>
    <row r="10" spans="1:64" ht="15.5" x14ac:dyDescent="0.35">
      <c r="A10" t="s">
        <v>72</v>
      </c>
      <c r="B10" s="1">
        <v>36206.339999999997</v>
      </c>
      <c r="C10" s="1">
        <v>36206.339999999997</v>
      </c>
      <c r="D10" s="46">
        <v>36206.339999999997</v>
      </c>
      <c r="E10" s="1">
        <v>36206.339999999997</v>
      </c>
      <c r="F10" s="1">
        <v>36206.339999999997</v>
      </c>
      <c r="G10" s="46">
        <v>36206.339999999997</v>
      </c>
      <c r="H10" s="1">
        <v>36206.339999999997</v>
      </c>
      <c r="I10" s="1">
        <v>36206.339999999997</v>
      </c>
      <c r="J10" s="46">
        <v>36206.339999999997</v>
      </c>
      <c r="K10" s="1">
        <v>36206.339999999997</v>
      </c>
      <c r="L10" s="1">
        <v>15747.3</v>
      </c>
      <c r="M10" s="46">
        <v>15747.3</v>
      </c>
      <c r="N10" s="1">
        <v>15747.3</v>
      </c>
      <c r="O10" s="1">
        <v>15747.3</v>
      </c>
      <c r="P10" s="46">
        <v>15747.3</v>
      </c>
      <c r="Q10" s="1">
        <v>15747.3</v>
      </c>
      <c r="R10" s="1">
        <v>15747.3</v>
      </c>
      <c r="S10" s="46">
        <v>15747.3</v>
      </c>
      <c r="T10" s="1">
        <v>15747.3</v>
      </c>
      <c r="U10" s="1">
        <v>15747.3</v>
      </c>
      <c r="V10" s="46">
        <v>15747.3</v>
      </c>
      <c r="W10" s="1">
        <v>15747.3</v>
      </c>
      <c r="X10" s="1">
        <v>15747.3</v>
      </c>
      <c r="Y10" s="46">
        <v>15747.3</v>
      </c>
      <c r="Z10" s="1">
        <v>15747.3</v>
      </c>
      <c r="AA10" s="1">
        <v>15747.3</v>
      </c>
      <c r="AB10" s="46">
        <v>15747.3</v>
      </c>
      <c r="AC10" s="1">
        <v>15747.3</v>
      </c>
      <c r="AD10" s="1">
        <v>15747.3</v>
      </c>
      <c r="AE10" s="46">
        <v>15747.3</v>
      </c>
      <c r="AF10" s="1">
        <v>15747.3</v>
      </c>
      <c r="AG10" s="1">
        <v>15747.3</v>
      </c>
      <c r="AH10" s="46">
        <v>15747.3</v>
      </c>
      <c r="AI10" s="1">
        <v>11107.3</v>
      </c>
      <c r="AJ10" s="1">
        <v>11107.3</v>
      </c>
      <c r="AK10" s="46">
        <v>1181.3</v>
      </c>
      <c r="AL10" s="1">
        <v>0</v>
      </c>
      <c r="AM10" s="1">
        <v>0</v>
      </c>
      <c r="AN10" s="46">
        <v>0</v>
      </c>
      <c r="AO10" s="1">
        <v>0</v>
      </c>
      <c r="AP10" s="1">
        <v>0</v>
      </c>
      <c r="AQ10" s="46">
        <v>0</v>
      </c>
      <c r="AR10" s="1">
        <v>0</v>
      </c>
      <c r="AS10" s="1">
        <v>0</v>
      </c>
      <c r="AT10" s="46">
        <v>0</v>
      </c>
      <c r="AU10" s="1">
        <v>0</v>
      </c>
      <c r="AV10" s="1">
        <v>0</v>
      </c>
      <c r="AW10" s="46">
        <v>0</v>
      </c>
      <c r="AX10" s="1">
        <v>0</v>
      </c>
      <c r="AY10" s="1">
        <v>0</v>
      </c>
      <c r="AZ10" s="46">
        <v>0</v>
      </c>
      <c r="BA10" s="1">
        <v>0</v>
      </c>
      <c r="BB10" s="1">
        <v>0</v>
      </c>
      <c r="BC10" s="46">
        <v>0</v>
      </c>
      <c r="BD10" s="1">
        <v>0</v>
      </c>
      <c r="BE10" s="1">
        <v>0</v>
      </c>
      <c r="BF10" s="46">
        <v>0</v>
      </c>
      <c r="BG10" s="1">
        <v>0</v>
      </c>
      <c r="BH10" s="1">
        <v>0</v>
      </c>
      <c r="BI10" s="46">
        <v>0</v>
      </c>
      <c r="BJ10" s="1">
        <v>0</v>
      </c>
      <c r="BK10" s="1">
        <v>0</v>
      </c>
      <c r="BL10">
        <v>0</v>
      </c>
    </row>
    <row r="11" spans="1:64" ht="15.5" x14ac:dyDescent="0.35">
      <c r="A11" t="s">
        <v>73</v>
      </c>
      <c r="B11" s="1">
        <v>5724.74</v>
      </c>
      <c r="C11" s="1">
        <v>5724.74</v>
      </c>
      <c r="D11" s="46">
        <v>5724.74</v>
      </c>
      <c r="E11" s="1">
        <v>5724.74</v>
      </c>
      <c r="F11" s="1">
        <v>5724.74</v>
      </c>
      <c r="G11" s="46">
        <v>5724.74</v>
      </c>
      <c r="H11" s="1">
        <v>5724.74</v>
      </c>
      <c r="I11" s="1">
        <v>5724.74</v>
      </c>
      <c r="J11" s="46">
        <v>5724.74</v>
      </c>
      <c r="K11" s="1">
        <v>5724.74</v>
      </c>
      <c r="L11" s="1">
        <v>5196.68</v>
      </c>
      <c r="M11" s="46">
        <v>5196.68</v>
      </c>
      <c r="N11" s="1">
        <v>5196.68</v>
      </c>
      <c r="O11" s="1">
        <v>5196.68</v>
      </c>
      <c r="P11" s="46">
        <v>5196.68</v>
      </c>
      <c r="Q11" s="1">
        <v>5196.68</v>
      </c>
      <c r="R11" s="1">
        <v>5196.68</v>
      </c>
      <c r="S11" s="46">
        <v>5196.68</v>
      </c>
      <c r="T11" s="1">
        <v>5196.68</v>
      </c>
      <c r="U11" s="1">
        <v>5196.68</v>
      </c>
      <c r="V11" s="46">
        <v>5196.68</v>
      </c>
      <c r="W11" s="1">
        <v>5196.68</v>
      </c>
      <c r="X11" s="1">
        <v>5196.68</v>
      </c>
      <c r="Y11" s="46">
        <v>5196.68</v>
      </c>
      <c r="Z11" s="1">
        <v>5196.68</v>
      </c>
      <c r="AA11" s="1">
        <v>5196.68</v>
      </c>
      <c r="AB11" s="46">
        <v>5196.68</v>
      </c>
      <c r="AC11" s="1">
        <v>5196.68</v>
      </c>
      <c r="AD11" s="1">
        <v>5196.68</v>
      </c>
      <c r="AE11" s="46">
        <v>5196.68</v>
      </c>
      <c r="AF11" s="1">
        <v>5196.68</v>
      </c>
      <c r="AG11" s="1">
        <v>5196.68</v>
      </c>
      <c r="AH11" s="46">
        <v>5196.68</v>
      </c>
      <c r="AI11" s="1">
        <v>2880.63</v>
      </c>
      <c r="AJ11" s="1">
        <v>2880.63</v>
      </c>
      <c r="AK11" s="46">
        <v>468.01</v>
      </c>
      <c r="AL11" s="1">
        <v>0</v>
      </c>
      <c r="AM11" s="1">
        <v>0</v>
      </c>
      <c r="AN11" s="46">
        <v>0</v>
      </c>
      <c r="AO11" s="1">
        <v>0</v>
      </c>
      <c r="AP11" s="1">
        <v>0</v>
      </c>
      <c r="AQ11" s="46">
        <v>0</v>
      </c>
      <c r="AR11" s="1">
        <v>0</v>
      </c>
      <c r="AS11" s="1">
        <v>0</v>
      </c>
      <c r="AT11" s="46">
        <v>0</v>
      </c>
      <c r="AU11" s="1">
        <v>0</v>
      </c>
      <c r="AV11" s="1">
        <v>0</v>
      </c>
      <c r="AW11" s="46">
        <v>0</v>
      </c>
      <c r="AX11" s="1">
        <v>0</v>
      </c>
      <c r="AY11" s="1">
        <v>0</v>
      </c>
      <c r="AZ11" s="46">
        <v>0</v>
      </c>
      <c r="BA11" s="1">
        <v>0</v>
      </c>
      <c r="BB11" s="1">
        <v>0</v>
      </c>
      <c r="BC11" s="46">
        <v>0</v>
      </c>
      <c r="BD11" s="1">
        <v>0</v>
      </c>
      <c r="BE11" s="1">
        <v>0</v>
      </c>
      <c r="BF11" s="46">
        <v>0</v>
      </c>
      <c r="BG11" s="1">
        <v>0</v>
      </c>
      <c r="BH11" s="1">
        <v>0</v>
      </c>
      <c r="BI11" s="46">
        <v>0</v>
      </c>
      <c r="BJ11" s="1">
        <v>0</v>
      </c>
      <c r="BK11" s="1">
        <v>0</v>
      </c>
      <c r="BL11">
        <v>0</v>
      </c>
    </row>
    <row r="12" spans="1:64" ht="15.5" x14ac:dyDescent="0.35">
      <c r="A12" t="s">
        <v>74</v>
      </c>
      <c r="B12" s="1">
        <v>1666609.66</v>
      </c>
      <c r="C12" s="1">
        <v>1666609.66</v>
      </c>
      <c r="D12" s="46">
        <v>1666609.66</v>
      </c>
      <c r="E12" s="1">
        <v>1666609.66</v>
      </c>
      <c r="F12" s="1">
        <v>1666609.66</v>
      </c>
      <c r="G12" s="46">
        <v>1666609.66</v>
      </c>
      <c r="H12" s="1">
        <v>1666609.66</v>
      </c>
      <c r="I12" s="1">
        <v>1666609.66</v>
      </c>
      <c r="J12" s="46">
        <v>1666609.66</v>
      </c>
      <c r="K12" s="1">
        <v>1666609.66</v>
      </c>
      <c r="L12" s="1">
        <v>1424171.83</v>
      </c>
      <c r="M12" s="46">
        <v>1424171.83</v>
      </c>
      <c r="N12" s="1">
        <v>1424171.83</v>
      </c>
      <c r="O12" s="1">
        <v>1424171.83</v>
      </c>
      <c r="P12" s="46">
        <v>1424171.83</v>
      </c>
      <c r="Q12" s="1">
        <v>1424171.83</v>
      </c>
      <c r="R12" s="1">
        <v>1424171.83</v>
      </c>
      <c r="S12" s="46">
        <v>1424171.83</v>
      </c>
      <c r="T12" s="1">
        <v>1424171.83</v>
      </c>
      <c r="U12" s="1">
        <v>1424171.83</v>
      </c>
      <c r="V12" s="46">
        <v>1424171.83</v>
      </c>
      <c r="W12" s="1">
        <v>1424171.83</v>
      </c>
      <c r="X12" s="1">
        <v>1424171.83</v>
      </c>
      <c r="Y12" s="46">
        <v>1424171.83</v>
      </c>
      <c r="Z12" s="1">
        <v>1424171.83</v>
      </c>
      <c r="AA12" s="1">
        <v>1424171.83</v>
      </c>
      <c r="AB12" s="46">
        <v>1424171.83</v>
      </c>
      <c r="AC12" s="1">
        <v>1424171.83</v>
      </c>
      <c r="AD12" s="1">
        <v>1424171.83</v>
      </c>
      <c r="AE12" s="46">
        <v>1424171.83</v>
      </c>
      <c r="AF12" s="1">
        <v>1424171.83</v>
      </c>
      <c r="AG12" s="1">
        <v>1424171.83</v>
      </c>
      <c r="AH12" s="46">
        <v>1424171.83</v>
      </c>
      <c r="AI12" s="1">
        <v>899096.18</v>
      </c>
      <c r="AJ12" s="1">
        <v>899096.18</v>
      </c>
      <c r="AK12" s="46">
        <v>338544.01</v>
      </c>
      <c r="AL12" s="1">
        <v>0</v>
      </c>
      <c r="AM12" s="1">
        <v>0</v>
      </c>
      <c r="AN12" s="46">
        <v>0</v>
      </c>
      <c r="AO12" s="1">
        <v>0</v>
      </c>
      <c r="AP12" s="1">
        <v>0</v>
      </c>
      <c r="AQ12" s="46">
        <v>0</v>
      </c>
      <c r="AR12" s="1">
        <v>0</v>
      </c>
      <c r="AS12" s="1">
        <v>0</v>
      </c>
      <c r="AT12" s="46">
        <v>0</v>
      </c>
      <c r="AU12" s="1">
        <v>0</v>
      </c>
      <c r="AV12" s="1">
        <v>0</v>
      </c>
      <c r="AW12" s="46">
        <v>0</v>
      </c>
      <c r="AX12" s="1">
        <v>0</v>
      </c>
      <c r="AY12" s="1">
        <v>0</v>
      </c>
      <c r="AZ12" s="46">
        <v>0</v>
      </c>
      <c r="BA12" s="1">
        <v>0</v>
      </c>
      <c r="BB12" s="1">
        <v>0</v>
      </c>
      <c r="BC12" s="46">
        <v>0</v>
      </c>
      <c r="BD12" s="1">
        <v>0</v>
      </c>
      <c r="BE12" s="1">
        <v>0</v>
      </c>
      <c r="BF12" s="46">
        <v>0</v>
      </c>
      <c r="BG12" s="1">
        <v>0</v>
      </c>
      <c r="BH12" s="1">
        <v>0</v>
      </c>
      <c r="BI12" s="46">
        <v>0</v>
      </c>
      <c r="BJ12" s="1">
        <v>0</v>
      </c>
      <c r="BK12" s="1">
        <v>0</v>
      </c>
      <c r="BL12">
        <v>0</v>
      </c>
    </row>
    <row r="13" spans="1:64" ht="15.5" x14ac:dyDescent="0.35">
      <c r="A13" t="s">
        <v>75</v>
      </c>
      <c r="B13" s="1">
        <v>1523079.99</v>
      </c>
      <c r="C13" s="1">
        <v>1523079.99</v>
      </c>
      <c r="D13" s="46">
        <v>1507314.11</v>
      </c>
      <c r="E13" s="1">
        <v>1491548.23</v>
      </c>
      <c r="F13" s="1">
        <v>1475782.35</v>
      </c>
      <c r="G13" s="46">
        <v>1460016.47</v>
      </c>
      <c r="H13" s="1">
        <v>1444250.59</v>
      </c>
      <c r="I13" s="1">
        <v>1428484.71</v>
      </c>
      <c r="J13" s="46">
        <v>1412718.83</v>
      </c>
      <c r="K13" s="1">
        <v>1396952.95</v>
      </c>
      <c r="L13" s="1">
        <v>1221169.69</v>
      </c>
      <c r="M13" s="46">
        <v>1207758.68</v>
      </c>
      <c r="N13" s="1">
        <v>1194347.67</v>
      </c>
      <c r="O13" s="1">
        <v>1180936.6599999999</v>
      </c>
      <c r="P13" s="46">
        <v>1167525.6499999999</v>
      </c>
      <c r="Q13" s="1">
        <v>1154114.6399999999</v>
      </c>
      <c r="R13" s="1">
        <v>1140703.6299999999</v>
      </c>
      <c r="S13" s="46">
        <v>1127292.6200000001</v>
      </c>
      <c r="T13" s="1">
        <v>1113881.6100000001</v>
      </c>
      <c r="U13" s="1">
        <v>1100470.6000000001</v>
      </c>
      <c r="V13" s="46">
        <v>1087059.5900000001</v>
      </c>
      <c r="W13" s="1">
        <v>1073648.58</v>
      </c>
      <c r="X13" s="1">
        <v>1060237.57</v>
      </c>
      <c r="Y13" s="46">
        <v>1046826.56</v>
      </c>
      <c r="Z13" s="1">
        <v>1033415.55</v>
      </c>
      <c r="AA13" s="1">
        <v>1020004.54</v>
      </c>
      <c r="AB13" s="46">
        <v>1006593.53</v>
      </c>
      <c r="AC13" s="1">
        <v>993182.52</v>
      </c>
      <c r="AD13" s="1">
        <v>979771.51</v>
      </c>
      <c r="AE13" s="46">
        <v>966360.5</v>
      </c>
      <c r="AF13" s="1">
        <v>952949.49</v>
      </c>
      <c r="AG13" s="1">
        <v>939538.48</v>
      </c>
      <c r="AH13" s="46">
        <v>926127.47</v>
      </c>
      <c r="AI13" s="1">
        <v>603013.68999999994</v>
      </c>
      <c r="AJ13" s="1">
        <v>595585.26</v>
      </c>
      <c r="AK13" s="46">
        <v>238644.53</v>
      </c>
      <c r="AL13" s="1">
        <v>0</v>
      </c>
      <c r="AM13" s="1">
        <v>0</v>
      </c>
      <c r="AN13" s="46">
        <v>0</v>
      </c>
      <c r="AO13" s="1">
        <v>0</v>
      </c>
      <c r="AP13" s="1">
        <v>0</v>
      </c>
      <c r="AQ13" s="46">
        <v>0</v>
      </c>
      <c r="AR13" s="1">
        <v>0</v>
      </c>
      <c r="AS13" s="1">
        <v>0</v>
      </c>
      <c r="AT13" s="46">
        <v>0</v>
      </c>
      <c r="AU13" s="1">
        <v>0</v>
      </c>
      <c r="AV13" s="1">
        <v>0</v>
      </c>
      <c r="AW13" s="46">
        <v>0</v>
      </c>
      <c r="AX13" s="1">
        <v>0</v>
      </c>
      <c r="AY13" s="1">
        <v>0</v>
      </c>
      <c r="AZ13" s="46">
        <v>0</v>
      </c>
      <c r="BA13" s="1">
        <v>0</v>
      </c>
      <c r="BB13" s="1">
        <v>0</v>
      </c>
      <c r="BC13" s="46">
        <v>0</v>
      </c>
      <c r="BD13" s="1">
        <v>0</v>
      </c>
      <c r="BE13" s="1">
        <v>0</v>
      </c>
      <c r="BF13" s="46">
        <v>0</v>
      </c>
      <c r="BG13" s="1">
        <v>0</v>
      </c>
      <c r="BH13" s="1">
        <v>0</v>
      </c>
      <c r="BI13" s="46">
        <v>0</v>
      </c>
      <c r="BJ13" s="1">
        <v>0</v>
      </c>
      <c r="BK13" s="1">
        <v>0</v>
      </c>
      <c r="BL13">
        <v>0</v>
      </c>
    </row>
    <row r="14" spans="1:64" ht="15.5" x14ac:dyDescent="0.35">
      <c r="A14" t="s">
        <v>76</v>
      </c>
      <c r="B14" s="1">
        <v>0</v>
      </c>
      <c r="C14" s="1">
        <v>0</v>
      </c>
      <c r="D14" s="46">
        <v>0</v>
      </c>
      <c r="E14" s="1">
        <v>0</v>
      </c>
      <c r="F14" s="1">
        <v>0</v>
      </c>
      <c r="G14" s="46">
        <v>0</v>
      </c>
      <c r="H14" s="1">
        <v>0</v>
      </c>
      <c r="I14" s="1">
        <v>0</v>
      </c>
      <c r="J14" s="46">
        <v>0</v>
      </c>
      <c r="K14" s="1">
        <v>0</v>
      </c>
      <c r="L14" s="1">
        <v>0</v>
      </c>
      <c r="M14" s="46">
        <v>0</v>
      </c>
      <c r="N14" s="1">
        <v>0</v>
      </c>
      <c r="O14" s="1">
        <v>0</v>
      </c>
      <c r="P14" s="46">
        <v>0</v>
      </c>
      <c r="Q14" s="1">
        <v>0</v>
      </c>
      <c r="R14" s="1">
        <v>0</v>
      </c>
      <c r="S14" s="46">
        <v>0</v>
      </c>
      <c r="T14" s="1">
        <v>0</v>
      </c>
      <c r="U14" s="1">
        <v>0</v>
      </c>
      <c r="V14" s="46">
        <v>0</v>
      </c>
      <c r="W14" s="1">
        <v>0</v>
      </c>
      <c r="X14" s="1">
        <v>0</v>
      </c>
      <c r="Y14" s="46">
        <v>0</v>
      </c>
      <c r="Z14" s="1">
        <v>0</v>
      </c>
      <c r="AA14" s="1">
        <v>0</v>
      </c>
      <c r="AB14" s="46">
        <v>0</v>
      </c>
      <c r="AC14" s="1">
        <v>0</v>
      </c>
      <c r="AD14" s="1">
        <v>0</v>
      </c>
      <c r="AE14" s="46">
        <v>0</v>
      </c>
      <c r="AF14" s="1">
        <v>0</v>
      </c>
      <c r="AG14" s="1">
        <v>0</v>
      </c>
      <c r="AH14" s="46">
        <v>0</v>
      </c>
      <c r="AI14" s="1">
        <v>0</v>
      </c>
      <c r="AJ14" s="1">
        <v>0</v>
      </c>
      <c r="AK14" s="46">
        <v>0</v>
      </c>
      <c r="AL14" s="1">
        <v>0</v>
      </c>
      <c r="AM14" s="1">
        <v>0</v>
      </c>
      <c r="AN14" s="46">
        <v>0</v>
      </c>
      <c r="AO14" s="1">
        <v>0</v>
      </c>
      <c r="AP14" s="1">
        <v>0</v>
      </c>
      <c r="AQ14" s="46">
        <v>0</v>
      </c>
      <c r="AR14" s="1">
        <v>0</v>
      </c>
      <c r="AS14" s="1">
        <v>0</v>
      </c>
      <c r="AT14" s="46">
        <v>0</v>
      </c>
      <c r="AU14" s="1">
        <v>0</v>
      </c>
      <c r="AV14" s="1">
        <v>0</v>
      </c>
      <c r="AW14" s="46">
        <v>0</v>
      </c>
      <c r="AX14" s="1">
        <v>0</v>
      </c>
      <c r="AY14" s="1">
        <v>0</v>
      </c>
      <c r="AZ14" s="46">
        <v>0</v>
      </c>
      <c r="BA14" s="1">
        <v>0</v>
      </c>
      <c r="BB14" s="1">
        <v>0</v>
      </c>
      <c r="BC14" s="46">
        <v>0</v>
      </c>
      <c r="BD14" s="1">
        <v>0</v>
      </c>
      <c r="BE14" s="1">
        <v>0</v>
      </c>
      <c r="BF14" s="46">
        <v>0</v>
      </c>
      <c r="BG14" s="1">
        <v>0</v>
      </c>
      <c r="BH14" s="1">
        <v>0</v>
      </c>
      <c r="BI14" s="46">
        <v>0</v>
      </c>
      <c r="BJ14" s="1">
        <v>0</v>
      </c>
      <c r="BK14" s="1">
        <v>0</v>
      </c>
      <c r="BL14">
        <v>0</v>
      </c>
    </row>
    <row r="15" spans="1:64" ht="15.5" x14ac:dyDescent="0.35">
      <c r="A15" t="s">
        <v>77</v>
      </c>
      <c r="B15" s="1">
        <v>0</v>
      </c>
      <c r="C15" s="1">
        <v>0</v>
      </c>
      <c r="D15" s="46">
        <v>0</v>
      </c>
      <c r="E15" s="1">
        <v>0</v>
      </c>
      <c r="F15" s="1">
        <v>0</v>
      </c>
      <c r="G15" s="46">
        <v>0</v>
      </c>
      <c r="H15" s="1">
        <v>0</v>
      </c>
      <c r="I15" s="1">
        <v>0</v>
      </c>
      <c r="J15" s="46">
        <v>0</v>
      </c>
      <c r="K15" s="1">
        <v>0</v>
      </c>
      <c r="L15" s="1">
        <v>1</v>
      </c>
      <c r="M15" s="46">
        <v>0</v>
      </c>
      <c r="N15" s="1">
        <v>0</v>
      </c>
      <c r="O15" s="1">
        <v>0</v>
      </c>
      <c r="P15" s="46">
        <v>0</v>
      </c>
      <c r="Q15" s="1">
        <v>0</v>
      </c>
      <c r="R15" s="1">
        <v>0</v>
      </c>
      <c r="S15" s="46">
        <v>0</v>
      </c>
      <c r="T15" s="1">
        <v>0</v>
      </c>
      <c r="U15" s="1">
        <v>0</v>
      </c>
      <c r="V15" s="46">
        <v>0</v>
      </c>
      <c r="W15" s="1">
        <v>0</v>
      </c>
      <c r="X15" s="1">
        <v>0</v>
      </c>
      <c r="Y15" s="46">
        <v>0</v>
      </c>
      <c r="Z15" s="1">
        <v>0</v>
      </c>
      <c r="AA15" s="1">
        <v>0</v>
      </c>
      <c r="AB15" s="46">
        <v>0</v>
      </c>
      <c r="AC15" s="1">
        <v>0</v>
      </c>
      <c r="AD15" s="1">
        <v>0</v>
      </c>
      <c r="AE15" s="46">
        <v>0</v>
      </c>
      <c r="AF15" s="1">
        <v>0</v>
      </c>
      <c r="AG15" s="1">
        <v>0</v>
      </c>
      <c r="AH15" s="46">
        <v>0</v>
      </c>
      <c r="AI15" s="1">
        <v>0</v>
      </c>
      <c r="AJ15" s="1">
        <v>0</v>
      </c>
      <c r="AK15" s="46">
        <v>0</v>
      </c>
      <c r="AL15" s="1">
        <v>1</v>
      </c>
      <c r="AM15" s="1">
        <v>0</v>
      </c>
      <c r="AN15" s="46">
        <v>0</v>
      </c>
      <c r="AO15" s="1">
        <v>0</v>
      </c>
      <c r="AP15" s="1">
        <v>0</v>
      </c>
      <c r="AQ15" s="46">
        <v>0</v>
      </c>
      <c r="AR15" s="1">
        <v>0</v>
      </c>
      <c r="AS15" s="1">
        <v>0</v>
      </c>
      <c r="AT15" s="46">
        <v>0</v>
      </c>
      <c r="AU15" s="1">
        <v>0</v>
      </c>
      <c r="AV15" s="1">
        <v>0</v>
      </c>
      <c r="AW15" s="46">
        <v>0</v>
      </c>
      <c r="AX15" s="1">
        <v>0</v>
      </c>
      <c r="AY15" s="1">
        <v>0</v>
      </c>
      <c r="AZ15" s="46">
        <v>0</v>
      </c>
      <c r="BA15" s="1">
        <v>0</v>
      </c>
      <c r="BB15" s="1">
        <v>0</v>
      </c>
      <c r="BC15" s="46">
        <v>0</v>
      </c>
      <c r="BD15" s="1">
        <v>0</v>
      </c>
      <c r="BE15" s="1">
        <v>0</v>
      </c>
      <c r="BF15" s="46">
        <v>0</v>
      </c>
      <c r="BG15" s="1">
        <v>0</v>
      </c>
      <c r="BH15" s="1">
        <v>0</v>
      </c>
      <c r="BI15" s="46">
        <v>0</v>
      </c>
      <c r="BJ15" s="1">
        <v>0</v>
      </c>
      <c r="BK15" s="1">
        <v>0</v>
      </c>
      <c r="BL15">
        <v>0</v>
      </c>
    </row>
    <row r="16" spans="1:64" ht="15.5" x14ac:dyDescent="0.35">
      <c r="A16" t="s">
        <v>78</v>
      </c>
      <c r="B16" s="1">
        <v>0</v>
      </c>
      <c r="C16" s="1">
        <v>0</v>
      </c>
      <c r="D16" s="46">
        <v>0</v>
      </c>
      <c r="E16" s="1">
        <v>0</v>
      </c>
      <c r="F16" s="1">
        <v>0</v>
      </c>
      <c r="G16" s="46">
        <v>0</v>
      </c>
      <c r="H16" s="1">
        <v>0</v>
      </c>
      <c r="I16" s="1">
        <v>0</v>
      </c>
      <c r="J16" s="46">
        <v>0</v>
      </c>
      <c r="K16" s="1">
        <v>0</v>
      </c>
      <c r="L16" s="1">
        <v>0</v>
      </c>
      <c r="M16" s="46">
        <v>0</v>
      </c>
      <c r="N16" s="1">
        <v>0</v>
      </c>
      <c r="O16" s="1">
        <v>0</v>
      </c>
      <c r="P16" s="46">
        <v>0</v>
      </c>
      <c r="Q16" s="1">
        <v>0</v>
      </c>
      <c r="R16" s="1">
        <v>0</v>
      </c>
      <c r="S16" s="46">
        <v>0</v>
      </c>
      <c r="T16" s="1">
        <v>0</v>
      </c>
      <c r="U16" s="1">
        <v>0</v>
      </c>
      <c r="V16" s="46">
        <v>0</v>
      </c>
      <c r="W16" s="1">
        <v>0</v>
      </c>
      <c r="X16" s="1">
        <v>0</v>
      </c>
      <c r="Y16" s="46">
        <v>0</v>
      </c>
      <c r="Z16" s="1">
        <v>0</v>
      </c>
      <c r="AA16" s="1">
        <v>0</v>
      </c>
      <c r="AB16" s="46">
        <v>0</v>
      </c>
      <c r="AC16" s="1">
        <v>0</v>
      </c>
      <c r="AD16" s="1">
        <v>0</v>
      </c>
      <c r="AE16" s="46">
        <v>0</v>
      </c>
      <c r="AF16" s="1">
        <v>0</v>
      </c>
      <c r="AG16" s="1">
        <v>0</v>
      </c>
      <c r="AH16" s="46">
        <v>0</v>
      </c>
      <c r="AI16" s="1">
        <v>0</v>
      </c>
      <c r="AJ16" s="1">
        <v>0</v>
      </c>
      <c r="AK16" s="46">
        <v>0</v>
      </c>
      <c r="AL16" s="1">
        <v>0</v>
      </c>
      <c r="AM16" s="1">
        <v>0</v>
      </c>
      <c r="AN16" s="46">
        <v>0</v>
      </c>
      <c r="AO16" s="1">
        <v>0</v>
      </c>
      <c r="AP16" s="1">
        <v>0</v>
      </c>
      <c r="AQ16" s="46">
        <v>0</v>
      </c>
      <c r="AR16" s="1">
        <v>0</v>
      </c>
      <c r="AS16" s="1">
        <v>0</v>
      </c>
      <c r="AT16" s="46">
        <v>0</v>
      </c>
      <c r="AU16" s="1">
        <v>0</v>
      </c>
      <c r="AV16" s="1">
        <v>0</v>
      </c>
      <c r="AW16" s="46">
        <v>0</v>
      </c>
      <c r="AX16" s="1">
        <v>0</v>
      </c>
      <c r="AY16" s="1">
        <v>0</v>
      </c>
      <c r="AZ16" s="46">
        <v>0</v>
      </c>
      <c r="BA16" s="1">
        <v>0</v>
      </c>
      <c r="BB16" s="1">
        <v>0</v>
      </c>
      <c r="BC16" s="46">
        <v>0</v>
      </c>
      <c r="BD16" s="1">
        <v>0</v>
      </c>
      <c r="BE16" s="1">
        <v>0</v>
      </c>
      <c r="BF16" s="46">
        <v>0</v>
      </c>
      <c r="BG16" s="1">
        <v>0</v>
      </c>
      <c r="BH16" s="1">
        <v>0</v>
      </c>
      <c r="BI16" s="46">
        <v>0</v>
      </c>
      <c r="BJ16" s="1">
        <v>0</v>
      </c>
      <c r="BK16" s="1">
        <v>0</v>
      </c>
      <c r="BL16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L16"/>
  <sheetViews>
    <sheetView workbookViewId="0">
      <selection sqref="A1:XFD1048576"/>
    </sheetView>
  </sheetViews>
  <sheetFormatPr defaultRowHeight="14.5" x14ac:dyDescent="0.35"/>
  <cols>
    <col min="1" max="1" width="13" bestFit="1" customWidth="1"/>
    <col min="2" max="3" width="13" hidden="1" bestFit="1" customWidth="1"/>
    <col min="4" max="4" width="13" bestFit="1" customWidth="1"/>
    <col min="5" max="6" width="13" hidden="1" bestFit="1" customWidth="1"/>
    <col min="7" max="7" width="13" bestFit="1" customWidth="1"/>
    <col min="8" max="9" width="13" hidden="1" bestFit="1" customWidth="1"/>
    <col min="10" max="10" width="13" bestFit="1" customWidth="1"/>
    <col min="11" max="12" width="13" hidden="1" bestFit="1" customWidth="1"/>
    <col min="13" max="13" width="13" bestFit="1" customWidth="1"/>
    <col min="14" max="15" width="13" hidden="1" bestFit="1" customWidth="1"/>
    <col min="16" max="16" width="13" bestFit="1" customWidth="1"/>
    <col min="17" max="18" width="13" hidden="1" bestFit="1" customWidth="1"/>
    <col min="19" max="19" width="13" bestFit="1" customWidth="1"/>
    <col min="20" max="21" width="13" hidden="1" bestFit="1" customWidth="1"/>
    <col min="22" max="22" width="13" bestFit="1" customWidth="1"/>
    <col min="23" max="24" width="13" hidden="1" bestFit="1" customWidth="1"/>
    <col min="25" max="25" width="13" bestFit="1" customWidth="1"/>
    <col min="26" max="27" width="13" hidden="1" bestFit="1" customWidth="1"/>
    <col min="28" max="28" width="13" bestFit="1" customWidth="1"/>
    <col min="29" max="30" width="13" hidden="1" bestFit="1" customWidth="1"/>
    <col min="31" max="31" width="13" bestFit="1" customWidth="1"/>
    <col min="32" max="33" width="13" hidden="1" bestFit="1" customWidth="1"/>
    <col min="34" max="34" width="13" bestFit="1" customWidth="1"/>
    <col min="35" max="36" width="13" hidden="1" bestFit="1" customWidth="1"/>
    <col min="37" max="37" width="13" bestFit="1" customWidth="1"/>
    <col min="38" max="39" width="13" hidden="1" bestFit="1" customWidth="1"/>
    <col min="40" max="40" width="13" bestFit="1" customWidth="1"/>
    <col min="41" max="42" width="13" hidden="1" bestFit="1" customWidth="1"/>
    <col min="43" max="43" width="13" bestFit="1" customWidth="1"/>
    <col min="44" max="45" width="13" hidden="1" bestFit="1" customWidth="1"/>
    <col min="46" max="46" width="13" bestFit="1" customWidth="1"/>
    <col min="47" max="48" width="13" hidden="1" bestFit="1" customWidth="1"/>
    <col min="49" max="49" width="13" bestFit="1" customWidth="1"/>
    <col min="50" max="51" width="13" hidden="1" bestFit="1" customWidth="1"/>
    <col min="52" max="52" width="13" bestFit="1" customWidth="1"/>
    <col min="53" max="54" width="13" hidden="1" bestFit="1" customWidth="1"/>
    <col min="55" max="55" width="13" bestFit="1" customWidth="1"/>
    <col min="56" max="57" width="13" hidden="1" bestFit="1" customWidth="1"/>
    <col min="58" max="58" width="13" bestFit="1" customWidth="1"/>
    <col min="59" max="60" width="13" hidden="1" bestFit="1" customWidth="1"/>
    <col min="61" max="61" width="13" bestFit="1" customWidth="1"/>
    <col min="62" max="62" width="13" hidden="1" bestFit="1" customWidth="1"/>
  </cols>
  <sheetData>
    <row r="1" spans="1:64" x14ac:dyDescent="0.35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t="s">
        <v>5</v>
      </c>
      <c r="G1" s="16" t="s">
        <v>6</v>
      </c>
      <c r="H1" t="s">
        <v>7</v>
      </c>
      <c r="I1" t="s">
        <v>8</v>
      </c>
      <c r="J1" s="16" t="s">
        <v>9</v>
      </c>
      <c r="K1" t="s">
        <v>10</v>
      </c>
      <c r="L1" t="s">
        <v>11</v>
      </c>
      <c r="M1" s="16" t="s">
        <v>12</v>
      </c>
      <c r="N1" t="s">
        <v>13</v>
      </c>
      <c r="O1" t="s">
        <v>14</v>
      </c>
      <c r="P1" s="16" t="s">
        <v>15</v>
      </c>
      <c r="Q1" t="s">
        <v>16</v>
      </c>
      <c r="R1" t="s">
        <v>17</v>
      </c>
      <c r="S1" s="16" t="s">
        <v>18</v>
      </c>
      <c r="T1" t="s">
        <v>19</v>
      </c>
      <c r="U1" t="s">
        <v>20</v>
      </c>
      <c r="V1" s="16" t="s">
        <v>21</v>
      </c>
      <c r="W1" t="s">
        <v>22</v>
      </c>
      <c r="X1" t="s">
        <v>23</v>
      </c>
      <c r="Y1" s="16" t="s">
        <v>24</v>
      </c>
      <c r="Z1" t="s">
        <v>25</v>
      </c>
      <c r="AA1" t="s">
        <v>26</v>
      </c>
      <c r="AB1" s="16" t="s">
        <v>27</v>
      </c>
      <c r="AC1" t="s">
        <v>28</v>
      </c>
      <c r="AD1" t="s">
        <v>29</v>
      </c>
      <c r="AE1" s="16" t="s">
        <v>30</v>
      </c>
      <c r="AF1" t="s">
        <v>31</v>
      </c>
      <c r="AG1" t="s">
        <v>32</v>
      </c>
      <c r="AH1" s="16" t="s">
        <v>33</v>
      </c>
      <c r="AI1" t="s">
        <v>34</v>
      </c>
      <c r="AJ1" t="s">
        <v>35</v>
      </c>
      <c r="AK1" s="16" t="s">
        <v>36</v>
      </c>
      <c r="AL1" t="s">
        <v>37</v>
      </c>
      <c r="AM1" t="s">
        <v>38</v>
      </c>
      <c r="AN1" s="16" t="s">
        <v>39</v>
      </c>
      <c r="AO1" t="s">
        <v>40</v>
      </c>
      <c r="AP1" t="s">
        <v>41</v>
      </c>
      <c r="AQ1" s="16" t="s">
        <v>42</v>
      </c>
      <c r="AR1" t="s">
        <v>43</v>
      </c>
      <c r="AS1" t="s">
        <v>44</v>
      </c>
      <c r="AT1" s="16" t="s">
        <v>45</v>
      </c>
      <c r="AU1" t="s">
        <v>46</v>
      </c>
      <c r="AV1" t="s">
        <v>47</v>
      </c>
      <c r="AW1" s="16" t="s">
        <v>48</v>
      </c>
      <c r="AX1" t="s">
        <v>49</v>
      </c>
      <c r="AY1" t="s">
        <v>50</v>
      </c>
      <c r="AZ1" s="16" t="s">
        <v>51</v>
      </c>
      <c r="BA1" t="s">
        <v>52</v>
      </c>
      <c r="BB1" t="s">
        <v>53</v>
      </c>
      <c r="BC1" s="16" t="s">
        <v>54</v>
      </c>
      <c r="BD1" t="s">
        <v>55</v>
      </c>
      <c r="BE1" t="s">
        <v>56</v>
      </c>
      <c r="BF1" s="16" t="s">
        <v>57</v>
      </c>
      <c r="BG1" t="s">
        <v>58</v>
      </c>
      <c r="BH1" t="s">
        <v>59</v>
      </c>
      <c r="BI1" s="16" t="s">
        <v>60</v>
      </c>
      <c r="BJ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1">
        <v>497</v>
      </c>
      <c r="C2" s="1">
        <v>474</v>
      </c>
      <c r="D2" s="46">
        <v>469</v>
      </c>
      <c r="E2" s="1">
        <v>457</v>
      </c>
      <c r="F2" s="1">
        <v>450</v>
      </c>
      <c r="G2" s="46">
        <v>443</v>
      </c>
      <c r="H2" s="1">
        <v>420</v>
      </c>
      <c r="I2" s="1">
        <v>414</v>
      </c>
      <c r="J2" s="46">
        <v>406</v>
      </c>
      <c r="K2" s="1">
        <v>401</v>
      </c>
      <c r="L2" s="1">
        <v>389</v>
      </c>
      <c r="M2" s="46">
        <v>380</v>
      </c>
      <c r="N2" s="1">
        <v>373</v>
      </c>
      <c r="O2" s="1">
        <v>371</v>
      </c>
      <c r="P2" s="46">
        <v>358</v>
      </c>
      <c r="Q2" s="1">
        <v>352</v>
      </c>
      <c r="R2" s="1">
        <v>340</v>
      </c>
      <c r="S2" s="46">
        <v>323</v>
      </c>
      <c r="T2" s="1">
        <v>309</v>
      </c>
      <c r="U2" s="1">
        <v>286</v>
      </c>
      <c r="V2" s="46">
        <v>276</v>
      </c>
      <c r="W2" s="1">
        <v>267</v>
      </c>
      <c r="X2" s="1">
        <v>259</v>
      </c>
      <c r="Y2" s="46">
        <v>238</v>
      </c>
      <c r="Z2" s="1">
        <v>235</v>
      </c>
      <c r="AA2" s="1">
        <v>221</v>
      </c>
      <c r="AB2" s="46">
        <v>199</v>
      </c>
      <c r="AC2" s="1">
        <v>182</v>
      </c>
      <c r="AD2" s="1">
        <v>162</v>
      </c>
      <c r="AE2" s="46">
        <v>149</v>
      </c>
      <c r="AF2" s="1">
        <v>138</v>
      </c>
      <c r="AG2" s="1">
        <v>132</v>
      </c>
      <c r="AH2" s="46">
        <v>122</v>
      </c>
      <c r="AI2" s="1">
        <v>116</v>
      </c>
      <c r="AJ2" s="1">
        <v>105</v>
      </c>
      <c r="AK2" s="46">
        <v>105</v>
      </c>
      <c r="AL2" s="1">
        <v>98</v>
      </c>
      <c r="AM2" s="1">
        <v>92</v>
      </c>
      <c r="AN2" s="46">
        <v>88</v>
      </c>
      <c r="AO2" s="1">
        <v>82</v>
      </c>
      <c r="AP2" s="1">
        <v>70</v>
      </c>
      <c r="AQ2" s="46">
        <v>66</v>
      </c>
      <c r="AR2" s="1">
        <v>65</v>
      </c>
      <c r="AS2" s="1">
        <v>65</v>
      </c>
      <c r="AT2" s="46">
        <v>63</v>
      </c>
      <c r="AU2" s="1">
        <v>58</v>
      </c>
      <c r="AV2" s="1">
        <v>43</v>
      </c>
      <c r="AW2" s="46">
        <v>30</v>
      </c>
      <c r="AX2" s="1">
        <v>27</v>
      </c>
      <c r="AY2" s="1">
        <v>23</v>
      </c>
      <c r="AZ2" s="46">
        <v>23</v>
      </c>
      <c r="BA2" s="1">
        <v>22</v>
      </c>
      <c r="BB2" s="1">
        <v>14</v>
      </c>
      <c r="BC2" s="46">
        <v>12</v>
      </c>
      <c r="BD2" s="1">
        <v>7</v>
      </c>
      <c r="BE2" s="1">
        <v>7</v>
      </c>
      <c r="BF2" s="46">
        <v>7</v>
      </c>
      <c r="BG2" s="1">
        <v>7</v>
      </c>
      <c r="BH2" s="1">
        <v>2</v>
      </c>
      <c r="BI2" s="46">
        <v>1</v>
      </c>
      <c r="BJ2" s="1">
        <v>0</v>
      </c>
      <c r="BK2" s="1">
        <v>0</v>
      </c>
      <c r="BL2">
        <v>0</v>
      </c>
    </row>
    <row r="3" spans="1:64" ht="15.5" x14ac:dyDescent="0.35">
      <c r="A3" t="s">
        <v>65</v>
      </c>
      <c r="B3" s="1">
        <v>25</v>
      </c>
      <c r="C3" s="1">
        <v>25</v>
      </c>
      <c r="D3" s="46">
        <v>25</v>
      </c>
      <c r="E3" s="1">
        <v>25</v>
      </c>
      <c r="F3" s="1">
        <v>25</v>
      </c>
      <c r="G3" s="46">
        <v>25</v>
      </c>
      <c r="H3" s="1">
        <v>25</v>
      </c>
      <c r="I3" s="1">
        <v>25</v>
      </c>
      <c r="J3" s="46">
        <v>25</v>
      </c>
      <c r="K3" s="1">
        <v>25</v>
      </c>
      <c r="L3" s="1">
        <v>25</v>
      </c>
      <c r="M3" s="46">
        <v>25</v>
      </c>
      <c r="N3" s="1">
        <v>25</v>
      </c>
      <c r="O3" s="1">
        <v>25</v>
      </c>
      <c r="P3" s="46">
        <v>25</v>
      </c>
      <c r="Q3" s="1">
        <v>25</v>
      </c>
      <c r="R3" s="1">
        <v>25</v>
      </c>
      <c r="S3" s="46">
        <v>25</v>
      </c>
      <c r="T3" s="1">
        <v>25</v>
      </c>
      <c r="U3" s="1">
        <v>25</v>
      </c>
      <c r="V3" s="46">
        <v>25</v>
      </c>
      <c r="W3" s="1">
        <v>25</v>
      </c>
      <c r="X3" s="1">
        <v>25</v>
      </c>
      <c r="Y3" s="46">
        <v>25</v>
      </c>
      <c r="Z3" s="1">
        <v>25</v>
      </c>
      <c r="AA3" s="1">
        <v>25</v>
      </c>
      <c r="AB3" s="46">
        <v>25</v>
      </c>
      <c r="AC3" s="1">
        <v>25</v>
      </c>
      <c r="AD3" s="1">
        <v>25</v>
      </c>
      <c r="AE3" s="46">
        <v>25</v>
      </c>
      <c r="AF3" s="1">
        <v>25</v>
      </c>
      <c r="AG3" s="1">
        <v>25</v>
      </c>
      <c r="AH3" s="46">
        <v>25</v>
      </c>
      <c r="AI3" s="1">
        <v>25</v>
      </c>
      <c r="AJ3" s="1">
        <v>10</v>
      </c>
      <c r="AK3" s="46">
        <v>10</v>
      </c>
      <c r="AL3" s="1">
        <v>10</v>
      </c>
      <c r="AM3" s="1">
        <v>10</v>
      </c>
      <c r="AN3" s="46">
        <v>10</v>
      </c>
      <c r="AO3" s="1">
        <v>10</v>
      </c>
      <c r="AP3" s="1">
        <v>10</v>
      </c>
      <c r="AQ3" s="46">
        <v>10</v>
      </c>
      <c r="AR3" s="1">
        <v>0</v>
      </c>
      <c r="AS3" s="1">
        <v>0</v>
      </c>
      <c r="AT3" s="46">
        <v>0</v>
      </c>
      <c r="AU3" s="1">
        <v>0</v>
      </c>
      <c r="AV3" s="1">
        <v>0</v>
      </c>
      <c r="AW3" s="46">
        <v>0</v>
      </c>
      <c r="AX3" s="1">
        <v>0</v>
      </c>
      <c r="AY3" s="1">
        <v>0</v>
      </c>
      <c r="AZ3" s="46">
        <v>0</v>
      </c>
      <c r="BA3" s="1">
        <v>0</v>
      </c>
      <c r="BB3" s="1">
        <v>0</v>
      </c>
      <c r="BC3" s="46">
        <v>0</v>
      </c>
      <c r="BD3" s="1">
        <v>0</v>
      </c>
      <c r="BE3" s="1">
        <v>0</v>
      </c>
      <c r="BF3" s="46">
        <v>0</v>
      </c>
      <c r="BG3" s="1">
        <v>0</v>
      </c>
      <c r="BH3" s="1">
        <v>0</v>
      </c>
      <c r="BI3" s="46">
        <v>0</v>
      </c>
      <c r="BJ3" s="1">
        <v>0</v>
      </c>
      <c r="BK3" s="1">
        <v>0</v>
      </c>
      <c r="BL3">
        <v>0</v>
      </c>
    </row>
    <row r="4" spans="1:64" ht="15.5" x14ac:dyDescent="0.35">
      <c r="A4" t="s">
        <v>66</v>
      </c>
      <c r="B4" s="1">
        <v>0</v>
      </c>
      <c r="C4" s="1">
        <v>0</v>
      </c>
      <c r="D4" s="46">
        <v>0</v>
      </c>
      <c r="E4" s="1">
        <v>0</v>
      </c>
      <c r="F4" s="1">
        <v>0</v>
      </c>
      <c r="G4" s="46">
        <v>0</v>
      </c>
      <c r="H4" s="1">
        <v>0</v>
      </c>
      <c r="I4" s="1">
        <v>0</v>
      </c>
      <c r="J4" s="46">
        <v>0</v>
      </c>
      <c r="K4" s="1">
        <v>0</v>
      </c>
      <c r="L4" s="1">
        <v>0</v>
      </c>
      <c r="M4" s="46">
        <v>0</v>
      </c>
      <c r="N4" s="1">
        <v>0</v>
      </c>
      <c r="O4" s="1">
        <v>0</v>
      </c>
      <c r="P4" s="46">
        <v>0</v>
      </c>
      <c r="Q4" s="1">
        <v>0</v>
      </c>
      <c r="R4" s="1">
        <v>0</v>
      </c>
      <c r="S4" s="46">
        <v>0</v>
      </c>
      <c r="T4" s="1">
        <v>0</v>
      </c>
      <c r="U4" s="1">
        <v>0</v>
      </c>
      <c r="V4" s="46">
        <v>0</v>
      </c>
      <c r="W4" s="1">
        <v>0</v>
      </c>
      <c r="X4" s="1">
        <v>0</v>
      </c>
      <c r="Y4" s="46">
        <v>0</v>
      </c>
      <c r="Z4" s="1">
        <v>0</v>
      </c>
      <c r="AA4" s="1">
        <v>0</v>
      </c>
      <c r="AB4" s="46">
        <v>0</v>
      </c>
      <c r="AC4" s="1">
        <v>0</v>
      </c>
      <c r="AD4" s="1">
        <v>0</v>
      </c>
      <c r="AE4" s="46">
        <v>0</v>
      </c>
      <c r="AF4" s="1">
        <v>0</v>
      </c>
      <c r="AG4" s="1">
        <v>0</v>
      </c>
      <c r="AH4" s="46">
        <v>0</v>
      </c>
      <c r="AI4" s="1">
        <v>0</v>
      </c>
      <c r="AJ4" s="1">
        <v>0</v>
      </c>
      <c r="AK4" s="46">
        <v>0</v>
      </c>
      <c r="AL4" s="1">
        <v>0</v>
      </c>
      <c r="AM4" s="1">
        <v>0</v>
      </c>
      <c r="AN4" s="46">
        <v>0</v>
      </c>
      <c r="AO4" s="1">
        <v>0</v>
      </c>
      <c r="AP4" s="1">
        <v>0</v>
      </c>
      <c r="AQ4" s="46">
        <v>0</v>
      </c>
      <c r="AR4" s="1">
        <v>0</v>
      </c>
      <c r="AS4" s="1">
        <v>0</v>
      </c>
      <c r="AT4" s="46">
        <v>0</v>
      </c>
      <c r="AU4" s="1">
        <v>0</v>
      </c>
      <c r="AV4" s="1">
        <v>0</v>
      </c>
      <c r="AW4" s="46">
        <v>0</v>
      </c>
      <c r="AX4" s="1">
        <v>0</v>
      </c>
      <c r="AY4" s="1">
        <v>0</v>
      </c>
      <c r="AZ4" s="46">
        <v>0</v>
      </c>
      <c r="BA4" s="1">
        <v>0</v>
      </c>
      <c r="BB4" s="1">
        <v>0</v>
      </c>
      <c r="BC4" s="46">
        <v>0</v>
      </c>
      <c r="BD4" s="1">
        <v>0</v>
      </c>
      <c r="BE4" s="1">
        <v>0</v>
      </c>
      <c r="BF4" s="46">
        <v>0</v>
      </c>
      <c r="BG4" s="1">
        <v>0</v>
      </c>
      <c r="BH4" s="1">
        <v>0</v>
      </c>
      <c r="BI4" s="46">
        <v>0</v>
      </c>
      <c r="BJ4" s="1">
        <v>0</v>
      </c>
      <c r="BK4" s="1">
        <v>0</v>
      </c>
      <c r="BL4">
        <v>0</v>
      </c>
    </row>
    <row r="5" spans="1:64" ht="15.5" x14ac:dyDescent="0.35">
      <c r="A5" t="s">
        <v>67</v>
      </c>
      <c r="B5" s="1">
        <v>826725.84000000008</v>
      </c>
      <c r="C5" s="1">
        <v>797227.84</v>
      </c>
      <c r="D5" s="46">
        <v>790499.5</v>
      </c>
      <c r="E5" s="1">
        <v>774966.1</v>
      </c>
      <c r="F5" s="1">
        <v>763201.58</v>
      </c>
      <c r="G5" s="46">
        <v>753434.26</v>
      </c>
      <c r="H5" s="1">
        <v>724341.88</v>
      </c>
      <c r="I5" s="1">
        <v>714894.32000000007</v>
      </c>
      <c r="J5" s="46">
        <v>701547.45000000007</v>
      </c>
      <c r="K5" s="1">
        <v>694980.74</v>
      </c>
      <c r="L5" s="1">
        <v>669822.24000000011</v>
      </c>
      <c r="M5" s="46">
        <v>657284.11</v>
      </c>
      <c r="N5" s="1">
        <v>645943.80000000005</v>
      </c>
      <c r="O5" s="1">
        <v>640184.79</v>
      </c>
      <c r="P5" s="46">
        <v>617482.87999999989</v>
      </c>
      <c r="Q5" s="1">
        <v>604730.59000000008</v>
      </c>
      <c r="R5" s="1">
        <v>585363.73</v>
      </c>
      <c r="S5" s="46">
        <v>559167.08000000007</v>
      </c>
      <c r="T5" s="1">
        <v>540182.64</v>
      </c>
      <c r="U5" s="1">
        <v>499993.55999999988</v>
      </c>
      <c r="V5" s="46">
        <v>478903.43</v>
      </c>
      <c r="W5" s="1">
        <v>463120.97</v>
      </c>
      <c r="X5" s="1">
        <v>451377.66</v>
      </c>
      <c r="Y5" s="46">
        <v>418835.34</v>
      </c>
      <c r="Z5" s="1">
        <v>411754.92</v>
      </c>
      <c r="AA5" s="1">
        <v>389022.77</v>
      </c>
      <c r="AB5" s="46">
        <v>352119.48</v>
      </c>
      <c r="AC5" s="1">
        <v>321428.53000000003</v>
      </c>
      <c r="AD5" s="1">
        <v>282149.88</v>
      </c>
      <c r="AE5" s="46">
        <v>263241.40000000002</v>
      </c>
      <c r="AF5" s="1">
        <v>244267.04</v>
      </c>
      <c r="AG5" s="1">
        <v>231514.47</v>
      </c>
      <c r="AH5" s="46">
        <v>212502.97</v>
      </c>
      <c r="AI5" s="1">
        <v>203435</v>
      </c>
      <c r="AJ5" s="1">
        <v>166368.48000000001</v>
      </c>
      <c r="AK5" s="46">
        <v>166368.48000000001</v>
      </c>
      <c r="AL5" s="1">
        <v>155712.65</v>
      </c>
      <c r="AM5" s="1">
        <v>146143.17000000001</v>
      </c>
      <c r="AN5" s="46">
        <v>140660.26999999999</v>
      </c>
      <c r="AO5" s="1">
        <v>132966.23000000001</v>
      </c>
      <c r="AP5" s="1">
        <v>118165.81</v>
      </c>
      <c r="AQ5" s="46">
        <v>112418.8</v>
      </c>
      <c r="AR5" s="1">
        <v>101849.63</v>
      </c>
      <c r="AS5" s="1">
        <v>101849.63</v>
      </c>
      <c r="AT5" s="46">
        <v>99238.53</v>
      </c>
      <c r="AU5" s="1">
        <v>91934</v>
      </c>
      <c r="AV5" s="1">
        <v>66822.25</v>
      </c>
      <c r="AW5" s="46">
        <v>44600.050000000017</v>
      </c>
      <c r="AX5" s="1">
        <v>39712.62000000001</v>
      </c>
      <c r="AY5" s="1">
        <v>34406.129999999997</v>
      </c>
      <c r="AZ5" s="46">
        <v>34406.129999999997</v>
      </c>
      <c r="BA5" s="1">
        <v>33132.410000000003</v>
      </c>
      <c r="BB5" s="1">
        <v>19950.810000000001</v>
      </c>
      <c r="BC5" s="46">
        <v>17093.5</v>
      </c>
      <c r="BD5" s="1">
        <v>9150.5300000000007</v>
      </c>
      <c r="BE5" s="1">
        <v>9150.5300000000007</v>
      </c>
      <c r="BF5" s="46">
        <v>9150.5300000000007</v>
      </c>
      <c r="BG5" s="1">
        <v>9150.5300000000007</v>
      </c>
      <c r="BH5" s="1">
        <v>4156.5300000000007</v>
      </c>
      <c r="BI5" s="46">
        <v>2380.13</v>
      </c>
      <c r="BJ5" s="1">
        <v>0</v>
      </c>
      <c r="BK5" s="1">
        <v>0</v>
      </c>
      <c r="BL5">
        <v>0</v>
      </c>
    </row>
    <row r="6" spans="1:64" ht="15.5" x14ac:dyDescent="0.35">
      <c r="A6" t="s">
        <v>68</v>
      </c>
      <c r="B6" s="1">
        <v>376056.56999999989</v>
      </c>
      <c r="C6" s="1">
        <v>362678.52</v>
      </c>
      <c r="D6" s="46">
        <v>359793.8</v>
      </c>
      <c r="E6" s="1">
        <v>353097.54</v>
      </c>
      <c r="F6" s="1">
        <v>348360.87</v>
      </c>
      <c r="G6" s="46">
        <v>343929.25</v>
      </c>
      <c r="H6" s="1">
        <v>332228.2</v>
      </c>
      <c r="I6" s="1">
        <v>328329.34000000003</v>
      </c>
      <c r="J6" s="46">
        <v>321501.48</v>
      </c>
      <c r="K6" s="1">
        <v>318688.18</v>
      </c>
      <c r="L6" s="1">
        <v>305147.33</v>
      </c>
      <c r="M6" s="46">
        <v>299587</v>
      </c>
      <c r="N6" s="1">
        <v>293854.31999999989</v>
      </c>
      <c r="O6" s="1">
        <v>290753.43</v>
      </c>
      <c r="P6" s="46">
        <v>279437.40999999997</v>
      </c>
      <c r="Q6" s="1">
        <v>273029.11</v>
      </c>
      <c r="R6" s="1">
        <v>264318.56</v>
      </c>
      <c r="S6" s="46">
        <v>252332.95</v>
      </c>
      <c r="T6" s="1">
        <v>244492.65</v>
      </c>
      <c r="U6" s="1">
        <v>226293.8</v>
      </c>
      <c r="V6" s="46">
        <v>215804.98</v>
      </c>
      <c r="W6" s="1">
        <v>208643.26</v>
      </c>
      <c r="X6" s="1">
        <v>203518.01</v>
      </c>
      <c r="Y6" s="46">
        <v>186911.59</v>
      </c>
      <c r="Z6" s="1">
        <v>183398.67</v>
      </c>
      <c r="AA6" s="1">
        <v>173210.92</v>
      </c>
      <c r="AB6" s="46">
        <v>156282.22</v>
      </c>
      <c r="AC6" s="1">
        <v>141609.39000000001</v>
      </c>
      <c r="AD6" s="1">
        <v>122921.54</v>
      </c>
      <c r="AE6" s="46">
        <v>115092.5</v>
      </c>
      <c r="AF6" s="1">
        <v>106754.07</v>
      </c>
      <c r="AG6" s="1">
        <v>100862.15</v>
      </c>
      <c r="AH6" s="46">
        <v>91995.76999999999</v>
      </c>
      <c r="AI6" s="1">
        <v>88117.420000000013</v>
      </c>
      <c r="AJ6" s="1">
        <v>67776.709999999992</v>
      </c>
      <c r="AK6" s="46">
        <v>67776.709999999992</v>
      </c>
      <c r="AL6" s="1">
        <v>62907.69</v>
      </c>
      <c r="AM6" s="1">
        <v>58793.44000000001</v>
      </c>
      <c r="AN6" s="46">
        <v>56434.38</v>
      </c>
      <c r="AO6" s="1">
        <v>53448.360000000008</v>
      </c>
      <c r="AP6" s="1">
        <v>47753.62</v>
      </c>
      <c r="AQ6" s="46">
        <v>45478.990000000013</v>
      </c>
      <c r="AR6" s="1">
        <v>40354.47</v>
      </c>
      <c r="AS6" s="1">
        <v>40354.47</v>
      </c>
      <c r="AT6" s="46">
        <v>39311.150000000009</v>
      </c>
      <c r="AU6" s="1">
        <v>36071.000000000007</v>
      </c>
      <c r="AV6" s="1">
        <v>26033.69</v>
      </c>
      <c r="AW6" s="46">
        <v>17289.98</v>
      </c>
      <c r="AX6" s="1">
        <v>15025.83</v>
      </c>
      <c r="AY6" s="1">
        <v>13075.11</v>
      </c>
      <c r="AZ6" s="46">
        <v>13075.11</v>
      </c>
      <c r="BA6" s="1">
        <v>12545.23</v>
      </c>
      <c r="BB6" s="1">
        <v>7476.0399999999981</v>
      </c>
      <c r="BC6" s="46">
        <v>6381.2999999999984</v>
      </c>
      <c r="BD6" s="1">
        <v>3316.25</v>
      </c>
      <c r="BE6" s="1">
        <v>3316.25</v>
      </c>
      <c r="BF6" s="46">
        <v>3316.25</v>
      </c>
      <c r="BG6" s="1">
        <v>3316.25</v>
      </c>
      <c r="BH6" s="1">
        <v>1595.3</v>
      </c>
      <c r="BI6" s="46">
        <v>914.25</v>
      </c>
      <c r="BJ6" s="1">
        <v>0</v>
      </c>
      <c r="BK6" s="1">
        <v>0</v>
      </c>
      <c r="BL6">
        <v>0</v>
      </c>
    </row>
    <row r="7" spans="1:64" ht="15.5" x14ac:dyDescent="0.35">
      <c r="A7" t="s">
        <v>69</v>
      </c>
      <c r="B7" s="1">
        <v>128903.23</v>
      </c>
      <c r="C7" s="1">
        <v>124860.76</v>
      </c>
      <c r="D7" s="46">
        <v>123868.91</v>
      </c>
      <c r="E7" s="1">
        <v>121810.17</v>
      </c>
      <c r="F7" s="1">
        <v>120162.3</v>
      </c>
      <c r="G7" s="46">
        <v>118698.6</v>
      </c>
      <c r="H7" s="1">
        <v>115587.11</v>
      </c>
      <c r="I7" s="1">
        <v>114339.67</v>
      </c>
      <c r="J7" s="46">
        <v>112641.24</v>
      </c>
      <c r="K7" s="1">
        <v>111680.23</v>
      </c>
      <c r="L7" s="1">
        <v>108423.95</v>
      </c>
      <c r="M7" s="46">
        <v>106819.36</v>
      </c>
      <c r="N7" s="1">
        <v>105286.72</v>
      </c>
      <c r="O7" s="1">
        <v>104608.71</v>
      </c>
      <c r="P7" s="46">
        <v>101490.01</v>
      </c>
      <c r="Q7" s="1">
        <v>99724.28</v>
      </c>
      <c r="R7" s="1">
        <v>97066.14</v>
      </c>
      <c r="S7" s="46">
        <v>92862.81</v>
      </c>
      <c r="T7" s="1">
        <v>89413.119999999995</v>
      </c>
      <c r="U7" s="1">
        <v>82690.09</v>
      </c>
      <c r="V7" s="46">
        <v>79545.450000000012</v>
      </c>
      <c r="W7" s="1">
        <v>76963.39</v>
      </c>
      <c r="X7" s="1">
        <v>75057.540000000008</v>
      </c>
      <c r="Y7" s="46">
        <v>69635.899999999994</v>
      </c>
      <c r="Z7" s="1">
        <v>68618.03</v>
      </c>
      <c r="AA7" s="1">
        <v>64913.56</v>
      </c>
      <c r="AB7" s="46">
        <v>59377.249999999993</v>
      </c>
      <c r="AC7" s="1">
        <v>54701.989999999991</v>
      </c>
      <c r="AD7" s="1">
        <v>48473.57</v>
      </c>
      <c r="AE7" s="46">
        <v>45148.989999999991</v>
      </c>
      <c r="AF7" s="1">
        <v>42055.34</v>
      </c>
      <c r="AG7" s="1">
        <v>39709.739999999991</v>
      </c>
      <c r="AH7" s="46">
        <v>37358.199999999997</v>
      </c>
      <c r="AI7" s="1">
        <v>35910.089999999997</v>
      </c>
      <c r="AJ7" s="1">
        <v>28792.36</v>
      </c>
      <c r="AK7" s="46">
        <v>28792.36</v>
      </c>
      <c r="AL7" s="1">
        <v>27065.779999999992</v>
      </c>
      <c r="AM7" s="1">
        <v>25547.659999999989</v>
      </c>
      <c r="AN7" s="46">
        <v>24554.5</v>
      </c>
      <c r="AO7" s="1">
        <v>23301.3</v>
      </c>
      <c r="AP7" s="1">
        <v>20760.36</v>
      </c>
      <c r="AQ7" s="46">
        <v>19801.689999999999</v>
      </c>
      <c r="AR7" s="1">
        <v>17359.39</v>
      </c>
      <c r="AS7" s="1">
        <v>17359.39</v>
      </c>
      <c r="AT7" s="46">
        <v>16975.3</v>
      </c>
      <c r="AU7" s="1">
        <v>15831</v>
      </c>
      <c r="AV7" s="1">
        <v>11385.58</v>
      </c>
      <c r="AW7" s="46">
        <v>7757.2800000000016</v>
      </c>
      <c r="AX7" s="1">
        <v>7056.2100000000009</v>
      </c>
      <c r="AY7" s="1">
        <v>6209.260000000002</v>
      </c>
      <c r="AZ7" s="46">
        <v>6209.260000000002</v>
      </c>
      <c r="BA7" s="1">
        <v>5965.26</v>
      </c>
      <c r="BB7" s="1">
        <v>3595.7100000000009</v>
      </c>
      <c r="BC7" s="46">
        <v>3077.2900000000009</v>
      </c>
      <c r="BD7" s="1">
        <v>1589</v>
      </c>
      <c r="BE7" s="1">
        <v>1589</v>
      </c>
      <c r="BF7" s="46">
        <v>1589</v>
      </c>
      <c r="BG7" s="1">
        <v>1589</v>
      </c>
      <c r="BH7" s="1">
        <v>811.45</v>
      </c>
      <c r="BI7" s="46">
        <v>473.3</v>
      </c>
      <c r="BJ7" s="1">
        <v>0</v>
      </c>
      <c r="BK7" s="1">
        <v>0</v>
      </c>
      <c r="BL7">
        <v>0</v>
      </c>
    </row>
    <row r="8" spans="1:64" ht="15.5" x14ac:dyDescent="0.35">
      <c r="A8" t="s">
        <v>70</v>
      </c>
      <c r="B8" s="1">
        <v>72508.78</v>
      </c>
      <c r="C8" s="1">
        <v>69648.38</v>
      </c>
      <c r="D8" s="46">
        <v>69003</v>
      </c>
      <c r="E8" s="1">
        <v>67372.999999999985</v>
      </c>
      <c r="F8" s="1">
        <v>66148.3</v>
      </c>
      <c r="G8" s="46">
        <v>65446.62</v>
      </c>
      <c r="H8" s="1">
        <v>62230.47</v>
      </c>
      <c r="I8" s="1">
        <v>61321.289999999994</v>
      </c>
      <c r="J8" s="46">
        <v>60168.100000000013</v>
      </c>
      <c r="K8" s="1">
        <v>59547.95</v>
      </c>
      <c r="L8" s="1">
        <v>57901.88</v>
      </c>
      <c r="M8" s="46">
        <v>56712.61</v>
      </c>
      <c r="N8" s="1">
        <v>55913.14</v>
      </c>
      <c r="O8" s="1">
        <v>55562.63</v>
      </c>
      <c r="P8" s="46">
        <v>53715.69</v>
      </c>
      <c r="Q8" s="1">
        <v>52782.87</v>
      </c>
      <c r="R8" s="1">
        <v>51181.710000000006</v>
      </c>
      <c r="S8" s="46">
        <v>49166.34</v>
      </c>
      <c r="T8" s="1">
        <v>47450.67</v>
      </c>
      <c r="U8" s="1">
        <v>44083.98</v>
      </c>
      <c r="V8" s="46">
        <v>42540.05</v>
      </c>
      <c r="W8" s="1">
        <v>41453.469999999987</v>
      </c>
      <c r="X8" s="1">
        <v>40422.35</v>
      </c>
      <c r="Y8" s="46">
        <v>37883.06</v>
      </c>
      <c r="Z8" s="1">
        <v>37365.789999999994</v>
      </c>
      <c r="AA8" s="1">
        <v>35548.850000000013</v>
      </c>
      <c r="AB8" s="46">
        <v>32452.07</v>
      </c>
      <c r="AC8" s="1">
        <v>30051.23</v>
      </c>
      <c r="AD8" s="1">
        <v>27087.279999999999</v>
      </c>
      <c r="AE8" s="46">
        <v>25391.11</v>
      </c>
      <c r="AF8" s="1">
        <v>23882.05</v>
      </c>
      <c r="AG8" s="1">
        <v>22840.44</v>
      </c>
      <c r="AH8" s="46">
        <v>21364.74</v>
      </c>
      <c r="AI8" s="1">
        <v>20697.18</v>
      </c>
      <c r="AJ8" s="1">
        <v>16503.05</v>
      </c>
      <c r="AK8" s="46">
        <v>16503.05</v>
      </c>
      <c r="AL8" s="1">
        <v>15803.05</v>
      </c>
      <c r="AM8" s="1">
        <v>15031.19</v>
      </c>
      <c r="AN8" s="46">
        <v>14519.18</v>
      </c>
      <c r="AO8" s="1">
        <v>13808.39</v>
      </c>
      <c r="AP8" s="1">
        <v>12088.32</v>
      </c>
      <c r="AQ8" s="46">
        <v>11563.89</v>
      </c>
      <c r="AR8" s="1">
        <v>9441.27</v>
      </c>
      <c r="AS8" s="1">
        <v>9441.27</v>
      </c>
      <c r="AT8" s="46">
        <v>9188.2099999999991</v>
      </c>
      <c r="AU8" s="1">
        <v>8539.6299999999992</v>
      </c>
      <c r="AV8" s="1">
        <v>6179.3099999999986</v>
      </c>
      <c r="AW8" s="46">
        <v>4091.52</v>
      </c>
      <c r="AX8" s="1">
        <v>3659</v>
      </c>
      <c r="AY8" s="1">
        <v>3163.4800000000009</v>
      </c>
      <c r="AZ8" s="46">
        <v>3163.4800000000009</v>
      </c>
      <c r="BA8" s="1">
        <v>3043.4800000000009</v>
      </c>
      <c r="BB8" s="1">
        <v>1889.9</v>
      </c>
      <c r="BC8" s="46">
        <v>1649.9</v>
      </c>
      <c r="BD8" s="1">
        <v>820.61999999999989</v>
      </c>
      <c r="BE8" s="1">
        <v>820.61999999999989</v>
      </c>
      <c r="BF8" s="46">
        <v>820.61999999999989</v>
      </c>
      <c r="BG8" s="1">
        <v>820.61999999999989</v>
      </c>
      <c r="BH8" s="1">
        <v>411.52</v>
      </c>
      <c r="BI8" s="46">
        <v>238.78</v>
      </c>
      <c r="BJ8" s="1">
        <v>0</v>
      </c>
      <c r="BK8" s="1">
        <v>0</v>
      </c>
      <c r="BL8">
        <v>0</v>
      </c>
    </row>
    <row r="9" spans="1:64" ht="15.5" x14ac:dyDescent="0.35">
      <c r="A9" t="s">
        <v>71</v>
      </c>
      <c r="B9" s="1">
        <v>2682176.33</v>
      </c>
      <c r="C9" s="1">
        <v>2499045.06</v>
      </c>
      <c r="D9" s="46">
        <v>2452907.65</v>
      </c>
      <c r="E9" s="1">
        <v>2346587.21</v>
      </c>
      <c r="F9" s="1">
        <v>2266934.21</v>
      </c>
      <c r="G9" s="46">
        <v>2198234.06</v>
      </c>
      <c r="H9" s="1">
        <v>2021165.72</v>
      </c>
      <c r="I9" s="1">
        <v>1959887.05</v>
      </c>
      <c r="J9" s="46">
        <v>1899407.22</v>
      </c>
      <c r="K9" s="1">
        <v>1860688.75</v>
      </c>
      <c r="L9" s="1">
        <v>1780945.98</v>
      </c>
      <c r="M9" s="46">
        <v>1725091.27</v>
      </c>
      <c r="N9" s="1">
        <v>1685042.1</v>
      </c>
      <c r="O9" s="1">
        <v>1667084.26</v>
      </c>
      <c r="P9" s="46">
        <v>1571057.48</v>
      </c>
      <c r="Q9" s="1">
        <v>1525825.18</v>
      </c>
      <c r="R9" s="1">
        <v>1440760.69</v>
      </c>
      <c r="S9" s="46">
        <v>1343612.29</v>
      </c>
      <c r="T9" s="1">
        <v>1263981.1599999999</v>
      </c>
      <c r="U9" s="1">
        <v>1100380.21</v>
      </c>
      <c r="V9" s="46">
        <v>1029964.4</v>
      </c>
      <c r="W9" s="1">
        <v>976584.30999999994</v>
      </c>
      <c r="X9" s="1">
        <v>925589.07000000007</v>
      </c>
      <c r="Y9" s="46">
        <v>813189.92</v>
      </c>
      <c r="Z9" s="1">
        <v>797603.4</v>
      </c>
      <c r="AA9" s="1">
        <v>734993.89000000013</v>
      </c>
      <c r="AB9" s="46">
        <v>630731.52000000002</v>
      </c>
      <c r="AC9" s="1">
        <v>565266.12</v>
      </c>
      <c r="AD9" s="1">
        <v>487794.75</v>
      </c>
      <c r="AE9" s="46">
        <v>432236.41</v>
      </c>
      <c r="AF9" s="1">
        <v>398852.43999999989</v>
      </c>
      <c r="AG9" s="1">
        <v>378893.29</v>
      </c>
      <c r="AH9" s="46">
        <v>348856.89</v>
      </c>
      <c r="AI9" s="1">
        <v>331227.23</v>
      </c>
      <c r="AJ9" s="1">
        <v>305212.59000000003</v>
      </c>
      <c r="AK9" s="46">
        <v>305212.59000000003</v>
      </c>
      <c r="AL9" s="1">
        <v>303573.0400000001</v>
      </c>
      <c r="AM9" s="1">
        <v>288573.43000000011</v>
      </c>
      <c r="AN9" s="46">
        <v>280241.59000000003</v>
      </c>
      <c r="AO9" s="1">
        <v>253817.47</v>
      </c>
      <c r="AP9" s="1">
        <v>196518</v>
      </c>
      <c r="AQ9" s="46">
        <v>180733.35</v>
      </c>
      <c r="AR9" s="1">
        <v>179003.79</v>
      </c>
      <c r="AS9" s="1">
        <v>179003.79</v>
      </c>
      <c r="AT9" s="46">
        <v>175127.19</v>
      </c>
      <c r="AU9" s="1">
        <v>163831.23000000001</v>
      </c>
      <c r="AV9" s="1">
        <v>122893.35</v>
      </c>
      <c r="AW9" s="46">
        <v>70577.24000000002</v>
      </c>
      <c r="AX9" s="1">
        <v>66854.7</v>
      </c>
      <c r="AY9" s="1">
        <v>51453.810000000012</v>
      </c>
      <c r="AZ9" s="46">
        <v>51453.810000000012</v>
      </c>
      <c r="BA9" s="1">
        <v>48584.94000000001</v>
      </c>
      <c r="BB9" s="1">
        <v>23598.09</v>
      </c>
      <c r="BC9" s="46">
        <v>17832.54</v>
      </c>
      <c r="BD9" s="1">
        <v>5240.0300000000007</v>
      </c>
      <c r="BE9" s="1">
        <v>5240.0300000000007</v>
      </c>
      <c r="BF9" s="46">
        <v>5240.0300000000007</v>
      </c>
      <c r="BG9" s="1">
        <v>5240.0300000000007</v>
      </c>
      <c r="BH9" s="1">
        <v>1280.33</v>
      </c>
      <c r="BI9" s="46">
        <v>359.84</v>
      </c>
      <c r="BJ9" s="1">
        <v>0</v>
      </c>
      <c r="BK9" s="1">
        <v>0</v>
      </c>
      <c r="BL9">
        <v>0</v>
      </c>
    </row>
    <row r="10" spans="1:64" ht="15.5" x14ac:dyDescent="0.35">
      <c r="A10" t="s">
        <v>72</v>
      </c>
      <c r="B10" s="1">
        <v>1763348</v>
      </c>
      <c r="C10" s="1">
        <v>1669771.51</v>
      </c>
      <c r="D10" s="46">
        <v>1647399.94</v>
      </c>
      <c r="E10" s="1">
        <v>1586869.43</v>
      </c>
      <c r="F10" s="1">
        <v>1542379.66</v>
      </c>
      <c r="G10" s="46">
        <v>1500382.95</v>
      </c>
      <c r="H10" s="1">
        <v>1420419.46</v>
      </c>
      <c r="I10" s="1">
        <v>1395333.67</v>
      </c>
      <c r="J10" s="46">
        <v>1358949.97</v>
      </c>
      <c r="K10" s="1">
        <v>1336479.5900000001</v>
      </c>
      <c r="L10" s="1">
        <v>1289995.94</v>
      </c>
      <c r="M10" s="46">
        <v>1258814.83</v>
      </c>
      <c r="N10" s="1">
        <v>1237657.58</v>
      </c>
      <c r="O10" s="1">
        <v>1229682.27</v>
      </c>
      <c r="P10" s="46">
        <v>1172576.69</v>
      </c>
      <c r="Q10" s="1">
        <v>1146458.21</v>
      </c>
      <c r="R10" s="1">
        <v>1089343.1000000001</v>
      </c>
      <c r="S10" s="46">
        <v>1032939.7</v>
      </c>
      <c r="T10" s="1">
        <v>980964.04</v>
      </c>
      <c r="U10" s="1">
        <v>868988.41999999993</v>
      </c>
      <c r="V10" s="46">
        <v>826803.55</v>
      </c>
      <c r="W10" s="1">
        <v>786047.73</v>
      </c>
      <c r="X10" s="1">
        <v>756521.39999999991</v>
      </c>
      <c r="Y10" s="46">
        <v>676193.07</v>
      </c>
      <c r="Z10" s="1">
        <v>663433.11</v>
      </c>
      <c r="AA10" s="1">
        <v>612953.72</v>
      </c>
      <c r="AB10" s="46">
        <v>530005.82999999996</v>
      </c>
      <c r="AC10" s="1">
        <v>473356.5</v>
      </c>
      <c r="AD10" s="1">
        <v>411808.42999999988</v>
      </c>
      <c r="AE10" s="46">
        <v>372314.1</v>
      </c>
      <c r="AF10" s="1">
        <v>342963.59</v>
      </c>
      <c r="AG10" s="1">
        <v>323861.48</v>
      </c>
      <c r="AH10" s="46">
        <v>298451.51</v>
      </c>
      <c r="AI10" s="1">
        <v>283520.90000000002</v>
      </c>
      <c r="AJ10" s="1">
        <v>262001.43</v>
      </c>
      <c r="AK10" s="46">
        <v>262001.43</v>
      </c>
      <c r="AL10" s="1">
        <v>260361.88</v>
      </c>
      <c r="AM10" s="1">
        <v>247876.2</v>
      </c>
      <c r="AN10" s="46">
        <v>240189.29</v>
      </c>
      <c r="AO10" s="1">
        <v>216629.72</v>
      </c>
      <c r="AP10" s="1">
        <v>167645.29999999999</v>
      </c>
      <c r="AQ10" s="46">
        <v>152874.22</v>
      </c>
      <c r="AR10" s="1">
        <v>151277.59</v>
      </c>
      <c r="AS10" s="1">
        <v>151277.59</v>
      </c>
      <c r="AT10" s="46">
        <v>147615.26999999999</v>
      </c>
      <c r="AU10" s="1">
        <v>138994.94</v>
      </c>
      <c r="AV10" s="1">
        <v>107331.89</v>
      </c>
      <c r="AW10" s="46">
        <v>63672.690000000017</v>
      </c>
      <c r="AX10" s="1">
        <v>61275.69000000001</v>
      </c>
      <c r="AY10" s="1">
        <v>46688.390000000007</v>
      </c>
      <c r="AZ10" s="46">
        <v>46688.390000000007</v>
      </c>
      <c r="BA10" s="1">
        <v>44013.87000000001</v>
      </c>
      <c r="BB10" s="1">
        <v>20525.989999999991</v>
      </c>
      <c r="BC10" s="46">
        <v>14837.49</v>
      </c>
      <c r="BD10" s="1">
        <v>3097.75</v>
      </c>
      <c r="BE10" s="1">
        <v>3097.75</v>
      </c>
      <c r="BF10" s="46">
        <v>3097.75</v>
      </c>
      <c r="BG10" s="1">
        <v>3097.75</v>
      </c>
      <c r="BH10" s="1">
        <v>1280.33</v>
      </c>
      <c r="BI10" s="46">
        <v>359.84</v>
      </c>
      <c r="BJ10" s="1">
        <v>0</v>
      </c>
      <c r="BK10" s="1">
        <v>0</v>
      </c>
      <c r="BL10">
        <v>0</v>
      </c>
    </row>
    <row r="11" spans="1:64" ht="15.5" x14ac:dyDescent="0.35">
      <c r="A11" t="s">
        <v>73</v>
      </c>
      <c r="B11" s="1">
        <v>118230.21</v>
      </c>
      <c r="C11" s="1">
        <v>113365.03</v>
      </c>
      <c r="D11" s="46">
        <v>112103.47</v>
      </c>
      <c r="E11" s="1">
        <v>109574.35</v>
      </c>
      <c r="F11" s="1">
        <v>107096.98</v>
      </c>
      <c r="G11" s="46">
        <v>105757.41</v>
      </c>
      <c r="H11" s="1">
        <v>100575.97</v>
      </c>
      <c r="I11" s="1">
        <v>99203.71</v>
      </c>
      <c r="J11" s="46">
        <v>97354</v>
      </c>
      <c r="K11" s="1">
        <v>96410.659999999989</v>
      </c>
      <c r="L11" s="1">
        <v>92958.44</v>
      </c>
      <c r="M11" s="46">
        <v>90723.78</v>
      </c>
      <c r="N11" s="1">
        <v>89010.270000000019</v>
      </c>
      <c r="O11" s="1">
        <v>88506.4</v>
      </c>
      <c r="P11" s="46">
        <v>85789.440000000002</v>
      </c>
      <c r="Q11" s="1">
        <v>84027.4</v>
      </c>
      <c r="R11" s="1">
        <v>81274.240000000005</v>
      </c>
      <c r="S11" s="46">
        <v>77272.040000000008</v>
      </c>
      <c r="T11" s="1">
        <v>74297.31</v>
      </c>
      <c r="U11" s="1">
        <v>68990.81</v>
      </c>
      <c r="V11" s="46">
        <v>66463.789999999994</v>
      </c>
      <c r="W11" s="1">
        <v>64073.919999999998</v>
      </c>
      <c r="X11" s="1">
        <v>62284.27</v>
      </c>
      <c r="Y11" s="46">
        <v>58024.62</v>
      </c>
      <c r="Z11" s="1">
        <v>57006.78</v>
      </c>
      <c r="AA11" s="1">
        <v>53397.9</v>
      </c>
      <c r="AB11" s="46">
        <v>48352.86</v>
      </c>
      <c r="AC11" s="1">
        <v>44140.079999999987</v>
      </c>
      <c r="AD11" s="1">
        <v>38612.199999999997</v>
      </c>
      <c r="AE11" s="46">
        <v>35667.22</v>
      </c>
      <c r="AF11" s="1">
        <v>32708.32</v>
      </c>
      <c r="AG11" s="1">
        <v>30752.63</v>
      </c>
      <c r="AH11" s="46">
        <v>29346.31</v>
      </c>
      <c r="AI11" s="1">
        <v>27969.37</v>
      </c>
      <c r="AJ11" s="1">
        <v>25269.14</v>
      </c>
      <c r="AK11" s="46">
        <v>25269.14</v>
      </c>
      <c r="AL11" s="1">
        <v>23548.46</v>
      </c>
      <c r="AM11" s="1">
        <v>22159.71999999999</v>
      </c>
      <c r="AN11" s="46">
        <v>21298.49</v>
      </c>
      <c r="AO11" s="1">
        <v>20071.55</v>
      </c>
      <c r="AP11" s="1">
        <v>17687.349999999999</v>
      </c>
      <c r="AQ11" s="46">
        <v>16836.669999999998</v>
      </c>
      <c r="AR11" s="1">
        <v>16204.02</v>
      </c>
      <c r="AS11" s="1">
        <v>16204.02</v>
      </c>
      <c r="AT11" s="46">
        <v>15826.4</v>
      </c>
      <c r="AU11" s="1">
        <v>14688</v>
      </c>
      <c r="AV11" s="1">
        <v>10601.85</v>
      </c>
      <c r="AW11" s="46">
        <v>7002.2800000000007</v>
      </c>
      <c r="AX11" s="1">
        <v>6255.920000000001</v>
      </c>
      <c r="AY11" s="1">
        <v>5424.5900000000011</v>
      </c>
      <c r="AZ11" s="46">
        <v>5424.5900000000011</v>
      </c>
      <c r="BA11" s="1">
        <v>5200.5900000000011</v>
      </c>
      <c r="BB11" s="1">
        <v>3156.6200000000008</v>
      </c>
      <c r="BC11" s="46">
        <v>2673.3000000000011</v>
      </c>
      <c r="BD11" s="1">
        <v>1438.09</v>
      </c>
      <c r="BE11" s="1">
        <v>1438.09</v>
      </c>
      <c r="BF11" s="46">
        <v>1438.09</v>
      </c>
      <c r="BG11" s="1">
        <v>1438.09</v>
      </c>
      <c r="BH11" s="1">
        <v>671.58999999999992</v>
      </c>
      <c r="BI11" s="46">
        <v>393.96</v>
      </c>
      <c r="BJ11" s="1">
        <v>0</v>
      </c>
      <c r="BK11" s="1">
        <v>0</v>
      </c>
      <c r="BL11">
        <v>0</v>
      </c>
    </row>
    <row r="12" spans="1:64" ht="15.5" x14ac:dyDescent="0.35">
      <c r="A12" t="s">
        <v>74</v>
      </c>
      <c r="B12" s="1">
        <v>24107893.93</v>
      </c>
      <c r="C12" s="1">
        <v>23295260.73</v>
      </c>
      <c r="D12" s="46">
        <v>23100431.43</v>
      </c>
      <c r="E12" s="1">
        <v>22656512.02</v>
      </c>
      <c r="F12" s="1">
        <v>22241693.100000001</v>
      </c>
      <c r="G12" s="46">
        <v>21957975.600000001</v>
      </c>
      <c r="H12" s="1">
        <v>21041366.989999998</v>
      </c>
      <c r="I12" s="1">
        <v>20776002.690000001</v>
      </c>
      <c r="J12" s="46">
        <v>20396760.100000001</v>
      </c>
      <c r="K12" s="1">
        <v>20187606.75</v>
      </c>
      <c r="L12" s="1">
        <v>19517425.93</v>
      </c>
      <c r="M12" s="46">
        <v>19144569.329999998</v>
      </c>
      <c r="N12" s="1">
        <v>18855379.710000001</v>
      </c>
      <c r="O12" s="1">
        <v>18740699.399999999</v>
      </c>
      <c r="P12" s="46">
        <v>18136929.57</v>
      </c>
      <c r="Q12" s="1">
        <v>17813248.079999998</v>
      </c>
      <c r="R12" s="1">
        <v>17325060.329999998</v>
      </c>
      <c r="S12" s="46">
        <v>16580115.99</v>
      </c>
      <c r="T12" s="1">
        <v>16029048.869999999</v>
      </c>
      <c r="U12" s="1">
        <v>14903680.09</v>
      </c>
      <c r="V12" s="46">
        <v>14355792.109999999</v>
      </c>
      <c r="W12" s="1">
        <v>13887305.189999999</v>
      </c>
      <c r="X12" s="1">
        <v>13539590.24</v>
      </c>
      <c r="Y12" s="46">
        <v>12457858.65</v>
      </c>
      <c r="Z12" s="1">
        <v>12272173.130000001</v>
      </c>
      <c r="AA12" s="1">
        <v>11585165.470000001</v>
      </c>
      <c r="AB12" s="46">
        <v>10582360.970000001</v>
      </c>
      <c r="AC12" s="1">
        <v>9752157.5700000003</v>
      </c>
      <c r="AD12" s="1">
        <v>8606658.3600000013</v>
      </c>
      <c r="AE12" s="46">
        <v>8042326.209999999</v>
      </c>
      <c r="AF12" s="1">
        <v>7481572.4199999999</v>
      </c>
      <c r="AG12" s="1">
        <v>7090727.7200000007</v>
      </c>
      <c r="AH12" s="46">
        <v>6646900.5800000001</v>
      </c>
      <c r="AI12" s="1">
        <v>6387269.2699999996</v>
      </c>
      <c r="AJ12" s="1">
        <v>5193046.4499999993</v>
      </c>
      <c r="AK12" s="46">
        <v>5193046.4499999993</v>
      </c>
      <c r="AL12" s="1">
        <v>4869244.6399999987</v>
      </c>
      <c r="AM12" s="1">
        <v>4596493.8199999984</v>
      </c>
      <c r="AN12" s="46">
        <v>4419837.8600000003</v>
      </c>
      <c r="AO12" s="1">
        <v>4191512.8</v>
      </c>
      <c r="AP12" s="1">
        <v>3723837.24</v>
      </c>
      <c r="AQ12" s="46">
        <v>3550244.28</v>
      </c>
      <c r="AR12" s="1">
        <v>3236258.19</v>
      </c>
      <c r="AS12" s="1">
        <v>3236258.19</v>
      </c>
      <c r="AT12" s="46">
        <v>3164005.76</v>
      </c>
      <c r="AU12" s="1">
        <v>2942831.29</v>
      </c>
      <c r="AV12" s="1">
        <v>2119812.21</v>
      </c>
      <c r="AW12" s="46">
        <v>1434977.88</v>
      </c>
      <c r="AX12" s="1">
        <v>1296539.27</v>
      </c>
      <c r="AY12" s="1">
        <v>1137118.77</v>
      </c>
      <c r="AZ12" s="46">
        <v>1137118.77</v>
      </c>
      <c r="BA12" s="1">
        <v>1092024.58</v>
      </c>
      <c r="BB12" s="1">
        <v>656731.3400000002</v>
      </c>
      <c r="BC12" s="46">
        <v>561893.89</v>
      </c>
      <c r="BD12" s="1">
        <v>289642.25</v>
      </c>
      <c r="BE12" s="1">
        <v>289642.25</v>
      </c>
      <c r="BF12" s="46">
        <v>289642.25</v>
      </c>
      <c r="BG12" s="1">
        <v>289642.25</v>
      </c>
      <c r="BH12" s="1">
        <v>145245.70000000001</v>
      </c>
      <c r="BI12" s="46">
        <v>84277.59</v>
      </c>
      <c r="BJ12" s="1">
        <v>0</v>
      </c>
      <c r="BK12" s="1">
        <v>0</v>
      </c>
      <c r="BL12">
        <v>0</v>
      </c>
    </row>
    <row r="13" spans="1:64" ht="15.5" x14ac:dyDescent="0.35">
      <c r="A13" t="s">
        <v>75</v>
      </c>
      <c r="B13" s="1">
        <v>16737870.76</v>
      </c>
      <c r="C13" s="1">
        <v>16424468.68</v>
      </c>
      <c r="D13" s="46">
        <v>15985768.460000001</v>
      </c>
      <c r="E13" s="1">
        <v>15472847.529999999</v>
      </c>
      <c r="F13" s="1">
        <v>14991065.529999999</v>
      </c>
      <c r="G13" s="46">
        <v>14531129.68</v>
      </c>
      <c r="H13" s="1">
        <v>13888401.189999999</v>
      </c>
      <c r="I13" s="1">
        <v>13466638.35</v>
      </c>
      <c r="J13" s="46">
        <v>13018763.26</v>
      </c>
      <c r="K13" s="1">
        <v>12620855.25</v>
      </c>
      <c r="L13" s="1">
        <v>12056661.199999999</v>
      </c>
      <c r="M13" s="46">
        <v>11625631.310000001</v>
      </c>
      <c r="N13" s="1">
        <v>11214389.48</v>
      </c>
      <c r="O13" s="1">
        <v>10888579.16</v>
      </c>
      <c r="P13" s="46">
        <v>10364666.539999999</v>
      </c>
      <c r="Q13" s="1">
        <v>9978359.7300000004</v>
      </c>
      <c r="R13" s="1">
        <v>9537988.4000000004</v>
      </c>
      <c r="S13" s="46">
        <v>8991375.870000001</v>
      </c>
      <c r="T13" s="1">
        <v>8527464.5599999987</v>
      </c>
      <c r="U13" s="1">
        <v>7881515.9699999969</v>
      </c>
      <c r="V13" s="46">
        <v>7484418.1000000006</v>
      </c>
      <c r="W13" s="1">
        <v>7094606.9000000022</v>
      </c>
      <c r="X13" s="1">
        <v>6766425.4300000006</v>
      </c>
      <c r="Y13" s="46">
        <v>6255943.2300000004</v>
      </c>
      <c r="Z13" s="1">
        <v>6016058.5000000009</v>
      </c>
      <c r="AA13" s="1">
        <v>5559007.290000001</v>
      </c>
      <c r="AB13" s="46">
        <v>5047696.1700000018</v>
      </c>
      <c r="AC13" s="1">
        <v>4623424.9400000004</v>
      </c>
      <c r="AD13" s="1">
        <v>4089981.25</v>
      </c>
      <c r="AE13" s="46">
        <v>3751551.5199999991</v>
      </c>
      <c r="AF13" s="1">
        <v>3403598.5199999991</v>
      </c>
      <c r="AG13" s="1">
        <v>3159150.85</v>
      </c>
      <c r="AH13" s="46">
        <v>2933856.600000001</v>
      </c>
      <c r="AI13" s="1">
        <v>2740034.44</v>
      </c>
      <c r="AJ13" s="1">
        <v>2355230.310000001</v>
      </c>
      <c r="AK13" s="46">
        <v>2287453.600000001</v>
      </c>
      <c r="AL13" s="1">
        <v>2066290.780000001</v>
      </c>
      <c r="AM13" s="1">
        <v>1909399.550000001</v>
      </c>
      <c r="AN13" s="46">
        <v>1784825.97</v>
      </c>
      <c r="AO13" s="1">
        <v>1654372.33</v>
      </c>
      <c r="AP13" s="1">
        <v>1459869.86</v>
      </c>
      <c r="AQ13" s="46">
        <v>1353576.38</v>
      </c>
      <c r="AR13" s="1">
        <v>1234022.01</v>
      </c>
      <c r="AS13" s="1">
        <v>1193667.54</v>
      </c>
      <c r="AT13" s="46">
        <v>1131498.300000001</v>
      </c>
      <c r="AU13" s="1">
        <v>1039411.48</v>
      </c>
      <c r="AV13" s="1">
        <v>741502.01999999979</v>
      </c>
      <c r="AW13" s="46">
        <v>528725.45999999938</v>
      </c>
      <c r="AX13" s="1">
        <v>485262.48999999958</v>
      </c>
      <c r="AY13" s="1">
        <v>426080.54000000021</v>
      </c>
      <c r="AZ13" s="46">
        <v>413005.43000000023</v>
      </c>
      <c r="BA13" s="1">
        <v>386235.20000000019</v>
      </c>
      <c r="BB13" s="1">
        <v>239195.63000000021</v>
      </c>
      <c r="BC13" s="46">
        <v>202553.94000000009</v>
      </c>
      <c r="BD13" s="1">
        <v>109077</v>
      </c>
      <c r="BE13" s="1">
        <v>105760.75</v>
      </c>
      <c r="BF13" s="46">
        <v>102444.5</v>
      </c>
      <c r="BG13" s="1">
        <v>99128.25</v>
      </c>
      <c r="BH13" s="1">
        <v>52951.500000000007</v>
      </c>
      <c r="BI13" s="46">
        <v>31251.09</v>
      </c>
      <c r="BJ13" s="1">
        <v>0</v>
      </c>
      <c r="BK13" s="1">
        <v>0</v>
      </c>
      <c r="BL13">
        <v>0</v>
      </c>
    </row>
    <row r="14" spans="1:64" ht="15.5" x14ac:dyDescent="0.35">
      <c r="A14" t="s">
        <v>76</v>
      </c>
      <c r="B14" s="1">
        <v>0</v>
      </c>
      <c r="C14" s="1">
        <v>0</v>
      </c>
      <c r="D14" s="46">
        <v>0</v>
      </c>
      <c r="E14" s="1">
        <v>0</v>
      </c>
      <c r="F14" s="1">
        <v>0</v>
      </c>
      <c r="G14" s="46">
        <v>0</v>
      </c>
      <c r="H14" s="1">
        <v>0</v>
      </c>
      <c r="I14" s="1">
        <v>0</v>
      </c>
      <c r="J14" s="46">
        <v>0</v>
      </c>
      <c r="K14" s="1">
        <v>0</v>
      </c>
      <c r="L14" s="1">
        <v>0</v>
      </c>
      <c r="M14" s="46">
        <v>0</v>
      </c>
      <c r="N14" s="1">
        <v>0</v>
      </c>
      <c r="O14" s="1">
        <v>0</v>
      </c>
      <c r="P14" s="46">
        <v>0</v>
      </c>
      <c r="Q14" s="1">
        <v>0</v>
      </c>
      <c r="R14" s="1">
        <v>0</v>
      </c>
      <c r="S14" s="46">
        <v>0</v>
      </c>
      <c r="T14" s="1">
        <v>0</v>
      </c>
      <c r="U14" s="1">
        <v>0</v>
      </c>
      <c r="V14" s="46">
        <v>0</v>
      </c>
      <c r="W14" s="1">
        <v>0</v>
      </c>
      <c r="X14" s="1">
        <v>0</v>
      </c>
      <c r="Y14" s="46">
        <v>0</v>
      </c>
      <c r="Z14" s="1">
        <v>0</v>
      </c>
      <c r="AA14" s="1">
        <v>0</v>
      </c>
      <c r="AB14" s="46">
        <v>0</v>
      </c>
      <c r="AC14" s="1">
        <v>0</v>
      </c>
      <c r="AD14" s="1">
        <v>0</v>
      </c>
      <c r="AE14" s="46">
        <v>0</v>
      </c>
      <c r="AF14" s="1">
        <v>0</v>
      </c>
      <c r="AG14" s="1">
        <v>0</v>
      </c>
      <c r="AH14" s="46">
        <v>0</v>
      </c>
      <c r="AI14" s="1">
        <v>0</v>
      </c>
      <c r="AJ14" s="1">
        <v>0</v>
      </c>
      <c r="AK14" s="46">
        <v>0</v>
      </c>
      <c r="AL14" s="1">
        <v>0</v>
      </c>
      <c r="AM14" s="1">
        <v>0</v>
      </c>
      <c r="AN14" s="46">
        <v>0</v>
      </c>
      <c r="AO14" s="1">
        <v>0</v>
      </c>
      <c r="AP14" s="1">
        <v>0</v>
      </c>
      <c r="AQ14" s="46">
        <v>0</v>
      </c>
      <c r="AR14" s="1">
        <v>0</v>
      </c>
      <c r="AS14" s="1">
        <v>0</v>
      </c>
      <c r="AT14" s="46">
        <v>0</v>
      </c>
      <c r="AU14" s="1">
        <v>0</v>
      </c>
      <c r="AV14" s="1">
        <v>0</v>
      </c>
      <c r="AW14" s="46">
        <v>0</v>
      </c>
      <c r="AX14" s="1">
        <v>0</v>
      </c>
      <c r="AY14" s="1">
        <v>0</v>
      </c>
      <c r="AZ14" s="46">
        <v>0</v>
      </c>
      <c r="BA14" s="1">
        <v>0</v>
      </c>
      <c r="BB14" s="1">
        <v>0</v>
      </c>
      <c r="BC14" s="46">
        <v>0</v>
      </c>
      <c r="BD14" s="1">
        <v>0</v>
      </c>
      <c r="BE14" s="1">
        <v>0</v>
      </c>
      <c r="BF14" s="46">
        <v>0</v>
      </c>
      <c r="BG14" s="1">
        <v>0</v>
      </c>
      <c r="BH14" s="1">
        <v>0</v>
      </c>
      <c r="BI14" s="46">
        <v>0</v>
      </c>
      <c r="BJ14" s="1">
        <v>0</v>
      </c>
      <c r="BK14" s="1">
        <v>0</v>
      </c>
      <c r="BL14">
        <v>0</v>
      </c>
    </row>
    <row r="15" spans="1:64" ht="15.5" x14ac:dyDescent="0.35">
      <c r="A15" t="s">
        <v>77</v>
      </c>
      <c r="B15" s="1">
        <v>0</v>
      </c>
      <c r="C15" s="1">
        <v>23</v>
      </c>
      <c r="D15" s="46">
        <v>5</v>
      </c>
      <c r="E15" s="1">
        <v>12</v>
      </c>
      <c r="F15" s="1">
        <v>7</v>
      </c>
      <c r="G15" s="46">
        <v>7</v>
      </c>
      <c r="H15" s="1">
        <v>23</v>
      </c>
      <c r="I15" s="1">
        <v>6</v>
      </c>
      <c r="J15" s="46">
        <v>8</v>
      </c>
      <c r="K15" s="1">
        <v>5</v>
      </c>
      <c r="L15" s="1">
        <v>12</v>
      </c>
      <c r="M15" s="46">
        <v>9</v>
      </c>
      <c r="N15" s="1">
        <v>7</v>
      </c>
      <c r="O15" s="1">
        <v>2</v>
      </c>
      <c r="P15" s="46">
        <v>13</v>
      </c>
      <c r="Q15" s="1">
        <v>6</v>
      </c>
      <c r="R15" s="1">
        <v>12</v>
      </c>
      <c r="S15" s="46">
        <v>17</v>
      </c>
      <c r="T15" s="1">
        <v>14</v>
      </c>
      <c r="U15" s="1">
        <v>23</v>
      </c>
      <c r="V15" s="46">
        <v>10</v>
      </c>
      <c r="W15" s="1">
        <v>9</v>
      </c>
      <c r="X15" s="1">
        <v>8</v>
      </c>
      <c r="Y15" s="46">
        <v>21</v>
      </c>
      <c r="Z15" s="1">
        <v>3</v>
      </c>
      <c r="AA15" s="1">
        <v>14</v>
      </c>
      <c r="AB15" s="46">
        <v>22</v>
      </c>
      <c r="AC15" s="1">
        <v>17</v>
      </c>
      <c r="AD15" s="1">
        <v>20</v>
      </c>
      <c r="AE15" s="46">
        <v>13</v>
      </c>
      <c r="AF15" s="1">
        <v>11</v>
      </c>
      <c r="AG15" s="1">
        <v>6</v>
      </c>
      <c r="AH15" s="46">
        <v>10</v>
      </c>
      <c r="AI15" s="1">
        <v>6</v>
      </c>
      <c r="AJ15" s="1">
        <v>11</v>
      </c>
      <c r="AK15" s="46">
        <v>0</v>
      </c>
      <c r="AL15" s="1">
        <v>7</v>
      </c>
      <c r="AM15" s="1">
        <v>6</v>
      </c>
      <c r="AN15" s="46">
        <v>4</v>
      </c>
      <c r="AO15" s="1">
        <v>6</v>
      </c>
      <c r="AP15" s="1">
        <v>12</v>
      </c>
      <c r="AQ15" s="46">
        <v>4</v>
      </c>
      <c r="AR15" s="1">
        <v>1</v>
      </c>
      <c r="AS15" s="1">
        <v>0</v>
      </c>
      <c r="AT15" s="46">
        <v>2</v>
      </c>
      <c r="AU15" s="1">
        <v>5</v>
      </c>
      <c r="AV15" s="1">
        <v>15</v>
      </c>
      <c r="AW15" s="46">
        <v>13</v>
      </c>
      <c r="AX15" s="1">
        <v>3</v>
      </c>
      <c r="AY15" s="1">
        <v>4</v>
      </c>
      <c r="AZ15" s="46">
        <v>0</v>
      </c>
      <c r="BA15" s="1">
        <v>1</v>
      </c>
      <c r="BB15" s="1">
        <v>8</v>
      </c>
      <c r="BC15" s="46">
        <v>2</v>
      </c>
      <c r="BD15" s="1">
        <v>5</v>
      </c>
      <c r="BE15" s="1">
        <v>0</v>
      </c>
      <c r="BF15" s="46">
        <v>0</v>
      </c>
      <c r="BG15" s="1">
        <v>0</v>
      </c>
      <c r="BH15" s="1">
        <v>5</v>
      </c>
      <c r="BI15" s="46">
        <v>1</v>
      </c>
      <c r="BJ15" s="1">
        <v>1</v>
      </c>
      <c r="BK15" s="1">
        <v>0</v>
      </c>
      <c r="BL15">
        <v>0</v>
      </c>
    </row>
    <row r="16" spans="1:64" ht="15.5" x14ac:dyDescent="0.35">
      <c r="A16" t="s">
        <v>78</v>
      </c>
      <c r="B16" s="1">
        <v>0</v>
      </c>
      <c r="C16" s="1">
        <v>0</v>
      </c>
      <c r="D16" s="46">
        <v>0</v>
      </c>
      <c r="E16" s="1">
        <v>0</v>
      </c>
      <c r="F16" s="1">
        <v>0</v>
      </c>
      <c r="G16" s="46">
        <v>0</v>
      </c>
      <c r="H16" s="1">
        <v>0</v>
      </c>
      <c r="I16" s="1">
        <v>0</v>
      </c>
      <c r="J16" s="46">
        <v>0</v>
      </c>
      <c r="K16" s="1">
        <v>0</v>
      </c>
      <c r="L16" s="1">
        <v>0</v>
      </c>
      <c r="M16" s="46">
        <v>0</v>
      </c>
      <c r="N16" s="1">
        <v>0</v>
      </c>
      <c r="O16" s="1">
        <v>0</v>
      </c>
      <c r="P16" s="46">
        <v>0</v>
      </c>
      <c r="Q16" s="1">
        <v>0</v>
      </c>
      <c r="R16" s="1">
        <v>0</v>
      </c>
      <c r="S16" s="46">
        <v>0</v>
      </c>
      <c r="T16" s="1">
        <v>0</v>
      </c>
      <c r="U16" s="1">
        <v>0</v>
      </c>
      <c r="V16" s="46">
        <v>0</v>
      </c>
      <c r="W16" s="1">
        <v>0</v>
      </c>
      <c r="X16" s="1">
        <v>0</v>
      </c>
      <c r="Y16" s="46">
        <v>0</v>
      </c>
      <c r="Z16" s="1">
        <v>0</v>
      </c>
      <c r="AA16" s="1">
        <v>0</v>
      </c>
      <c r="AB16" s="46">
        <v>0</v>
      </c>
      <c r="AC16" s="1">
        <v>0</v>
      </c>
      <c r="AD16" s="1">
        <v>0</v>
      </c>
      <c r="AE16" s="46">
        <v>0</v>
      </c>
      <c r="AF16" s="1">
        <v>0</v>
      </c>
      <c r="AG16" s="1">
        <v>0</v>
      </c>
      <c r="AH16" s="46">
        <v>0</v>
      </c>
      <c r="AI16" s="1">
        <v>0</v>
      </c>
      <c r="AJ16" s="1">
        <v>15</v>
      </c>
      <c r="AK16" s="46">
        <v>0</v>
      </c>
      <c r="AL16" s="1">
        <v>0</v>
      </c>
      <c r="AM16" s="1">
        <v>0</v>
      </c>
      <c r="AN16" s="46">
        <v>0</v>
      </c>
      <c r="AO16" s="1">
        <v>0</v>
      </c>
      <c r="AP16" s="1">
        <v>0</v>
      </c>
      <c r="AQ16" s="46">
        <v>0</v>
      </c>
      <c r="AR16" s="1">
        <v>10</v>
      </c>
      <c r="AS16" s="1">
        <v>0</v>
      </c>
      <c r="AT16" s="46">
        <v>0</v>
      </c>
      <c r="AU16" s="1">
        <v>0</v>
      </c>
      <c r="AV16" s="1">
        <v>0</v>
      </c>
      <c r="AW16" s="46">
        <v>0</v>
      </c>
      <c r="AX16" s="1">
        <v>0</v>
      </c>
      <c r="AY16" s="1">
        <v>0</v>
      </c>
      <c r="AZ16" s="46">
        <v>0</v>
      </c>
      <c r="BA16" s="1">
        <v>0</v>
      </c>
      <c r="BB16" s="1">
        <v>0</v>
      </c>
      <c r="BC16" s="46">
        <v>0</v>
      </c>
      <c r="BD16" s="1">
        <v>0</v>
      </c>
      <c r="BE16" s="1">
        <v>0</v>
      </c>
      <c r="BF16" s="46">
        <v>0</v>
      </c>
      <c r="BG16" s="1">
        <v>0</v>
      </c>
      <c r="BH16" s="1">
        <v>0</v>
      </c>
      <c r="BI16" s="46">
        <v>0</v>
      </c>
      <c r="BJ16" s="1">
        <v>0</v>
      </c>
      <c r="BK16" s="1">
        <v>0</v>
      </c>
      <c r="BL16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3AF2-0C65-487E-9DE2-5305EF26AA07}">
  <dimension ref="A1:BL16"/>
  <sheetViews>
    <sheetView workbookViewId="0">
      <selection activeCell="M25" sqref="M25"/>
    </sheetView>
  </sheetViews>
  <sheetFormatPr defaultRowHeight="14.5" x14ac:dyDescent="0.35"/>
  <cols>
    <col min="1" max="1" width="13" bestFit="1" customWidth="1"/>
    <col min="2" max="3" width="13" hidden="1" bestFit="1" customWidth="1"/>
    <col min="4" max="4" width="13" bestFit="1" customWidth="1"/>
    <col min="5" max="6" width="13" hidden="1" bestFit="1" customWidth="1"/>
    <col min="7" max="7" width="13" bestFit="1" customWidth="1"/>
    <col min="8" max="9" width="13" hidden="1" bestFit="1" customWidth="1"/>
    <col min="10" max="10" width="13" bestFit="1" customWidth="1"/>
    <col min="11" max="12" width="13" hidden="1" bestFit="1" customWidth="1"/>
    <col min="13" max="13" width="13" bestFit="1" customWidth="1"/>
    <col min="14" max="15" width="13" hidden="1" bestFit="1" customWidth="1"/>
    <col min="16" max="16" width="13" bestFit="1" customWidth="1"/>
    <col min="17" max="18" width="13" hidden="1" bestFit="1" customWidth="1"/>
    <col min="19" max="19" width="13" bestFit="1" customWidth="1"/>
    <col min="20" max="21" width="13" hidden="1" bestFit="1" customWidth="1"/>
    <col min="22" max="22" width="13" bestFit="1" customWidth="1"/>
    <col min="23" max="24" width="13" hidden="1" bestFit="1" customWidth="1"/>
    <col min="25" max="25" width="13" bestFit="1" customWidth="1"/>
    <col min="26" max="27" width="13" hidden="1" bestFit="1" customWidth="1"/>
    <col min="28" max="28" width="13" bestFit="1" customWidth="1"/>
    <col min="29" max="30" width="13" hidden="1" bestFit="1" customWidth="1"/>
    <col min="31" max="31" width="13" bestFit="1" customWidth="1"/>
    <col min="32" max="33" width="13" hidden="1" bestFit="1" customWidth="1"/>
    <col min="34" max="34" width="13" bestFit="1" customWidth="1"/>
    <col min="35" max="36" width="13" hidden="1" bestFit="1" customWidth="1"/>
    <col min="37" max="37" width="13" bestFit="1" customWidth="1"/>
    <col min="38" max="39" width="13" hidden="1" bestFit="1" customWidth="1"/>
    <col min="40" max="40" width="13" bestFit="1" customWidth="1"/>
    <col min="41" max="42" width="13" hidden="1" bestFit="1" customWidth="1"/>
    <col min="43" max="43" width="13" bestFit="1" customWidth="1"/>
    <col min="44" max="45" width="13" hidden="1" bestFit="1" customWidth="1"/>
    <col min="46" max="46" width="13" bestFit="1" customWidth="1"/>
    <col min="47" max="48" width="13" hidden="1" bestFit="1" customWidth="1"/>
    <col min="49" max="49" width="13" bestFit="1" customWidth="1"/>
    <col min="50" max="51" width="13" hidden="1" bestFit="1" customWidth="1"/>
    <col min="52" max="52" width="13" bestFit="1" customWidth="1"/>
    <col min="53" max="54" width="13" hidden="1" bestFit="1" customWidth="1"/>
    <col min="55" max="55" width="13" bestFit="1" customWidth="1"/>
    <col min="56" max="57" width="13" hidden="1" bestFit="1" customWidth="1"/>
    <col min="58" max="58" width="13" bestFit="1" customWidth="1"/>
    <col min="59" max="60" width="13" hidden="1" bestFit="1" customWidth="1"/>
    <col min="61" max="61" width="13" bestFit="1" customWidth="1"/>
    <col min="62" max="62" width="13" hidden="1" bestFit="1" customWidth="1"/>
  </cols>
  <sheetData>
    <row r="1" spans="1:64" x14ac:dyDescent="0.35">
      <c r="A1" t="s">
        <v>0</v>
      </c>
      <c r="B1" t="s">
        <v>1</v>
      </c>
      <c r="C1" t="s">
        <v>2</v>
      </c>
      <c r="D1" s="16" t="s">
        <v>3</v>
      </c>
      <c r="E1" t="s">
        <v>4</v>
      </c>
      <c r="F1" t="s">
        <v>5</v>
      </c>
      <c r="G1" s="16" t="s">
        <v>6</v>
      </c>
      <c r="H1" t="s">
        <v>7</v>
      </c>
      <c r="I1" t="s">
        <v>8</v>
      </c>
      <c r="J1" s="16" t="s">
        <v>9</v>
      </c>
      <c r="K1" t="s">
        <v>10</v>
      </c>
      <c r="L1" t="s">
        <v>11</v>
      </c>
      <c r="M1" s="16" t="s">
        <v>12</v>
      </c>
      <c r="N1" t="s">
        <v>13</v>
      </c>
      <c r="O1" t="s">
        <v>14</v>
      </c>
      <c r="P1" s="16" t="s">
        <v>15</v>
      </c>
      <c r="Q1" t="s">
        <v>16</v>
      </c>
      <c r="R1" t="s">
        <v>17</v>
      </c>
      <c r="S1" s="16" t="s">
        <v>18</v>
      </c>
      <c r="T1" t="s">
        <v>19</v>
      </c>
      <c r="U1" t="s">
        <v>20</v>
      </c>
      <c r="V1" s="16" t="s">
        <v>21</v>
      </c>
      <c r="W1" t="s">
        <v>22</v>
      </c>
      <c r="X1" t="s">
        <v>23</v>
      </c>
      <c r="Y1" s="16" t="s">
        <v>24</v>
      </c>
      <c r="Z1" t="s">
        <v>25</v>
      </c>
      <c r="AA1" t="s">
        <v>26</v>
      </c>
      <c r="AB1" s="16" t="s">
        <v>27</v>
      </c>
      <c r="AC1" t="s">
        <v>28</v>
      </c>
      <c r="AD1" t="s">
        <v>29</v>
      </c>
      <c r="AE1" s="16" t="s">
        <v>30</v>
      </c>
      <c r="AF1" t="s">
        <v>31</v>
      </c>
      <c r="AG1" t="s">
        <v>32</v>
      </c>
      <c r="AH1" s="16" t="s">
        <v>33</v>
      </c>
      <c r="AI1" t="s">
        <v>34</v>
      </c>
      <c r="AJ1" t="s">
        <v>35</v>
      </c>
      <c r="AK1" s="16" t="s">
        <v>36</v>
      </c>
      <c r="AL1" t="s">
        <v>37</v>
      </c>
      <c r="AM1" t="s">
        <v>38</v>
      </c>
      <c r="AN1" s="16" t="s">
        <v>39</v>
      </c>
      <c r="AO1" t="s">
        <v>40</v>
      </c>
      <c r="AP1" t="s">
        <v>41</v>
      </c>
      <c r="AQ1" s="16" t="s">
        <v>42</v>
      </c>
      <c r="AR1" t="s">
        <v>43</v>
      </c>
      <c r="AS1" t="s">
        <v>44</v>
      </c>
      <c r="AT1" s="16" t="s">
        <v>45</v>
      </c>
      <c r="AU1" t="s">
        <v>46</v>
      </c>
      <c r="AV1" t="s">
        <v>47</v>
      </c>
      <c r="AW1" s="16" t="s">
        <v>48</v>
      </c>
      <c r="AX1" t="s">
        <v>49</v>
      </c>
      <c r="AY1" t="s">
        <v>50</v>
      </c>
      <c r="AZ1" s="16" t="s">
        <v>51</v>
      </c>
      <c r="BA1" t="s">
        <v>52</v>
      </c>
      <c r="BB1" t="s">
        <v>53</v>
      </c>
      <c r="BC1" s="16" t="s">
        <v>54</v>
      </c>
      <c r="BD1" t="s">
        <v>55</v>
      </c>
      <c r="BE1" t="s">
        <v>56</v>
      </c>
      <c r="BF1" s="16" t="s">
        <v>57</v>
      </c>
      <c r="BG1" t="s">
        <v>58</v>
      </c>
      <c r="BH1" t="s">
        <v>59</v>
      </c>
      <c r="BI1" s="16" t="s">
        <v>60</v>
      </c>
      <c r="BJ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1">
        <v>31</v>
      </c>
      <c r="C2" s="1">
        <v>31</v>
      </c>
      <c r="D2" s="46">
        <v>31</v>
      </c>
      <c r="E2" s="1">
        <v>31</v>
      </c>
      <c r="F2" s="1">
        <v>31</v>
      </c>
      <c r="G2" s="46">
        <v>31</v>
      </c>
      <c r="H2" s="1">
        <v>31</v>
      </c>
      <c r="I2" s="1">
        <v>31</v>
      </c>
      <c r="J2" s="46">
        <v>31</v>
      </c>
      <c r="K2" s="1">
        <v>31</v>
      </c>
      <c r="L2" s="1">
        <v>31</v>
      </c>
      <c r="M2" s="46">
        <v>31</v>
      </c>
      <c r="N2" s="1">
        <v>31</v>
      </c>
      <c r="O2" s="1">
        <v>31</v>
      </c>
      <c r="P2" s="46">
        <v>31</v>
      </c>
      <c r="Q2" s="1">
        <v>31</v>
      </c>
      <c r="R2" s="1">
        <v>31</v>
      </c>
      <c r="S2" s="46">
        <v>31</v>
      </c>
      <c r="T2" s="1">
        <v>31</v>
      </c>
      <c r="U2" s="1">
        <v>31</v>
      </c>
      <c r="V2" s="46">
        <v>31</v>
      </c>
      <c r="W2" s="1">
        <v>31</v>
      </c>
      <c r="X2" s="1">
        <v>31</v>
      </c>
      <c r="Y2" s="46">
        <v>31</v>
      </c>
      <c r="Z2" s="1">
        <v>31</v>
      </c>
      <c r="AA2" s="1">
        <v>31</v>
      </c>
      <c r="AB2" s="46">
        <v>31</v>
      </c>
      <c r="AC2" s="1">
        <v>31</v>
      </c>
      <c r="AD2" s="1">
        <v>31</v>
      </c>
      <c r="AE2" s="46">
        <v>31</v>
      </c>
      <c r="AF2" s="1">
        <v>31</v>
      </c>
      <c r="AG2" s="1">
        <v>31</v>
      </c>
      <c r="AH2" s="46">
        <v>31</v>
      </c>
      <c r="AI2" s="1">
        <v>31</v>
      </c>
      <c r="AJ2" s="1">
        <v>31</v>
      </c>
      <c r="AK2" s="46">
        <v>31</v>
      </c>
      <c r="AL2" s="1">
        <v>31</v>
      </c>
      <c r="AM2" s="1">
        <v>31</v>
      </c>
      <c r="AN2" s="46">
        <v>31</v>
      </c>
      <c r="AO2" s="1">
        <v>31</v>
      </c>
      <c r="AP2" s="1">
        <v>31</v>
      </c>
      <c r="AQ2" s="46">
        <v>31</v>
      </c>
      <c r="AR2" s="1">
        <v>31</v>
      </c>
      <c r="AS2" s="1">
        <v>31</v>
      </c>
      <c r="AT2" s="46">
        <v>31</v>
      </c>
      <c r="AU2" s="1">
        <v>31</v>
      </c>
      <c r="AV2" s="1">
        <v>31</v>
      </c>
      <c r="AW2" s="46">
        <v>31</v>
      </c>
      <c r="AX2" s="1">
        <v>31</v>
      </c>
      <c r="AY2" s="1">
        <v>31</v>
      </c>
      <c r="AZ2" s="46">
        <v>31</v>
      </c>
      <c r="BA2" s="1">
        <v>17</v>
      </c>
      <c r="BB2" s="1">
        <v>15</v>
      </c>
      <c r="BC2" s="46">
        <v>14</v>
      </c>
      <c r="BD2" s="1">
        <v>14</v>
      </c>
      <c r="BE2" s="1">
        <v>14</v>
      </c>
      <c r="BF2" s="46">
        <v>0</v>
      </c>
      <c r="BG2" s="1">
        <v>0</v>
      </c>
      <c r="BH2" s="1">
        <v>0</v>
      </c>
      <c r="BI2" s="46">
        <v>0</v>
      </c>
      <c r="BJ2" s="1">
        <v>0</v>
      </c>
      <c r="BK2" s="1">
        <v>0</v>
      </c>
      <c r="BL2">
        <v>0</v>
      </c>
    </row>
    <row r="3" spans="1:64" ht="15.5" x14ac:dyDescent="0.35">
      <c r="A3" t="s">
        <v>65</v>
      </c>
      <c r="B3" s="1">
        <v>0</v>
      </c>
      <c r="C3" s="1">
        <v>0</v>
      </c>
      <c r="D3" s="46">
        <v>0</v>
      </c>
      <c r="E3" s="1">
        <v>0</v>
      </c>
      <c r="F3" s="1">
        <v>0</v>
      </c>
      <c r="G3" s="46">
        <v>0</v>
      </c>
      <c r="H3" s="1">
        <v>0</v>
      </c>
      <c r="I3" s="1">
        <v>0</v>
      </c>
      <c r="J3" s="46">
        <v>0</v>
      </c>
      <c r="K3" s="1">
        <v>0</v>
      </c>
      <c r="L3" s="1">
        <v>0</v>
      </c>
      <c r="M3" s="46">
        <v>0</v>
      </c>
      <c r="N3" s="1">
        <v>0</v>
      </c>
      <c r="O3" s="1">
        <v>0</v>
      </c>
      <c r="P3" s="46">
        <v>0</v>
      </c>
      <c r="Q3" s="1">
        <v>0</v>
      </c>
      <c r="R3" s="1">
        <v>0</v>
      </c>
      <c r="S3" s="46">
        <v>0</v>
      </c>
      <c r="T3" s="1">
        <v>0</v>
      </c>
      <c r="U3" s="1">
        <v>0</v>
      </c>
      <c r="V3" s="46">
        <v>0</v>
      </c>
      <c r="W3" s="1">
        <v>0</v>
      </c>
      <c r="X3" s="1">
        <v>0</v>
      </c>
      <c r="Y3" s="46">
        <v>0</v>
      </c>
      <c r="Z3" s="1">
        <v>0</v>
      </c>
      <c r="AA3" s="1">
        <v>0</v>
      </c>
      <c r="AB3" s="46">
        <v>0</v>
      </c>
      <c r="AC3" s="1">
        <v>0</v>
      </c>
      <c r="AD3" s="1">
        <v>0</v>
      </c>
      <c r="AE3" s="46">
        <v>0</v>
      </c>
      <c r="AF3" s="1">
        <v>0</v>
      </c>
      <c r="AG3" s="1">
        <v>0</v>
      </c>
      <c r="AH3" s="46">
        <v>0</v>
      </c>
      <c r="AI3" s="1">
        <v>0</v>
      </c>
      <c r="AJ3" s="1">
        <v>0</v>
      </c>
      <c r="AK3" s="46">
        <v>0</v>
      </c>
      <c r="AL3" s="1">
        <v>0</v>
      </c>
      <c r="AM3" s="1">
        <v>0</v>
      </c>
      <c r="AN3" s="46">
        <v>0</v>
      </c>
      <c r="AO3" s="1">
        <v>0</v>
      </c>
      <c r="AP3" s="1">
        <v>0</v>
      </c>
      <c r="AQ3" s="46">
        <v>0</v>
      </c>
      <c r="AR3" s="1">
        <v>0</v>
      </c>
      <c r="AS3" s="1">
        <v>0</v>
      </c>
      <c r="AT3" s="46">
        <v>0</v>
      </c>
      <c r="AU3" s="1">
        <v>0</v>
      </c>
      <c r="AV3" s="1">
        <v>0</v>
      </c>
      <c r="AW3" s="46">
        <v>0</v>
      </c>
      <c r="AX3" s="1">
        <v>0</v>
      </c>
      <c r="AY3" s="1">
        <v>0</v>
      </c>
      <c r="AZ3" s="46">
        <v>0</v>
      </c>
      <c r="BA3" s="1">
        <v>0</v>
      </c>
      <c r="BB3" s="1">
        <v>0</v>
      </c>
      <c r="BC3" s="46">
        <v>0</v>
      </c>
      <c r="BD3" s="1">
        <v>0</v>
      </c>
      <c r="BE3" s="1">
        <v>0</v>
      </c>
      <c r="BF3" s="46">
        <v>0</v>
      </c>
      <c r="BG3" s="1">
        <v>0</v>
      </c>
      <c r="BH3" s="1">
        <v>0</v>
      </c>
      <c r="BI3" s="46">
        <v>0</v>
      </c>
      <c r="BJ3" s="1">
        <v>0</v>
      </c>
      <c r="BK3" s="1">
        <v>0</v>
      </c>
      <c r="BL3">
        <v>0</v>
      </c>
    </row>
    <row r="4" spans="1:64" ht="15.5" x14ac:dyDescent="0.35">
      <c r="A4" t="s">
        <v>66</v>
      </c>
      <c r="B4" s="1">
        <v>0</v>
      </c>
      <c r="C4" s="1">
        <v>0</v>
      </c>
      <c r="D4" s="46">
        <v>0</v>
      </c>
      <c r="E4" s="1">
        <v>0</v>
      </c>
      <c r="F4" s="1">
        <v>0</v>
      </c>
      <c r="G4" s="46">
        <v>0</v>
      </c>
      <c r="H4" s="1">
        <v>0</v>
      </c>
      <c r="I4" s="1">
        <v>0</v>
      </c>
      <c r="J4" s="46">
        <v>0</v>
      </c>
      <c r="K4" s="1">
        <v>0</v>
      </c>
      <c r="L4" s="1">
        <v>0</v>
      </c>
      <c r="M4" s="46">
        <v>0</v>
      </c>
      <c r="N4" s="1">
        <v>0</v>
      </c>
      <c r="O4" s="1">
        <v>0</v>
      </c>
      <c r="P4" s="46">
        <v>0</v>
      </c>
      <c r="Q4" s="1">
        <v>0</v>
      </c>
      <c r="R4" s="1">
        <v>0</v>
      </c>
      <c r="S4" s="46">
        <v>0</v>
      </c>
      <c r="T4" s="1">
        <v>0</v>
      </c>
      <c r="U4" s="1">
        <v>0</v>
      </c>
      <c r="V4" s="46">
        <v>0</v>
      </c>
      <c r="W4" s="1">
        <v>0</v>
      </c>
      <c r="X4" s="1">
        <v>0</v>
      </c>
      <c r="Y4" s="46">
        <v>0</v>
      </c>
      <c r="Z4" s="1">
        <v>0</v>
      </c>
      <c r="AA4" s="1">
        <v>0</v>
      </c>
      <c r="AB4" s="46">
        <v>0</v>
      </c>
      <c r="AC4" s="1">
        <v>0</v>
      </c>
      <c r="AD4" s="1">
        <v>0</v>
      </c>
      <c r="AE4" s="46">
        <v>0</v>
      </c>
      <c r="AF4" s="1">
        <v>0</v>
      </c>
      <c r="AG4" s="1">
        <v>0</v>
      </c>
      <c r="AH4" s="46">
        <v>0</v>
      </c>
      <c r="AI4" s="1">
        <v>0</v>
      </c>
      <c r="AJ4" s="1">
        <v>0</v>
      </c>
      <c r="AK4" s="46">
        <v>0</v>
      </c>
      <c r="AL4" s="1">
        <v>0</v>
      </c>
      <c r="AM4" s="1">
        <v>0</v>
      </c>
      <c r="AN4" s="46">
        <v>0</v>
      </c>
      <c r="AO4" s="1">
        <v>0</v>
      </c>
      <c r="AP4" s="1">
        <v>0</v>
      </c>
      <c r="AQ4" s="46">
        <v>0</v>
      </c>
      <c r="AR4" s="1">
        <v>0</v>
      </c>
      <c r="AS4" s="1">
        <v>0</v>
      </c>
      <c r="AT4" s="46">
        <v>0</v>
      </c>
      <c r="AU4" s="1">
        <v>0</v>
      </c>
      <c r="AV4" s="1">
        <v>0</v>
      </c>
      <c r="AW4" s="46">
        <v>0</v>
      </c>
      <c r="AX4" s="1">
        <v>0</v>
      </c>
      <c r="AY4" s="1">
        <v>0</v>
      </c>
      <c r="AZ4" s="46">
        <v>0</v>
      </c>
      <c r="BA4" s="1">
        <v>0</v>
      </c>
      <c r="BB4" s="1">
        <v>0</v>
      </c>
      <c r="BC4" s="46">
        <v>0</v>
      </c>
      <c r="BD4" s="1">
        <v>0</v>
      </c>
      <c r="BE4" s="1">
        <v>0</v>
      </c>
      <c r="BF4" s="46">
        <v>0</v>
      </c>
      <c r="BG4" s="1">
        <v>0</v>
      </c>
      <c r="BH4" s="1">
        <v>0</v>
      </c>
      <c r="BI4" s="46">
        <v>0</v>
      </c>
      <c r="BJ4" s="1">
        <v>0</v>
      </c>
      <c r="BK4" s="1">
        <v>0</v>
      </c>
      <c r="BL4">
        <v>0</v>
      </c>
    </row>
    <row r="5" spans="1:64" ht="15.5" x14ac:dyDescent="0.35">
      <c r="A5" t="s">
        <v>67</v>
      </c>
      <c r="B5" s="1">
        <v>759925.92999999993</v>
      </c>
      <c r="C5" s="1">
        <v>759925.92999999993</v>
      </c>
      <c r="D5" s="46">
        <v>759925.92999999993</v>
      </c>
      <c r="E5" s="1">
        <v>759925.92999999993</v>
      </c>
      <c r="F5" s="1">
        <v>759925.92999999993</v>
      </c>
      <c r="G5" s="46">
        <v>759925.92999999993</v>
      </c>
      <c r="H5" s="1">
        <v>759925.92999999993</v>
      </c>
      <c r="I5" s="1">
        <v>759925.92999999993</v>
      </c>
      <c r="J5" s="46">
        <v>759925.92999999993</v>
      </c>
      <c r="K5" s="1">
        <v>759925.92999999993</v>
      </c>
      <c r="L5" s="1">
        <v>759925.92999999993</v>
      </c>
      <c r="M5" s="46">
        <v>759925.92999999993</v>
      </c>
      <c r="N5" s="1">
        <v>759925.92999999993</v>
      </c>
      <c r="O5" s="1">
        <v>759925.92999999993</v>
      </c>
      <c r="P5" s="46">
        <v>759925.92999999993</v>
      </c>
      <c r="Q5" s="1">
        <v>759925.92999999993</v>
      </c>
      <c r="R5" s="1">
        <v>759925.92999999993</v>
      </c>
      <c r="S5" s="46">
        <v>759925.92999999993</v>
      </c>
      <c r="T5" s="1">
        <v>759925.92999999993</v>
      </c>
      <c r="U5" s="1">
        <v>759925.92999999993</v>
      </c>
      <c r="V5" s="46">
        <v>759925.92999999993</v>
      </c>
      <c r="W5" s="1">
        <v>759925.92999999993</v>
      </c>
      <c r="X5" s="1">
        <v>759925.92999999993</v>
      </c>
      <c r="Y5" s="46">
        <v>759925.92999999993</v>
      </c>
      <c r="Z5" s="1">
        <v>759925.92999999993</v>
      </c>
      <c r="AA5" s="1">
        <v>759925.92999999993</v>
      </c>
      <c r="AB5" s="46">
        <v>759925.92999999993</v>
      </c>
      <c r="AC5" s="1">
        <v>759925.92999999993</v>
      </c>
      <c r="AD5" s="1">
        <v>759925.92999999993</v>
      </c>
      <c r="AE5" s="46">
        <v>759925.92999999993</v>
      </c>
      <c r="AF5" s="1">
        <v>759925.92999999993</v>
      </c>
      <c r="AG5" s="1">
        <v>759925.92999999993</v>
      </c>
      <c r="AH5" s="46">
        <v>759925.92999999993</v>
      </c>
      <c r="AI5" s="1">
        <v>759925.92999999993</v>
      </c>
      <c r="AJ5" s="1">
        <v>759925.92999999993</v>
      </c>
      <c r="AK5" s="46">
        <v>759925.92999999993</v>
      </c>
      <c r="AL5" s="1">
        <v>759925.92999999993</v>
      </c>
      <c r="AM5" s="1">
        <v>759925.92999999993</v>
      </c>
      <c r="AN5" s="46">
        <v>759925.92999999993</v>
      </c>
      <c r="AO5" s="1">
        <v>759925.92999999993</v>
      </c>
      <c r="AP5" s="1">
        <v>759925.92999999993</v>
      </c>
      <c r="AQ5" s="46">
        <v>759925.92999999993</v>
      </c>
      <c r="AR5" s="1">
        <v>759925.92999999993</v>
      </c>
      <c r="AS5" s="1">
        <v>759925.92999999993</v>
      </c>
      <c r="AT5" s="46">
        <v>759925.92999999993</v>
      </c>
      <c r="AU5" s="1">
        <v>759925.92999999993</v>
      </c>
      <c r="AV5" s="1">
        <v>759925.92999999993</v>
      </c>
      <c r="AW5" s="46">
        <v>759925.92999999993</v>
      </c>
      <c r="AX5" s="1">
        <v>759925.92999999993</v>
      </c>
      <c r="AY5" s="1">
        <v>759925.92999999993</v>
      </c>
      <c r="AZ5" s="46">
        <v>759925.92999999993</v>
      </c>
      <c r="BA5" s="1">
        <v>404290.1</v>
      </c>
      <c r="BB5" s="1">
        <v>348334.1</v>
      </c>
      <c r="BC5" s="46">
        <v>307968.21999999997</v>
      </c>
      <c r="BD5" s="1">
        <v>307968.21999999997</v>
      </c>
      <c r="BE5" s="1">
        <v>307968.21999999997</v>
      </c>
      <c r="BF5" s="46">
        <v>0</v>
      </c>
      <c r="BG5" s="1">
        <v>0</v>
      </c>
      <c r="BH5" s="1">
        <v>0</v>
      </c>
      <c r="BI5" s="46">
        <v>0</v>
      </c>
      <c r="BJ5" s="1">
        <v>0</v>
      </c>
      <c r="BK5" s="1">
        <v>0</v>
      </c>
      <c r="BL5">
        <v>0</v>
      </c>
    </row>
    <row r="6" spans="1:64" ht="15.5" x14ac:dyDescent="0.35">
      <c r="A6" t="s">
        <v>68</v>
      </c>
      <c r="B6" s="1">
        <v>254132.16</v>
      </c>
      <c r="C6" s="1">
        <v>254132.16</v>
      </c>
      <c r="D6" s="46">
        <v>254132.16</v>
      </c>
      <c r="E6" s="1">
        <v>254132.16</v>
      </c>
      <c r="F6" s="1">
        <v>254132.16</v>
      </c>
      <c r="G6" s="46">
        <v>254132.16</v>
      </c>
      <c r="H6" s="1">
        <v>254132.16</v>
      </c>
      <c r="I6" s="1">
        <v>254132.16</v>
      </c>
      <c r="J6" s="46">
        <v>254132.16</v>
      </c>
      <c r="K6" s="1">
        <v>254132.16</v>
      </c>
      <c r="L6" s="1">
        <v>254132.16</v>
      </c>
      <c r="M6" s="46">
        <v>254132.16</v>
      </c>
      <c r="N6" s="1">
        <v>254132.16</v>
      </c>
      <c r="O6" s="1">
        <v>254132.16</v>
      </c>
      <c r="P6" s="46">
        <v>254132.16</v>
      </c>
      <c r="Q6" s="1">
        <v>254132.16</v>
      </c>
      <c r="R6" s="1">
        <v>254132.16</v>
      </c>
      <c r="S6" s="46">
        <v>254132.16</v>
      </c>
      <c r="T6" s="1">
        <v>254132.16</v>
      </c>
      <c r="U6" s="1">
        <v>254132.16</v>
      </c>
      <c r="V6" s="46">
        <v>254132.16</v>
      </c>
      <c r="W6" s="1">
        <v>254132.16</v>
      </c>
      <c r="X6" s="1">
        <v>254132.16</v>
      </c>
      <c r="Y6" s="46">
        <v>254132.16</v>
      </c>
      <c r="Z6" s="1">
        <v>254132.16</v>
      </c>
      <c r="AA6" s="1">
        <v>254132.16</v>
      </c>
      <c r="AB6" s="46">
        <v>254132.16</v>
      </c>
      <c r="AC6" s="1">
        <v>254132.16</v>
      </c>
      <c r="AD6" s="1">
        <v>254132.16</v>
      </c>
      <c r="AE6" s="46">
        <v>254132.16</v>
      </c>
      <c r="AF6" s="1">
        <v>254132.16</v>
      </c>
      <c r="AG6" s="1">
        <v>254132.16</v>
      </c>
      <c r="AH6" s="46">
        <v>254132.16</v>
      </c>
      <c r="AI6" s="1">
        <v>254132.16</v>
      </c>
      <c r="AJ6" s="1">
        <v>254132.16</v>
      </c>
      <c r="AK6" s="46">
        <v>254132.16</v>
      </c>
      <c r="AL6" s="1">
        <v>254132.16</v>
      </c>
      <c r="AM6" s="1">
        <v>254132.16</v>
      </c>
      <c r="AN6" s="46">
        <v>254132.16</v>
      </c>
      <c r="AO6" s="1">
        <v>254132.16</v>
      </c>
      <c r="AP6" s="1">
        <v>254132.16</v>
      </c>
      <c r="AQ6" s="46">
        <v>254132.16</v>
      </c>
      <c r="AR6" s="1">
        <v>254132.16</v>
      </c>
      <c r="AS6" s="1">
        <v>254132.16</v>
      </c>
      <c r="AT6" s="46">
        <v>254132.16</v>
      </c>
      <c r="AU6" s="1">
        <v>254132.16</v>
      </c>
      <c r="AV6" s="1">
        <v>254132.16</v>
      </c>
      <c r="AW6" s="46">
        <v>254132.16</v>
      </c>
      <c r="AX6" s="1">
        <v>254132.16</v>
      </c>
      <c r="AY6" s="1">
        <v>254132.16</v>
      </c>
      <c r="AZ6" s="46">
        <v>254132.16</v>
      </c>
      <c r="BA6" s="1">
        <v>143279.69</v>
      </c>
      <c r="BB6" s="1">
        <v>125748.17</v>
      </c>
      <c r="BC6" s="46">
        <v>111752.48</v>
      </c>
      <c r="BD6" s="1">
        <v>111752.48</v>
      </c>
      <c r="BE6" s="1">
        <v>111752.48</v>
      </c>
      <c r="BF6" s="46">
        <v>0</v>
      </c>
      <c r="BG6" s="1">
        <v>0</v>
      </c>
      <c r="BH6" s="1">
        <v>0</v>
      </c>
      <c r="BI6" s="46">
        <v>0</v>
      </c>
      <c r="BJ6" s="1">
        <v>0</v>
      </c>
      <c r="BK6" s="1">
        <v>0</v>
      </c>
      <c r="BL6">
        <v>0</v>
      </c>
    </row>
    <row r="7" spans="1:64" ht="15.5" x14ac:dyDescent="0.35">
      <c r="A7" t="s">
        <v>69</v>
      </c>
      <c r="B7" s="1">
        <v>219737.56</v>
      </c>
      <c r="C7" s="1">
        <v>219737.56</v>
      </c>
      <c r="D7" s="46">
        <v>219737.56</v>
      </c>
      <c r="E7" s="1">
        <v>219737.56</v>
      </c>
      <c r="F7" s="1">
        <v>219737.56</v>
      </c>
      <c r="G7" s="46">
        <v>219737.56</v>
      </c>
      <c r="H7" s="1">
        <v>219737.56</v>
      </c>
      <c r="I7" s="1">
        <v>219737.56</v>
      </c>
      <c r="J7" s="46">
        <v>219737.56</v>
      </c>
      <c r="K7" s="1">
        <v>219737.56</v>
      </c>
      <c r="L7" s="1">
        <v>219737.56</v>
      </c>
      <c r="M7" s="46">
        <v>219737.56</v>
      </c>
      <c r="N7" s="1">
        <v>219737.56</v>
      </c>
      <c r="O7" s="1">
        <v>219737.56</v>
      </c>
      <c r="P7" s="46">
        <v>219737.56</v>
      </c>
      <c r="Q7" s="1">
        <v>219737.56</v>
      </c>
      <c r="R7" s="1">
        <v>219737.56</v>
      </c>
      <c r="S7" s="46">
        <v>219737.56</v>
      </c>
      <c r="T7" s="1">
        <v>219737.56</v>
      </c>
      <c r="U7" s="1">
        <v>219737.56</v>
      </c>
      <c r="V7" s="46">
        <v>219737.56</v>
      </c>
      <c r="W7" s="1">
        <v>219737.56</v>
      </c>
      <c r="X7" s="1">
        <v>219737.56</v>
      </c>
      <c r="Y7" s="46">
        <v>219737.56</v>
      </c>
      <c r="Z7" s="1">
        <v>219737.56</v>
      </c>
      <c r="AA7" s="1">
        <v>219737.56</v>
      </c>
      <c r="AB7" s="46">
        <v>219737.56</v>
      </c>
      <c r="AC7" s="1">
        <v>219737.56</v>
      </c>
      <c r="AD7" s="1">
        <v>219737.56</v>
      </c>
      <c r="AE7" s="46">
        <v>219737.56</v>
      </c>
      <c r="AF7" s="1">
        <v>219737.56</v>
      </c>
      <c r="AG7" s="1">
        <v>219737.56</v>
      </c>
      <c r="AH7" s="46">
        <v>219737.56</v>
      </c>
      <c r="AI7" s="1">
        <v>219737.56</v>
      </c>
      <c r="AJ7" s="1">
        <v>219737.56</v>
      </c>
      <c r="AK7" s="46">
        <v>219737.56</v>
      </c>
      <c r="AL7" s="1">
        <v>219737.56</v>
      </c>
      <c r="AM7" s="1">
        <v>219737.56</v>
      </c>
      <c r="AN7" s="46">
        <v>219737.56</v>
      </c>
      <c r="AO7" s="1">
        <v>219737.56</v>
      </c>
      <c r="AP7" s="1">
        <v>219737.56</v>
      </c>
      <c r="AQ7" s="46">
        <v>219737.56</v>
      </c>
      <c r="AR7" s="1">
        <v>219737.56</v>
      </c>
      <c r="AS7" s="1">
        <v>219737.56</v>
      </c>
      <c r="AT7" s="46">
        <v>219737.56</v>
      </c>
      <c r="AU7" s="1">
        <v>219737.56</v>
      </c>
      <c r="AV7" s="1">
        <v>219737.56</v>
      </c>
      <c r="AW7" s="46">
        <v>219737.56</v>
      </c>
      <c r="AX7" s="1">
        <v>219737.56</v>
      </c>
      <c r="AY7" s="1">
        <v>219737.56</v>
      </c>
      <c r="AZ7" s="46">
        <v>219737.56</v>
      </c>
      <c r="BA7" s="1">
        <v>102500.81</v>
      </c>
      <c r="BB7" s="1">
        <v>84366.609999999986</v>
      </c>
      <c r="BC7" s="46">
        <v>71852.75999999998</v>
      </c>
      <c r="BD7" s="1">
        <v>71852.75999999998</v>
      </c>
      <c r="BE7" s="1">
        <v>71852.75999999998</v>
      </c>
      <c r="BF7" s="46">
        <v>0</v>
      </c>
      <c r="BG7" s="1">
        <v>0</v>
      </c>
      <c r="BH7" s="1">
        <v>0</v>
      </c>
      <c r="BI7" s="46">
        <v>0</v>
      </c>
      <c r="BJ7" s="1">
        <v>0</v>
      </c>
      <c r="BK7" s="1">
        <v>0</v>
      </c>
      <c r="BL7">
        <v>0</v>
      </c>
    </row>
    <row r="8" spans="1:64" ht="15.5" x14ac:dyDescent="0.35">
      <c r="A8" t="s">
        <v>70</v>
      </c>
      <c r="B8" s="1">
        <v>64448.05000000001</v>
      </c>
      <c r="C8" s="1">
        <v>64448.05000000001</v>
      </c>
      <c r="D8" s="46">
        <v>64448.05000000001</v>
      </c>
      <c r="E8" s="1">
        <v>64448.05000000001</v>
      </c>
      <c r="F8" s="1">
        <v>64448.05000000001</v>
      </c>
      <c r="G8" s="46">
        <v>64448.05000000001</v>
      </c>
      <c r="H8" s="1">
        <v>64448.05000000001</v>
      </c>
      <c r="I8" s="1">
        <v>64448.05000000001</v>
      </c>
      <c r="J8" s="46">
        <v>64448.05000000001</v>
      </c>
      <c r="K8" s="1">
        <v>64448.05000000001</v>
      </c>
      <c r="L8" s="1">
        <v>64448.05000000001</v>
      </c>
      <c r="M8" s="46">
        <v>64448.05000000001</v>
      </c>
      <c r="N8" s="1">
        <v>64448.05000000001</v>
      </c>
      <c r="O8" s="1">
        <v>64448.05000000001</v>
      </c>
      <c r="P8" s="46">
        <v>64448.05000000001</v>
      </c>
      <c r="Q8" s="1">
        <v>64448.05000000001</v>
      </c>
      <c r="R8" s="1">
        <v>64448.05000000001</v>
      </c>
      <c r="S8" s="46">
        <v>64448.05000000001</v>
      </c>
      <c r="T8" s="1">
        <v>64448.05000000001</v>
      </c>
      <c r="U8" s="1">
        <v>64448.05000000001</v>
      </c>
      <c r="V8" s="46">
        <v>64448.05000000001</v>
      </c>
      <c r="W8" s="1">
        <v>64448.05000000001</v>
      </c>
      <c r="X8" s="1">
        <v>64448.05000000001</v>
      </c>
      <c r="Y8" s="46">
        <v>64448.05000000001</v>
      </c>
      <c r="Z8" s="1">
        <v>64448.05000000001</v>
      </c>
      <c r="AA8" s="1">
        <v>64448.05000000001</v>
      </c>
      <c r="AB8" s="46">
        <v>64448.05000000001</v>
      </c>
      <c r="AC8" s="1">
        <v>64448.05000000001</v>
      </c>
      <c r="AD8" s="1">
        <v>64448.05000000001</v>
      </c>
      <c r="AE8" s="46">
        <v>64448.05000000001</v>
      </c>
      <c r="AF8" s="1">
        <v>64448.05000000001</v>
      </c>
      <c r="AG8" s="1">
        <v>64448.05000000001</v>
      </c>
      <c r="AH8" s="46">
        <v>64448.05000000001</v>
      </c>
      <c r="AI8" s="1">
        <v>64448.05000000001</v>
      </c>
      <c r="AJ8" s="1">
        <v>64448.05000000001</v>
      </c>
      <c r="AK8" s="46">
        <v>64448.05000000001</v>
      </c>
      <c r="AL8" s="1">
        <v>64448.05000000001</v>
      </c>
      <c r="AM8" s="1">
        <v>64448.05000000001</v>
      </c>
      <c r="AN8" s="46">
        <v>64448.05000000001</v>
      </c>
      <c r="AO8" s="1">
        <v>64448.05000000001</v>
      </c>
      <c r="AP8" s="1">
        <v>64448.05000000001</v>
      </c>
      <c r="AQ8" s="46">
        <v>64448.05000000001</v>
      </c>
      <c r="AR8" s="1">
        <v>64448.05000000001</v>
      </c>
      <c r="AS8" s="1">
        <v>64448.05000000001</v>
      </c>
      <c r="AT8" s="46">
        <v>64448.05000000001</v>
      </c>
      <c r="AU8" s="1">
        <v>64448.05000000001</v>
      </c>
      <c r="AV8" s="1">
        <v>64448.05000000001</v>
      </c>
      <c r="AW8" s="46">
        <v>64448.05000000001</v>
      </c>
      <c r="AX8" s="1">
        <v>64448.05000000001</v>
      </c>
      <c r="AY8" s="1">
        <v>64448.05000000001</v>
      </c>
      <c r="AZ8" s="46">
        <v>64448.05000000001</v>
      </c>
      <c r="BA8" s="1">
        <v>30503.55</v>
      </c>
      <c r="BB8" s="1">
        <v>25111.19000000001</v>
      </c>
      <c r="BC8" s="46">
        <v>21642.600000000009</v>
      </c>
      <c r="BD8" s="1">
        <v>21642.600000000009</v>
      </c>
      <c r="BE8" s="1">
        <v>21642.600000000009</v>
      </c>
      <c r="BF8" s="46">
        <v>0</v>
      </c>
      <c r="BG8" s="1">
        <v>0</v>
      </c>
      <c r="BH8" s="1">
        <v>0</v>
      </c>
      <c r="BI8" s="46">
        <v>0</v>
      </c>
      <c r="BJ8" s="1">
        <v>0</v>
      </c>
      <c r="BK8" s="1">
        <v>0</v>
      </c>
      <c r="BL8">
        <v>0</v>
      </c>
    </row>
    <row r="9" spans="1:64" ht="15.5" x14ac:dyDescent="0.35">
      <c r="A9" t="s">
        <v>71</v>
      </c>
      <c r="B9" s="1">
        <v>1088606.48</v>
      </c>
      <c r="C9" s="1">
        <v>1088606.48</v>
      </c>
      <c r="D9" s="46">
        <v>1088606.48</v>
      </c>
      <c r="E9" s="1">
        <v>1088606.48</v>
      </c>
      <c r="F9" s="1">
        <v>1088606.48</v>
      </c>
      <c r="G9" s="46">
        <v>1088606.48</v>
      </c>
      <c r="H9" s="1">
        <v>1088606.48</v>
      </c>
      <c r="I9" s="1">
        <v>1088606.48</v>
      </c>
      <c r="J9" s="46">
        <v>1088606.48</v>
      </c>
      <c r="K9" s="1">
        <v>1088606.48</v>
      </c>
      <c r="L9" s="1">
        <v>1088606.48</v>
      </c>
      <c r="M9" s="46">
        <v>1088606.48</v>
      </c>
      <c r="N9" s="1">
        <v>1088606.48</v>
      </c>
      <c r="O9" s="1">
        <v>1088606.48</v>
      </c>
      <c r="P9" s="46">
        <v>1088606.48</v>
      </c>
      <c r="Q9" s="1">
        <v>1088606.48</v>
      </c>
      <c r="R9" s="1">
        <v>1088606.48</v>
      </c>
      <c r="S9" s="46">
        <v>1088606.48</v>
      </c>
      <c r="T9" s="1">
        <v>1088606.48</v>
      </c>
      <c r="U9" s="1">
        <v>1088606.48</v>
      </c>
      <c r="V9" s="46">
        <v>1088606.48</v>
      </c>
      <c r="W9" s="1">
        <v>1088606.48</v>
      </c>
      <c r="X9" s="1">
        <v>1088606.48</v>
      </c>
      <c r="Y9" s="46">
        <v>1088606.48</v>
      </c>
      <c r="Z9" s="1">
        <v>1088606.48</v>
      </c>
      <c r="AA9" s="1">
        <v>1088606.48</v>
      </c>
      <c r="AB9" s="46">
        <v>1088606.48</v>
      </c>
      <c r="AC9" s="1">
        <v>1088606.48</v>
      </c>
      <c r="AD9" s="1">
        <v>1088606.48</v>
      </c>
      <c r="AE9" s="46">
        <v>1088606.48</v>
      </c>
      <c r="AF9" s="1">
        <v>1088606.48</v>
      </c>
      <c r="AG9" s="1">
        <v>1088606.48</v>
      </c>
      <c r="AH9" s="46">
        <v>1088606.48</v>
      </c>
      <c r="AI9" s="1">
        <v>1088606.48</v>
      </c>
      <c r="AJ9" s="1">
        <v>1088606.48</v>
      </c>
      <c r="AK9" s="46">
        <v>1088606.48</v>
      </c>
      <c r="AL9" s="1">
        <v>1088606.48</v>
      </c>
      <c r="AM9" s="1">
        <v>1088606.48</v>
      </c>
      <c r="AN9" s="46">
        <v>1088606.48</v>
      </c>
      <c r="AO9" s="1">
        <v>1088606.48</v>
      </c>
      <c r="AP9" s="1">
        <v>1088606.48</v>
      </c>
      <c r="AQ9" s="46">
        <v>1088606.48</v>
      </c>
      <c r="AR9" s="1">
        <v>1088606.48</v>
      </c>
      <c r="AS9" s="1">
        <v>1088606.48</v>
      </c>
      <c r="AT9" s="46">
        <v>1088606.48</v>
      </c>
      <c r="AU9" s="1">
        <v>1088606.48</v>
      </c>
      <c r="AV9" s="1">
        <v>1088606.48</v>
      </c>
      <c r="AW9" s="46">
        <v>1088606.48</v>
      </c>
      <c r="AX9" s="1">
        <v>1088606.48</v>
      </c>
      <c r="AY9" s="1">
        <v>1088606.48</v>
      </c>
      <c r="AZ9" s="46">
        <v>1088606.48</v>
      </c>
      <c r="BA9" s="1">
        <v>474366.18</v>
      </c>
      <c r="BB9" s="1">
        <v>370905.18</v>
      </c>
      <c r="BC9" s="46">
        <v>328849.5</v>
      </c>
      <c r="BD9" s="1">
        <v>328849.5</v>
      </c>
      <c r="BE9" s="1">
        <v>328849.5</v>
      </c>
      <c r="BF9" s="46">
        <v>0</v>
      </c>
      <c r="BG9" s="1">
        <v>0</v>
      </c>
      <c r="BH9" s="1">
        <v>0</v>
      </c>
      <c r="BI9" s="46">
        <v>0</v>
      </c>
      <c r="BJ9" s="1">
        <v>0</v>
      </c>
      <c r="BK9" s="1">
        <v>0</v>
      </c>
      <c r="BL9">
        <v>0</v>
      </c>
    </row>
    <row r="10" spans="1:64" ht="15.5" x14ac:dyDescent="0.35">
      <c r="A10" t="s">
        <v>72</v>
      </c>
      <c r="B10" s="1">
        <v>937222.51000000013</v>
      </c>
      <c r="C10" s="1">
        <v>937222.51000000013</v>
      </c>
      <c r="D10" s="46">
        <v>937222.51000000013</v>
      </c>
      <c r="E10" s="1">
        <v>937222.51000000013</v>
      </c>
      <c r="F10" s="1">
        <v>937222.51000000013</v>
      </c>
      <c r="G10" s="46">
        <v>937222.51000000013</v>
      </c>
      <c r="H10" s="1">
        <v>937222.51000000013</v>
      </c>
      <c r="I10" s="1">
        <v>937222.51000000013</v>
      </c>
      <c r="J10" s="46">
        <v>937222.51000000013</v>
      </c>
      <c r="K10" s="1">
        <v>937222.51000000013</v>
      </c>
      <c r="L10" s="1">
        <v>937222.51000000013</v>
      </c>
      <c r="M10" s="46">
        <v>937222.51000000013</v>
      </c>
      <c r="N10" s="1">
        <v>937222.51000000013</v>
      </c>
      <c r="O10" s="1">
        <v>937222.51000000013</v>
      </c>
      <c r="P10" s="46">
        <v>937222.51000000013</v>
      </c>
      <c r="Q10" s="1">
        <v>937222.51000000013</v>
      </c>
      <c r="R10" s="1">
        <v>937222.51000000013</v>
      </c>
      <c r="S10" s="46">
        <v>937222.51000000013</v>
      </c>
      <c r="T10" s="1">
        <v>937222.51000000013</v>
      </c>
      <c r="U10" s="1">
        <v>937222.51000000013</v>
      </c>
      <c r="V10" s="46">
        <v>937222.51000000013</v>
      </c>
      <c r="W10" s="1">
        <v>937222.51000000013</v>
      </c>
      <c r="X10" s="1">
        <v>937222.51000000013</v>
      </c>
      <c r="Y10" s="46">
        <v>937222.51000000013</v>
      </c>
      <c r="Z10" s="1">
        <v>937222.51000000013</v>
      </c>
      <c r="AA10" s="1">
        <v>937222.51000000013</v>
      </c>
      <c r="AB10" s="46">
        <v>937222.51000000013</v>
      </c>
      <c r="AC10" s="1">
        <v>937222.51000000013</v>
      </c>
      <c r="AD10" s="1">
        <v>937222.51000000013</v>
      </c>
      <c r="AE10" s="46">
        <v>937222.51000000013</v>
      </c>
      <c r="AF10" s="1">
        <v>937222.51000000013</v>
      </c>
      <c r="AG10" s="1">
        <v>937222.51000000013</v>
      </c>
      <c r="AH10" s="46">
        <v>937222.51000000013</v>
      </c>
      <c r="AI10" s="1">
        <v>937222.51000000013</v>
      </c>
      <c r="AJ10" s="1">
        <v>937222.51000000013</v>
      </c>
      <c r="AK10" s="46">
        <v>937222.51000000013</v>
      </c>
      <c r="AL10" s="1">
        <v>937222.51000000013</v>
      </c>
      <c r="AM10" s="1">
        <v>937222.51000000013</v>
      </c>
      <c r="AN10" s="46">
        <v>937222.51000000013</v>
      </c>
      <c r="AO10" s="1">
        <v>937222.51000000013</v>
      </c>
      <c r="AP10" s="1">
        <v>937222.51000000013</v>
      </c>
      <c r="AQ10" s="46">
        <v>937222.51000000013</v>
      </c>
      <c r="AR10" s="1">
        <v>937222.51000000013</v>
      </c>
      <c r="AS10" s="1">
        <v>937222.51000000013</v>
      </c>
      <c r="AT10" s="46">
        <v>937222.51000000013</v>
      </c>
      <c r="AU10" s="1">
        <v>937222.51000000013</v>
      </c>
      <c r="AV10" s="1">
        <v>937222.51000000013</v>
      </c>
      <c r="AW10" s="46">
        <v>937222.51000000013</v>
      </c>
      <c r="AX10" s="1">
        <v>937222.51000000013</v>
      </c>
      <c r="AY10" s="1">
        <v>937222.51000000013</v>
      </c>
      <c r="AZ10" s="46">
        <v>937222.51000000013</v>
      </c>
      <c r="BA10" s="1">
        <v>441873.32</v>
      </c>
      <c r="BB10" s="1">
        <v>353369.01</v>
      </c>
      <c r="BC10" s="46">
        <v>312388.69</v>
      </c>
      <c r="BD10" s="1">
        <v>312388.69</v>
      </c>
      <c r="BE10" s="1">
        <v>312388.69</v>
      </c>
      <c r="BF10" s="46">
        <v>0</v>
      </c>
      <c r="BG10" s="1">
        <v>0</v>
      </c>
      <c r="BH10" s="1">
        <v>0</v>
      </c>
      <c r="BI10" s="46">
        <v>0</v>
      </c>
      <c r="BJ10" s="1">
        <v>0</v>
      </c>
      <c r="BK10" s="1">
        <v>0</v>
      </c>
      <c r="BL10">
        <v>0</v>
      </c>
    </row>
    <row r="11" spans="1:64" ht="15.5" x14ac:dyDescent="0.35">
      <c r="A11" t="s">
        <v>73</v>
      </c>
      <c r="B11" s="1">
        <v>78811.170000000027</v>
      </c>
      <c r="C11" s="1">
        <v>78811.170000000027</v>
      </c>
      <c r="D11" s="46">
        <v>78811.170000000027</v>
      </c>
      <c r="E11" s="1">
        <v>78811.170000000027</v>
      </c>
      <c r="F11" s="1">
        <v>78811.170000000027</v>
      </c>
      <c r="G11" s="46">
        <v>78811.170000000027</v>
      </c>
      <c r="H11" s="1">
        <v>78811.170000000027</v>
      </c>
      <c r="I11" s="1">
        <v>78811.170000000027</v>
      </c>
      <c r="J11" s="46">
        <v>78811.170000000027</v>
      </c>
      <c r="K11" s="1">
        <v>78811.170000000027</v>
      </c>
      <c r="L11" s="1">
        <v>78811.170000000027</v>
      </c>
      <c r="M11" s="46">
        <v>78811.170000000027</v>
      </c>
      <c r="N11" s="1">
        <v>78811.170000000027</v>
      </c>
      <c r="O11" s="1">
        <v>78811.170000000027</v>
      </c>
      <c r="P11" s="46">
        <v>78811.170000000027</v>
      </c>
      <c r="Q11" s="1">
        <v>78811.170000000027</v>
      </c>
      <c r="R11" s="1">
        <v>78811.170000000027</v>
      </c>
      <c r="S11" s="46">
        <v>78811.170000000027</v>
      </c>
      <c r="T11" s="1">
        <v>78811.170000000027</v>
      </c>
      <c r="U11" s="1">
        <v>78811.170000000027</v>
      </c>
      <c r="V11" s="46">
        <v>78811.170000000027</v>
      </c>
      <c r="W11" s="1">
        <v>78811.170000000027</v>
      </c>
      <c r="X11" s="1">
        <v>78811.170000000027</v>
      </c>
      <c r="Y11" s="46">
        <v>78811.170000000027</v>
      </c>
      <c r="Z11" s="1">
        <v>78811.170000000027</v>
      </c>
      <c r="AA11" s="1">
        <v>78811.170000000027</v>
      </c>
      <c r="AB11" s="46">
        <v>78811.170000000027</v>
      </c>
      <c r="AC11" s="1">
        <v>78811.170000000027</v>
      </c>
      <c r="AD11" s="1">
        <v>78811.170000000027</v>
      </c>
      <c r="AE11" s="46">
        <v>78811.170000000027</v>
      </c>
      <c r="AF11" s="1">
        <v>78811.170000000027</v>
      </c>
      <c r="AG11" s="1">
        <v>78811.170000000027</v>
      </c>
      <c r="AH11" s="46">
        <v>78811.170000000027</v>
      </c>
      <c r="AI11" s="1">
        <v>78811.170000000027</v>
      </c>
      <c r="AJ11" s="1">
        <v>78811.170000000027</v>
      </c>
      <c r="AK11" s="46">
        <v>78811.170000000027</v>
      </c>
      <c r="AL11" s="1">
        <v>78811.170000000027</v>
      </c>
      <c r="AM11" s="1">
        <v>78811.170000000027</v>
      </c>
      <c r="AN11" s="46">
        <v>78811.170000000027</v>
      </c>
      <c r="AO11" s="1">
        <v>78811.170000000027</v>
      </c>
      <c r="AP11" s="1">
        <v>78811.170000000027</v>
      </c>
      <c r="AQ11" s="46">
        <v>78811.170000000027</v>
      </c>
      <c r="AR11" s="1">
        <v>78811.170000000027</v>
      </c>
      <c r="AS11" s="1">
        <v>78811.170000000027</v>
      </c>
      <c r="AT11" s="46">
        <v>78811.170000000027</v>
      </c>
      <c r="AU11" s="1">
        <v>78811.170000000027</v>
      </c>
      <c r="AV11" s="1">
        <v>78811.170000000027</v>
      </c>
      <c r="AW11" s="46">
        <v>78811.170000000027</v>
      </c>
      <c r="AX11" s="1">
        <v>78811.170000000027</v>
      </c>
      <c r="AY11" s="1">
        <v>78811.170000000027</v>
      </c>
      <c r="AZ11" s="46">
        <v>78811.170000000027</v>
      </c>
      <c r="BA11" s="1">
        <v>46633.09</v>
      </c>
      <c r="BB11" s="1">
        <v>42081.27</v>
      </c>
      <c r="BC11" s="46">
        <v>36950.480000000003</v>
      </c>
      <c r="BD11" s="1">
        <v>36950.480000000003</v>
      </c>
      <c r="BE11" s="1">
        <v>36950.480000000003</v>
      </c>
      <c r="BF11" s="46">
        <v>0</v>
      </c>
      <c r="BG11" s="1">
        <v>0</v>
      </c>
      <c r="BH11" s="1">
        <v>0</v>
      </c>
      <c r="BI11" s="46">
        <v>0</v>
      </c>
      <c r="BJ11" s="1">
        <v>0</v>
      </c>
      <c r="BK11" s="1">
        <v>0</v>
      </c>
      <c r="BL11">
        <v>0</v>
      </c>
    </row>
    <row r="12" spans="1:64" ht="15.5" x14ac:dyDescent="0.35">
      <c r="A12" t="s">
        <v>74</v>
      </c>
      <c r="B12" s="1">
        <v>22746424.239999998</v>
      </c>
      <c r="C12" s="1">
        <v>22746424.239999998</v>
      </c>
      <c r="D12" s="46">
        <v>22746424.239999998</v>
      </c>
      <c r="E12" s="1">
        <v>22746424.239999998</v>
      </c>
      <c r="F12" s="1">
        <v>22746424.239999998</v>
      </c>
      <c r="G12" s="46">
        <v>22746424.239999998</v>
      </c>
      <c r="H12" s="1">
        <v>22746424.239999998</v>
      </c>
      <c r="I12" s="1">
        <v>22746424.239999998</v>
      </c>
      <c r="J12" s="46">
        <v>22746424.239999998</v>
      </c>
      <c r="K12" s="1">
        <v>22746424.239999998</v>
      </c>
      <c r="L12" s="1">
        <v>22746424.239999998</v>
      </c>
      <c r="M12" s="46">
        <v>22746424.239999998</v>
      </c>
      <c r="N12" s="1">
        <v>22746424.239999998</v>
      </c>
      <c r="O12" s="1">
        <v>22746424.239999998</v>
      </c>
      <c r="P12" s="46">
        <v>22746424.239999998</v>
      </c>
      <c r="Q12" s="1">
        <v>22746424.239999998</v>
      </c>
      <c r="R12" s="1">
        <v>22746424.239999998</v>
      </c>
      <c r="S12" s="46">
        <v>22746424.239999998</v>
      </c>
      <c r="T12" s="1">
        <v>22746424.239999998</v>
      </c>
      <c r="U12" s="1">
        <v>22746424.239999998</v>
      </c>
      <c r="V12" s="46">
        <v>22746424.239999998</v>
      </c>
      <c r="W12" s="1">
        <v>22746424.239999998</v>
      </c>
      <c r="X12" s="1">
        <v>22746424.239999998</v>
      </c>
      <c r="Y12" s="46">
        <v>22746424.239999998</v>
      </c>
      <c r="Z12" s="1">
        <v>22746424.239999998</v>
      </c>
      <c r="AA12" s="1">
        <v>22746424.239999998</v>
      </c>
      <c r="AB12" s="46">
        <v>22746424.239999998</v>
      </c>
      <c r="AC12" s="1">
        <v>22746424.239999998</v>
      </c>
      <c r="AD12" s="1">
        <v>22746424.239999998</v>
      </c>
      <c r="AE12" s="46">
        <v>22746424.239999998</v>
      </c>
      <c r="AF12" s="1">
        <v>22746424.239999998</v>
      </c>
      <c r="AG12" s="1">
        <v>22746424.239999998</v>
      </c>
      <c r="AH12" s="46">
        <v>22746424.239999998</v>
      </c>
      <c r="AI12" s="1">
        <v>22746424.239999998</v>
      </c>
      <c r="AJ12" s="1">
        <v>22746424.239999998</v>
      </c>
      <c r="AK12" s="46">
        <v>22746424.239999998</v>
      </c>
      <c r="AL12" s="1">
        <v>22746424.239999998</v>
      </c>
      <c r="AM12" s="1">
        <v>22746424.239999998</v>
      </c>
      <c r="AN12" s="46">
        <v>22746424.239999998</v>
      </c>
      <c r="AO12" s="1">
        <v>22746424.239999998</v>
      </c>
      <c r="AP12" s="1">
        <v>22746424.239999998</v>
      </c>
      <c r="AQ12" s="46">
        <v>22746424.239999998</v>
      </c>
      <c r="AR12" s="1">
        <v>22746424.239999998</v>
      </c>
      <c r="AS12" s="1">
        <v>22746424.239999998</v>
      </c>
      <c r="AT12" s="46">
        <v>22746424.239999998</v>
      </c>
      <c r="AU12" s="1">
        <v>22746424.239999998</v>
      </c>
      <c r="AV12" s="1">
        <v>22746424.239999998</v>
      </c>
      <c r="AW12" s="46">
        <v>22746424.239999998</v>
      </c>
      <c r="AX12" s="1">
        <v>22746424.239999998</v>
      </c>
      <c r="AY12" s="1">
        <v>22746424.239999998</v>
      </c>
      <c r="AZ12" s="46">
        <v>22746424.239999998</v>
      </c>
      <c r="BA12" s="1">
        <v>10765992.529999999</v>
      </c>
      <c r="BB12" s="1">
        <v>8862800.4299999978</v>
      </c>
      <c r="BC12" s="46">
        <v>7638590.9599999981</v>
      </c>
      <c r="BD12" s="1">
        <v>7638590.9599999981</v>
      </c>
      <c r="BE12" s="1">
        <v>7638590.9599999981</v>
      </c>
      <c r="BF12" s="46">
        <v>0</v>
      </c>
      <c r="BG12" s="1">
        <v>0</v>
      </c>
      <c r="BH12" s="1">
        <v>0</v>
      </c>
      <c r="BI12" s="46">
        <v>0</v>
      </c>
      <c r="BJ12" s="1">
        <v>0</v>
      </c>
      <c r="BK12" s="1">
        <v>0</v>
      </c>
      <c r="BL12">
        <v>0</v>
      </c>
    </row>
    <row r="13" spans="1:64" ht="15.5" x14ac:dyDescent="0.35">
      <c r="A13" t="s">
        <v>75</v>
      </c>
      <c r="B13" s="1">
        <v>21045988.579999998</v>
      </c>
      <c r="C13" s="1">
        <v>21045988.579999998</v>
      </c>
      <c r="D13" s="46">
        <v>20791856.420000002</v>
      </c>
      <c r="E13" s="1">
        <v>20537724.260000002</v>
      </c>
      <c r="F13" s="1">
        <v>20283592.100000001</v>
      </c>
      <c r="G13" s="46">
        <v>20029459.940000001</v>
      </c>
      <c r="H13" s="1">
        <v>19775327.780000001</v>
      </c>
      <c r="I13" s="1">
        <v>19521195.620000001</v>
      </c>
      <c r="J13" s="46">
        <v>19267063.460000001</v>
      </c>
      <c r="K13" s="1">
        <v>19012931.300000001</v>
      </c>
      <c r="L13" s="1">
        <v>18758799.140000001</v>
      </c>
      <c r="M13" s="46">
        <v>18504666.98</v>
      </c>
      <c r="N13" s="1">
        <v>18250534.82</v>
      </c>
      <c r="O13" s="1">
        <v>17996402.66</v>
      </c>
      <c r="P13" s="46">
        <v>17742270.5</v>
      </c>
      <c r="Q13" s="1">
        <v>17488138.34</v>
      </c>
      <c r="R13" s="1">
        <v>17234006.18</v>
      </c>
      <c r="S13" s="46">
        <v>16979874.02</v>
      </c>
      <c r="T13" s="1">
        <v>16725741.859999999</v>
      </c>
      <c r="U13" s="1">
        <v>16471609.699999999</v>
      </c>
      <c r="V13" s="46">
        <v>16217477.539999999</v>
      </c>
      <c r="W13" s="1">
        <v>15963345.380000001</v>
      </c>
      <c r="X13" s="1">
        <v>15709213.220000001</v>
      </c>
      <c r="Y13" s="46">
        <v>15455081.060000001</v>
      </c>
      <c r="Z13" s="1">
        <v>15200948.9</v>
      </c>
      <c r="AA13" s="1">
        <v>14946816.74</v>
      </c>
      <c r="AB13" s="46">
        <v>14692684.58</v>
      </c>
      <c r="AC13" s="1">
        <v>14438552.42</v>
      </c>
      <c r="AD13" s="1">
        <v>14184420.26</v>
      </c>
      <c r="AE13" s="46">
        <v>13930288.1</v>
      </c>
      <c r="AF13" s="1">
        <v>13676155.939999999</v>
      </c>
      <c r="AG13" s="1">
        <v>13422023.779999999</v>
      </c>
      <c r="AH13" s="46">
        <v>13167891.619999999</v>
      </c>
      <c r="AI13" s="1">
        <v>12913759.460000001</v>
      </c>
      <c r="AJ13" s="1">
        <v>12659627.300000001</v>
      </c>
      <c r="AK13" s="46">
        <v>12405495.140000001</v>
      </c>
      <c r="AL13" s="1">
        <v>12151362.98</v>
      </c>
      <c r="AM13" s="1">
        <v>11897230.82</v>
      </c>
      <c r="AN13" s="46">
        <v>11643098.66</v>
      </c>
      <c r="AO13" s="1">
        <v>11388966.5</v>
      </c>
      <c r="AP13" s="1">
        <v>11134834.34</v>
      </c>
      <c r="AQ13" s="46">
        <v>10880702.18</v>
      </c>
      <c r="AR13" s="1">
        <v>10626570.02</v>
      </c>
      <c r="AS13" s="1">
        <v>10372437.859999999</v>
      </c>
      <c r="AT13" s="46">
        <v>10118305.699999999</v>
      </c>
      <c r="AU13" s="1">
        <v>9864173.5399999972</v>
      </c>
      <c r="AV13" s="1">
        <v>9610041.3799999971</v>
      </c>
      <c r="AW13" s="46">
        <v>9355909.2199999969</v>
      </c>
      <c r="AX13" s="1">
        <v>9101777.0599999968</v>
      </c>
      <c r="AY13" s="1">
        <v>8847644.8999999966</v>
      </c>
      <c r="AZ13" s="46">
        <v>8593512.7399999965</v>
      </c>
      <c r="BA13" s="1">
        <v>2899244.5999999982</v>
      </c>
      <c r="BB13" s="1">
        <v>1904664.0100000009</v>
      </c>
      <c r="BC13" s="46">
        <v>1380452.08</v>
      </c>
      <c r="BD13" s="1">
        <v>1268699.6000000001</v>
      </c>
      <c r="BE13" s="1">
        <v>1156947.1200000001</v>
      </c>
      <c r="BF13" s="46">
        <v>0</v>
      </c>
      <c r="BG13" s="1">
        <v>0</v>
      </c>
      <c r="BH13" s="1">
        <v>0</v>
      </c>
      <c r="BI13" s="46">
        <v>0</v>
      </c>
      <c r="BJ13" s="1">
        <v>0</v>
      </c>
      <c r="BK13" s="1">
        <v>0</v>
      </c>
      <c r="BL13">
        <v>0</v>
      </c>
    </row>
    <row r="14" spans="1:64" ht="15.5" x14ac:dyDescent="0.35">
      <c r="A14" t="s">
        <v>76</v>
      </c>
      <c r="B14" s="1">
        <v>0</v>
      </c>
      <c r="C14" s="1">
        <v>0</v>
      </c>
      <c r="D14" s="46">
        <v>0</v>
      </c>
      <c r="E14" s="1">
        <v>0</v>
      </c>
      <c r="F14" s="1">
        <v>0</v>
      </c>
      <c r="G14" s="46">
        <v>0</v>
      </c>
      <c r="H14" s="1">
        <v>0</v>
      </c>
      <c r="I14" s="1">
        <v>0</v>
      </c>
      <c r="J14" s="46">
        <v>0</v>
      </c>
      <c r="K14" s="1">
        <v>0</v>
      </c>
      <c r="L14" s="1">
        <v>0</v>
      </c>
      <c r="M14" s="46">
        <v>0</v>
      </c>
      <c r="N14" s="1">
        <v>0</v>
      </c>
      <c r="O14" s="1">
        <v>0</v>
      </c>
      <c r="P14" s="46">
        <v>0</v>
      </c>
      <c r="Q14" s="1">
        <v>0</v>
      </c>
      <c r="R14" s="1">
        <v>0</v>
      </c>
      <c r="S14" s="46">
        <v>0</v>
      </c>
      <c r="T14" s="1">
        <v>0</v>
      </c>
      <c r="U14" s="1">
        <v>0</v>
      </c>
      <c r="V14" s="46">
        <v>0</v>
      </c>
      <c r="W14" s="1">
        <v>0</v>
      </c>
      <c r="X14" s="1">
        <v>0</v>
      </c>
      <c r="Y14" s="46">
        <v>0</v>
      </c>
      <c r="Z14" s="1">
        <v>0</v>
      </c>
      <c r="AA14" s="1">
        <v>0</v>
      </c>
      <c r="AB14" s="46">
        <v>0</v>
      </c>
      <c r="AC14" s="1">
        <v>0</v>
      </c>
      <c r="AD14" s="1">
        <v>0</v>
      </c>
      <c r="AE14" s="46">
        <v>0</v>
      </c>
      <c r="AF14" s="1">
        <v>0</v>
      </c>
      <c r="AG14" s="1">
        <v>0</v>
      </c>
      <c r="AH14" s="46">
        <v>0</v>
      </c>
      <c r="AI14" s="1">
        <v>0</v>
      </c>
      <c r="AJ14" s="1">
        <v>0</v>
      </c>
      <c r="AK14" s="46">
        <v>0</v>
      </c>
      <c r="AL14" s="1">
        <v>0</v>
      </c>
      <c r="AM14" s="1">
        <v>0</v>
      </c>
      <c r="AN14" s="46">
        <v>0</v>
      </c>
      <c r="AO14" s="1">
        <v>0</v>
      </c>
      <c r="AP14" s="1">
        <v>0</v>
      </c>
      <c r="AQ14" s="46">
        <v>0</v>
      </c>
      <c r="AR14" s="1">
        <v>0</v>
      </c>
      <c r="AS14" s="1">
        <v>0</v>
      </c>
      <c r="AT14" s="46">
        <v>0</v>
      </c>
      <c r="AU14" s="1">
        <v>0</v>
      </c>
      <c r="AV14" s="1">
        <v>0</v>
      </c>
      <c r="AW14" s="46">
        <v>0</v>
      </c>
      <c r="AX14" s="1">
        <v>0</v>
      </c>
      <c r="AY14" s="1">
        <v>0</v>
      </c>
      <c r="AZ14" s="46">
        <v>0</v>
      </c>
      <c r="BA14" s="1">
        <v>0</v>
      </c>
      <c r="BB14" s="1">
        <v>0</v>
      </c>
      <c r="BC14" s="46">
        <v>0</v>
      </c>
      <c r="BD14" s="1">
        <v>0</v>
      </c>
      <c r="BE14" s="1">
        <v>0</v>
      </c>
      <c r="BF14" s="46">
        <v>0</v>
      </c>
      <c r="BG14" s="1">
        <v>0</v>
      </c>
      <c r="BH14" s="1">
        <v>0</v>
      </c>
      <c r="BI14" s="46">
        <v>0</v>
      </c>
      <c r="BJ14" s="1">
        <v>0</v>
      </c>
      <c r="BK14" s="1">
        <v>0</v>
      </c>
      <c r="BL14">
        <v>0</v>
      </c>
    </row>
    <row r="15" spans="1:64" ht="15.5" x14ac:dyDescent="0.35">
      <c r="A15" t="s">
        <v>77</v>
      </c>
      <c r="B15" s="1">
        <v>0</v>
      </c>
      <c r="C15" s="1">
        <v>0</v>
      </c>
      <c r="D15" s="46">
        <v>0</v>
      </c>
      <c r="E15" s="1">
        <v>0</v>
      </c>
      <c r="F15" s="1">
        <v>0</v>
      </c>
      <c r="G15" s="46">
        <v>0</v>
      </c>
      <c r="H15" s="1">
        <v>0</v>
      </c>
      <c r="I15" s="1">
        <v>0</v>
      </c>
      <c r="J15" s="46">
        <v>0</v>
      </c>
      <c r="K15" s="1">
        <v>0</v>
      </c>
      <c r="L15" s="1">
        <v>0</v>
      </c>
      <c r="M15" s="46">
        <v>0</v>
      </c>
      <c r="N15" s="1">
        <v>0</v>
      </c>
      <c r="O15" s="1">
        <v>0</v>
      </c>
      <c r="P15" s="46">
        <v>0</v>
      </c>
      <c r="Q15" s="1">
        <v>0</v>
      </c>
      <c r="R15" s="1">
        <v>0</v>
      </c>
      <c r="S15" s="46">
        <v>0</v>
      </c>
      <c r="T15" s="1">
        <v>0</v>
      </c>
      <c r="U15" s="1">
        <v>0</v>
      </c>
      <c r="V15" s="46">
        <v>0</v>
      </c>
      <c r="W15" s="1">
        <v>0</v>
      </c>
      <c r="X15" s="1">
        <v>0</v>
      </c>
      <c r="Y15" s="46">
        <v>0</v>
      </c>
      <c r="Z15" s="1">
        <v>0</v>
      </c>
      <c r="AA15" s="1">
        <v>0</v>
      </c>
      <c r="AB15" s="46">
        <v>0</v>
      </c>
      <c r="AC15" s="1">
        <v>0</v>
      </c>
      <c r="AD15" s="1">
        <v>0</v>
      </c>
      <c r="AE15" s="46">
        <v>0</v>
      </c>
      <c r="AF15" s="1">
        <v>0</v>
      </c>
      <c r="AG15" s="1">
        <v>0</v>
      </c>
      <c r="AH15" s="46">
        <v>0</v>
      </c>
      <c r="AI15" s="1">
        <v>0</v>
      </c>
      <c r="AJ15" s="1">
        <v>0</v>
      </c>
      <c r="AK15" s="46">
        <v>0</v>
      </c>
      <c r="AL15" s="1">
        <v>0</v>
      </c>
      <c r="AM15" s="1">
        <v>0</v>
      </c>
      <c r="AN15" s="46">
        <v>0</v>
      </c>
      <c r="AO15" s="1">
        <v>0</v>
      </c>
      <c r="AP15" s="1">
        <v>0</v>
      </c>
      <c r="AQ15" s="46">
        <v>0</v>
      </c>
      <c r="AR15" s="1">
        <v>0</v>
      </c>
      <c r="AS15" s="1">
        <v>0</v>
      </c>
      <c r="AT15" s="46">
        <v>0</v>
      </c>
      <c r="AU15" s="1">
        <v>0</v>
      </c>
      <c r="AV15" s="1">
        <v>0</v>
      </c>
      <c r="AW15" s="46">
        <v>0</v>
      </c>
      <c r="AX15" s="1">
        <v>0</v>
      </c>
      <c r="AY15" s="1">
        <v>0</v>
      </c>
      <c r="AZ15" s="46">
        <v>0</v>
      </c>
      <c r="BA15" s="1">
        <v>14</v>
      </c>
      <c r="BB15" s="1">
        <v>2</v>
      </c>
      <c r="BC15" s="46">
        <v>1</v>
      </c>
      <c r="BD15" s="1">
        <v>0</v>
      </c>
      <c r="BE15" s="1">
        <v>0</v>
      </c>
      <c r="BF15" s="46">
        <v>14</v>
      </c>
      <c r="BG15" s="1">
        <v>0</v>
      </c>
      <c r="BH15" s="1">
        <v>0</v>
      </c>
      <c r="BI15" s="46">
        <v>0</v>
      </c>
      <c r="BJ15" s="1">
        <v>0</v>
      </c>
      <c r="BK15" s="1">
        <v>0</v>
      </c>
      <c r="BL15">
        <v>0</v>
      </c>
    </row>
    <row r="16" spans="1:64" ht="15.5" x14ac:dyDescent="0.35">
      <c r="A16" t="s">
        <v>78</v>
      </c>
      <c r="B16" s="1">
        <v>0</v>
      </c>
      <c r="C16" s="1">
        <v>0</v>
      </c>
      <c r="D16" s="46">
        <v>0</v>
      </c>
      <c r="E16" s="1">
        <v>0</v>
      </c>
      <c r="F16" s="1">
        <v>0</v>
      </c>
      <c r="G16" s="46">
        <v>0</v>
      </c>
      <c r="H16" s="1">
        <v>0</v>
      </c>
      <c r="I16" s="1">
        <v>0</v>
      </c>
      <c r="J16" s="46">
        <v>0</v>
      </c>
      <c r="K16" s="1">
        <v>0</v>
      </c>
      <c r="L16" s="1">
        <v>0</v>
      </c>
      <c r="M16" s="46">
        <v>0</v>
      </c>
      <c r="N16" s="1">
        <v>0</v>
      </c>
      <c r="O16" s="1">
        <v>0</v>
      </c>
      <c r="P16" s="46">
        <v>0</v>
      </c>
      <c r="Q16" s="1">
        <v>0</v>
      </c>
      <c r="R16" s="1">
        <v>0</v>
      </c>
      <c r="S16" s="46">
        <v>0</v>
      </c>
      <c r="T16" s="1">
        <v>0</v>
      </c>
      <c r="U16" s="1">
        <v>0</v>
      </c>
      <c r="V16" s="46">
        <v>0</v>
      </c>
      <c r="W16" s="1">
        <v>0</v>
      </c>
      <c r="X16" s="1">
        <v>0</v>
      </c>
      <c r="Y16" s="46">
        <v>0</v>
      </c>
      <c r="Z16" s="1">
        <v>0</v>
      </c>
      <c r="AA16" s="1">
        <v>0</v>
      </c>
      <c r="AB16" s="46">
        <v>0</v>
      </c>
      <c r="AC16" s="1">
        <v>0</v>
      </c>
      <c r="AD16" s="1">
        <v>0</v>
      </c>
      <c r="AE16" s="46">
        <v>0</v>
      </c>
      <c r="AF16" s="1">
        <v>0</v>
      </c>
      <c r="AG16" s="1">
        <v>0</v>
      </c>
      <c r="AH16" s="46">
        <v>0</v>
      </c>
      <c r="AI16" s="1">
        <v>0</v>
      </c>
      <c r="AJ16" s="1">
        <v>0</v>
      </c>
      <c r="AK16" s="46">
        <v>0</v>
      </c>
      <c r="AL16" s="1">
        <v>0</v>
      </c>
      <c r="AM16" s="1">
        <v>0</v>
      </c>
      <c r="AN16" s="46">
        <v>0</v>
      </c>
      <c r="AO16" s="1">
        <v>0</v>
      </c>
      <c r="AP16" s="1">
        <v>0</v>
      </c>
      <c r="AQ16" s="46">
        <v>0</v>
      </c>
      <c r="AR16" s="1">
        <v>0</v>
      </c>
      <c r="AS16" s="1">
        <v>0</v>
      </c>
      <c r="AT16" s="46">
        <v>0</v>
      </c>
      <c r="AU16" s="1">
        <v>0</v>
      </c>
      <c r="AV16" s="1">
        <v>0</v>
      </c>
      <c r="AW16" s="46">
        <v>0</v>
      </c>
      <c r="AX16" s="1">
        <v>0</v>
      </c>
      <c r="AY16" s="1">
        <v>0</v>
      </c>
      <c r="AZ16" s="46">
        <v>0</v>
      </c>
      <c r="BA16" s="1">
        <v>0</v>
      </c>
      <c r="BB16" s="1">
        <v>0</v>
      </c>
      <c r="BC16" s="46">
        <v>0</v>
      </c>
      <c r="BD16" s="1">
        <v>0</v>
      </c>
      <c r="BE16" s="1">
        <v>0</v>
      </c>
      <c r="BF16" s="46">
        <v>0</v>
      </c>
      <c r="BG16" s="1">
        <v>0</v>
      </c>
      <c r="BH16" s="1">
        <v>0</v>
      </c>
      <c r="BI16" s="46">
        <v>0</v>
      </c>
      <c r="BJ16" s="1">
        <v>0</v>
      </c>
      <c r="BK16" s="1">
        <v>0</v>
      </c>
      <c r="BL1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X63"/>
  <sheetViews>
    <sheetView workbookViewId="0">
      <selection sqref="A1:XFD1048576"/>
    </sheetView>
  </sheetViews>
  <sheetFormatPr defaultRowHeight="14.5" x14ac:dyDescent="0.35"/>
  <cols>
    <col min="2" max="2" width="5" customWidth="1"/>
    <col min="3" max="3" width="16" customWidth="1"/>
    <col min="4" max="24" width="11" customWidth="1"/>
  </cols>
  <sheetData>
    <row r="2" spans="2:24" x14ac:dyDescent="0.35"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</row>
    <row r="4" spans="2:24" x14ac:dyDescent="0.35">
      <c r="B4" t="s">
        <v>100</v>
      </c>
      <c r="C4" t="s">
        <v>101</v>
      </c>
      <c r="D4" s="2">
        <v>2464196.91</v>
      </c>
      <c r="E4" s="2">
        <v>7346584.0699999994</v>
      </c>
      <c r="F4" s="2">
        <v>7307150.04</v>
      </c>
      <c r="G4" s="2">
        <v>7110987.8999999994</v>
      </c>
      <c r="H4" s="2">
        <v>6622605.1399999987</v>
      </c>
      <c r="I4" s="2">
        <v>5637912.4500000002</v>
      </c>
      <c r="J4" s="2">
        <v>5217138.99</v>
      </c>
      <c r="K4" s="2">
        <v>5061897.6400000006</v>
      </c>
      <c r="L4" s="2">
        <v>4586442.93</v>
      </c>
      <c r="M4" s="2">
        <v>3921007.17</v>
      </c>
      <c r="N4" s="2">
        <v>3921007.17</v>
      </c>
      <c r="O4" s="2">
        <v>3783904.83</v>
      </c>
      <c r="P4" s="2">
        <v>3783904.83</v>
      </c>
      <c r="Q4" s="2">
        <v>3707885.76</v>
      </c>
      <c r="R4" s="2">
        <v>3666698.76</v>
      </c>
      <c r="S4" s="2">
        <v>3666698.76</v>
      </c>
      <c r="T4" s="2">
        <v>2446390.27</v>
      </c>
      <c r="U4" s="2">
        <v>106566.24</v>
      </c>
      <c r="V4" s="2">
        <v>0</v>
      </c>
      <c r="W4" s="2">
        <v>0</v>
      </c>
      <c r="X4" s="2">
        <v>0</v>
      </c>
    </row>
    <row r="5" spans="2:24" x14ac:dyDescent="0.35">
      <c r="C5" t="s">
        <v>102</v>
      </c>
      <c r="D5" s="2">
        <v>139</v>
      </c>
      <c r="E5" s="2">
        <v>135</v>
      </c>
      <c r="F5" s="2">
        <v>134</v>
      </c>
      <c r="G5" s="2">
        <v>120</v>
      </c>
      <c r="H5" s="2">
        <v>104</v>
      </c>
      <c r="I5" s="2">
        <v>65</v>
      </c>
      <c r="J5" s="2">
        <v>65</v>
      </c>
      <c r="K5" s="2">
        <v>58</v>
      </c>
      <c r="L5" s="2">
        <v>46</v>
      </c>
      <c r="M5" s="2">
        <v>46</v>
      </c>
      <c r="N5" s="2">
        <v>46</v>
      </c>
      <c r="O5" s="2">
        <v>44</v>
      </c>
      <c r="P5" s="2">
        <v>44</v>
      </c>
      <c r="Q5" s="2">
        <v>42</v>
      </c>
      <c r="R5" s="2">
        <v>42</v>
      </c>
      <c r="S5" s="2">
        <v>42</v>
      </c>
      <c r="T5" s="2">
        <v>1</v>
      </c>
      <c r="U5" s="2">
        <v>0</v>
      </c>
      <c r="V5" s="2">
        <v>0</v>
      </c>
      <c r="W5" s="2">
        <v>0</v>
      </c>
      <c r="X5" s="2">
        <v>0</v>
      </c>
    </row>
    <row r="6" spans="2:24" x14ac:dyDescent="0.35">
      <c r="C6" t="s">
        <v>103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2:24" x14ac:dyDescent="0.35">
      <c r="C7" t="s">
        <v>104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2:24" x14ac:dyDescent="0.35">
      <c r="B8" t="s">
        <v>105</v>
      </c>
      <c r="C8" t="s">
        <v>101</v>
      </c>
      <c r="D8" s="2">
        <v>4172192.78</v>
      </c>
      <c r="E8" s="2">
        <v>12019208.01</v>
      </c>
      <c r="F8" s="2">
        <v>11276323.779999999</v>
      </c>
      <c r="G8" s="2">
        <v>10800210.289999999</v>
      </c>
      <c r="H8" s="2">
        <v>9431475.3200000003</v>
      </c>
      <c r="I8" s="2">
        <v>8190408.2000000011</v>
      </c>
      <c r="J8" s="2">
        <v>7064070.6000000006</v>
      </c>
      <c r="K8" s="2">
        <v>6183012.370000001</v>
      </c>
      <c r="L8" s="2">
        <v>5490138.7999999998</v>
      </c>
      <c r="M8" s="2">
        <v>4803128.33</v>
      </c>
      <c r="N8" s="2">
        <v>4206896.46</v>
      </c>
      <c r="O8" s="2">
        <v>3960908.689999999</v>
      </c>
      <c r="P8" s="2">
        <v>2832363.8</v>
      </c>
      <c r="Q8" s="2">
        <v>2209288.5299999998</v>
      </c>
      <c r="R8" s="2">
        <v>1620989.78</v>
      </c>
      <c r="S8" s="2">
        <v>1231335.8400000001</v>
      </c>
      <c r="T8" s="2">
        <v>1000763.57</v>
      </c>
      <c r="U8" s="2">
        <v>873906.26</v>
      </c>
      <c r="V8" s="2">
        <v>602797.27</v>
      </c>
      <c r="W8" s="2">
        <v>403537.34</v>
      </c>
      <c r="X8" s="2">
        <v>45172.83</v>
      </c>
    </row>
    <row r="9" spans="2:24" x14ac:dyDescent="0.35">
      <c r="C9" t="s">
        <v>102</v>
      </c>
      <c r="D9" s="2">
        <v>381</v>
      </c>
      <c r="E9" s="2">
        <v>362</v>
      </c>
      <c r="F9" s="2">
        <v>334</v>
      </c>
      <c r="G9" s="2">
        <v>310</v>
      </c>
      <c r="H9" s="2">
        <v>255</v>
      </c>
      <c r="I9" s="2">
        <v>217</v>
      </c>
      <c r="J9" s="2">
        <v>192</v>
      </c>
      <c r="K9" s="2">
        <v>171</v>
      </c>
      <c r="L9" s="2">
        <v>158</v>
      </c>
      <c r="M9" s="2">
        <v>139</v>
      </c>
      <c r="N9" s="2">
        <v>125</v>
      </c>
      <c r="O9" s="2">
        <v>114</v>
      </c>
      <c r="P9" s="2">
        <v>67</v>
      </c>
      <c r="Q9" s="2">
        <v>52</v>
      </c>
      <c r="R9" s="2">
        <v>40</v>
      </c>
      <c r="S9" s="2">
        <v>30</v>
      </c>
      <c r="T9" s="2">
        <v>25</v>
      </c>
      <c r="U9" s="2">
        <v>21</v>
      </c>
      <c r="V9" s="2">
        <v>12</v>
      </c>
      <c r="W9" s="2">
        <v>8</v>
      </c>
      <c r="X9" s="2">
        <v>4</v>
      </c>
    </row>
    <row r="10" spans="2:24" x14ac:dyDescent="0.35">
      <c r="C10" t="s">
        <v>103</v>
      </c>
      <c r="D10" s="2">
        <v>20</v>
      </c>
      <c r="E10" s="2">
        <v>19</v>
      </c>
      <c r="F10" s="2">
        <v>16</v>
      </c>
      <c r="G10" s="2">
        <v>15</v>
      </c>
      <c r="H10" s="2">
        <v>14</v>
      </c>
      <c r="I10" s="2">
        <v>13</v>
      </c>
      <c r="J10" s="2">
        <v>13</v>
      </c>
      <c r="K10" s="2">
        <v>11</v>
      </c>
      <c r="L10" s="2">
        <v>8</v>
      </c>
      <c r="M10" s="2">
        <v>6</v>
      </c>
      <c r="N10" s="2">
        <v>5</v>
      </c>
      <c r="O10" s="2">
        <v>4</v>
      </c>
      <c r="P10" s="2">
        <v>4</v>
      </c>
      <c r="Q10" s="2">
        <v>2</v>
      </c>
      <c r="R10" s="2">
        <v>2</v>
      </c>
      <c r="S10" s="2">
        <v>2</v>
      </c>
      <c r="T10" s="2">
        <v>2</v>
      </c>
      <c r="U10" s="2">
        <v>1</v>
      </c>
      <c r="V10" s="2">
        <v>1</v>
      </c>
      <c r="W10" s="2">
        <v>0</v>
      </c>
      <c r="X10" s="2">
        <v>0</v>
      </c>
    </row>
    <row r="11" spans="2:24" x14ac:dyDescent="0.35">
      <c r="C11" t="s">
        <v>104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2:24" x14ac:dyDescent="0.35">
      <c r="B12" t="s">
        <v>106</v>
      </c>
      <c r="C12" t="s">
        <v>101</v>
      </c>
      <c r="D12" s="2">
        <v>20132175.710000001</v>
      </c>
      <c r="E12" s="2">
        <v>59954480.190000013</v>
      </c>
      <c r="F12" s="2">
        <v>57260127.359999999</v>
      </c>
      <c r="G12" s="2">
        <v>54356170.990000002</v>
      </c>
      <c r="H12" s="2">
        <v>51648478.700000003</v>
      </c>
      <c r="I12" s="2">
        <v>48203894.5</v>
      </c>
      <c r="J12" s="2">
        <v>44928320.439999998</v>
      </c>
      <c r="K12" s="2">
        <v>44573738.340000004</v>
      </c>
      <c r="L12" s="2">
        <v>39426946.020000003</v>
      </c>
      <c r="M12" s="2">
        <v>31588564.190000001</v>
      </c>
      <c r="N12" s="2">
        <v>26287580.600000001</v>
      </c>
      <c r="O12" s="2">
        <v>21874308.489999998</v>
      </c>
      <c r="P12" s="2">
        <v>17878154.77</v>
      </c>
      <c r="Q12" s="2">
        <v>11870226.17</v>
      </c>
      <c r="R12" s="2">
        <v>8561128.7399999984</v>
      </c>
      <c r="S12" s="2">
        <v>7809304.2799999993</v>
      </c>
      <c r="T12" s="2">
        <v>5663439.0700000003</v>
      </c>
      <c r="U12" s="2">
        <v>2304930.41</v>
      </c>
      <c r="V12" s="2">
        <v>1112244.18</v>
      </c>
      <c r="W12" s="2">
        <v>79641.679999999993</v>
      </c>
      <c r="X12" s="2">
        <v>0</v>
      </c>
    </row>
    <row r="13" spans="2:24" x14ac:dyDescent="0.35">
      <c r="C13" t="s">
        <v>102</v>
      </c>
      <c r="D13" s="2">
        <v>224</v>
      </c>
      <c r="E13" s="2">
        <v>222</v>
      </c>
      <c r="F13" s="2">
        <v>212</v>
      </c>
      <c r="G13" s="2">
        <v>199</v>
      </c>
      <c r="H13" s="2">
        <v>193</v>
      </c>
      <c r="I13" s="2">
        <v>184</v>
      </c>
      <c r="J13" s="2">
        <v>180</v>
      </c>
      <c r="K13" s="2">
        <v>179</v>
      </c>
      <c r="L13" s="2">
        <v>156</v>
      </c>
      <c r="M13" s="2">
        <v>98</v>
      </c>
      <c r="N13" s="2">
        <v>84</v>
      </c>
      <c r="O13" s="2">
        <v>74</v>
      </c>
      <c r="P13" s="2">
        <v>69</v>
      </c>
      <c r="Q13" s="2">
        <v>44</v>
      </c>
      <c r="R13" s="2">
        <v>34</v>
      </c>
      <c r="S13" s="2">
        <v>32</v>
      </c>
      <c r="T13" s="2">
        <v>15</v>
      </c>
      <c r="U13" s="2">
        <v>7</v>
      </c>
      <c r="V13" s="2">
        <v>3</v>
      </c>
      <c r="W13" s="2">
        <v>0</v>
      </c>
      <c r="X13" s="2">
        <v>0</v>
      </c>
    </row>
    <row r="14" spans="2:24" x14ac:dyDescent="0.35">
      <c r="C14" t="s">
        <v>103</v>
      </c>
      <c r="D14" s="2">
        <v>41</v>
      </c>
      <c r="E14" s="2">
        <v>40</v>
      </c>
      <c r="F14" s="2">
        <v>38</v>
      </c>
      <c r="G14" s="2">
        <v>37</v>
      </c>
      <c r="H14" s="2">
        <v>34</v>
      </c>
      <c r="I14" s="2">
        <v>22</v>
      </c>
      <c r="J14" s="2">
        <v>22</v>
      </c>
      <c r="K14" s="2">
        <v>22</v>
      </c>
      <c r="L14" s="2">
        <v>20</v>
      </c>
      <c r="M14" s="2">
        <v>20</v>
      </c>
      <c r="N14" s="2">
        <v>14</v>
      </c>
      <c r="O14" s="2">
        <v>13</v>
      </c>
      <c r="P14" s="2">
        <v>11</v>
      </c>
      <c r="Q14" s="2">
        <v>1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2:24" x14ac:dyDescent="0.35">
      <c r="C15" t="s">
        <v>104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2:24" x14ac:dyDescent="0.35">
      <c r="B16" t="s">
        <v>107</v>
      </c>
      <c r="C16" t="s">
        <v>101</v>
      </c>
      <c r="D16" s="2">
        <v>15239223.470000001</v>
      </c>
      <c r="E16" s="2">
        <v>43544645.149999999</v>
      </c>
      <c r="F16" s="2">
        <v>40600932.140000001</v>
      </c>
      <c r="G16" s="2">
        <v>38554929.809999987</v>
      </c>
      <c r="H16" s="2">
        <v>36734109.939999998</v>
      </c>
      <c r="I16" s="2">
        <v>34679424.369999997</v>
      </c>
      <c r="J16" s="2">
        <v>33100009.77</v>
      </c>
      <c r="K16" s="2">
        <v>31488271.239999998</v>
      </c>
      <c r="L16" s="2">
        <v>29323486.989999998</v>
      </c>
      <c r="M16" s="2">
        <v>26848804.079999998</v>
      </c>
      <c r="N16" s="2">
        <v>23259628.09</v>
      </c>
      <c r="O16" s="2">
        <v>20420569.010000002</v>
      </c>
      <c r="P16" s="2">
        <v>17459442.710000001</v>
      </c>
      <c r="Q16" s="2">
        <v>15592652.27</v>
      </c>
      <c r="R16" s="2">
        <v>12825379.68</v>
      </c>
      <c r="S16" s="2">
        <v>10432512.24</v>
      </c>
      <c r="T16" s="2">
        <v>8145642.9199999999</v>
      </c>
      <c r="U16" s="2">
        <v>6384272.7999999998</v>
      </c>
      <c r="V16" s="2">
        <v>3583867.28</v>
      </c>
      <c r="W16" s="2">
        <v>1643285.47</v>
      </c>
      <c r="X16" s="2">
        <v>296662.07000000012</v>
      </c>
    </row>
    <row r="17" spans="2:24" x14ac:dyDescent="0.35">
      <c r="C17" t="s">
        <v>102</v>
      </c>
      <c r="D17" s="2">
        <v>943</v>
      </c>
      <c r="E17" s="2">
        <v>856</v>
      </c>
      <c r="F17" s="2">
        <v>766</v>
      </c>
      <c r="G17" s="2">
        <v>717</v>
      </c>
      <c r="H17" s="2">
        <v>682</v>
      </c>
      <c r="I17" s="2">
        <v>635</v>
      </c>
      <c r="J17" s="2">
        <v>610</v>
      </c>
      <c r="K17" s="2">
        <v>561</v>
      </c>
      <c r="L17" s="2">
        <v>527</v>
      </c>
      <c r="M17" s="2">
        <v>473</v>
      </c>
      <c r="N17" s="2">
        <v>401</v>
      </c>
      <c r="O17" s="2">
        <v>348</v>
      </c>
      <c r="P17" s="2">
        <v>309</v>
      </c>
      <c r="Q17" s="2">
        <v>265</v>
      </c>
      <c r="R17" s="2">
        <v>205</v>
      </c>
      <c r="S17" s="2">
        <v>165</v>
      </c>
      <c r="T17" s="2">
        <v>131</v>
      </c>
      <c r="U17" s="2">
        <v>102</v>
      </c>
      <c r="V17" s="2">
        <v>61</v>
      </c>
      <c r="W17" s="2">
        <v>39</v>
      </c>
      <c r="X17" s="2">
        <v>30</v>
      </c>
    </row>
    <row r="18" spans="2:24" x14ac:dyDescent="0.35">
      <c r="C18" t="s">
        <v>103</v>
      </c>
      <c r="D18" s="2">
        <v>262</v>
      </c>
      <c r="E18" s="2">
        <v>259</v>
      </c>
      <c r="F18" s="2">
        <v>248</v>
      </c>
      <c r="G18" s="2">
        <v>232</v>
      </c>
      <c r="H18" s="2">
        <v>216</v>
      </c>
      <c r="I18" s="2">
        <v>200</v>
      </c>
      <c r="J18" s="2">
        <v>194</v>
      </c>
      <c r="K18" s="2">
        <v>185</v>
      </c>
      <c r="L18" s="2">
        <v>163</v>
      </c>
      <c r="M18" s="2">
        <v>146</v>
      </c>
      <c r="N18" s="2">
        <v>133</v>
      </c>
      <c r="O18" s="2">
        <v>113</v>
      </c>
      <c r="P18" s="2">
        <v>100</v>
      </c>
      <c r="Q18" s="2">
        <v>88</v>
      </c>
      <c r="R18" s="2">
        <v>79</v>
      </c>
      <c r="S18" s="2">
        <v>60</v>
      </c>
      <c r="T18" s="2">
        <v>45</v>
      </c>
      <c r="U18" s="2">
        <v>30</v>
      </c>
      <c r="V18" s="2">
        <v>10</v>
      </c>
      <c r="W18" s="2">
        <v>2</v>
      </c>
      <c r="X18" s="2">
        <v>1</v>
      </c>
    </row>
    <row r="19" spans="2:24" x14ac:dyDescent="0.35">
      <c r="C19" t="s">
        <v>104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</row>
    <row r="20" spans="2:24" x14ac:dyDescent="0.35">
      <c r="B20" t="s">
        <v>108</v>
      </c>
      <c r="C20" t="s">
        <v>101</v>
      </c>
      <c r="D20" s="2">
        <v>8735.23</v>
      </c>
      <c r="E20" s="2">
        <v>18879.75</v>
      </c>
      <c r="F20" s="2">
        <v>3608.66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2:24" x14ac:dyDescent="0.35">
      <c r="C21" t="s">
        <v>102</v>
      </c>
      <c r="D21" s="2">
        <v>11</v>
      </c>
      <c r="E21" s="2">
        <v>4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 spans="2:24" x14ac:dyDescent="0.35">
      <c r="C22" t="s">
        <v>103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</row>
    <row r="23" spans="2:24" x14ac:dyDescent="0.35">
      <c r="C23" t="s">
        <v>104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</row>
    <row r="24" spans="2:24" x14ac:dyDescent="0.35">
      <c r="B24" t="s">
        <v>109</v>
      </c>
      <c r="C24" t="s">
        <v>101</v>
      </c>
      <c r="D24" s="2">
        <v>94747081.370000005</v>
      </c>
      <c r="E24" s="2">
        <v>271473530.81999999</v>
      </c>
      <c r="F24" s="2">
        <v>250595661.15000001</v>
      </c>
      <c r="G24" s="2">
        <v>231058488.36000001</v>
      </c>
      <c r="H24" s="2">
        <v>212772349.18000001</v>
      </c>
      <c r="I24" s="2">
        <v>188958698.78</v>
      </c>
      <c r="J24" s="2">
        <v>166860280.56999999</v>
      </c>
      <c r="K24" s="2">
        <v>151184883.72</v>
      </c>
      <c r="L24" s="2">
        <v>130609246.06</v>
      </c>
      <c r="M24" s="2">
        <v>108501834.70999999</v>
      </c>
      <c r="N24" s="2">
        <v>88184665.520000011</v>
      </c>
      <c r="O24" s="2">
        <v>73906868.379999995</v>
      </c>
      <c r="P24" s="2">
        <v>57819339.25</v>
      </c>
      <c r="Q24" s="2">
        <v>45282395.93</v>
      </c>
      <c r="R24" s="2">
        <v>31377257.440000001</v>
      </c>
      <c r="S24" s="2">
        <v>25103980.75</v>
      </c>
      <c r="T24" s="2">
        <v>17552691.949999999</v>
      </c>
      <c r="U24" s="2">
        <v>11073701.560000001</v>
      </c>
      <c r="V24" s="2">
        <v>8147237.1900000004</v>
      </c>
      <c r="W24" s="2">
        <v>5326074.97</v>
      </c>
      <c r="X24" s="2">
        <v>1117617.8600000001</v>
      </c>
    </row>
    <row r="25" spans="2:24" x14ac:dyDescent="0.35">
      <c r="C25" t="s">
        <v>102</v>
      </c>
      <c r="D25" s="2">
        <v>6835</v>
      </c>
      <c r="E25" s="2">
        <v>6198</v>
      </c>
      <c r="F25" s="2">
        <v>5546</v>
      </c>
      <c r="G25" s="2">
        <v>5008</v>
      </c>
      <c r="H25" s="2">
        <v>4439</v>
      </c>
      <c r="I25" s="2">
        <v>3882</v>
      </c>
      <c r="J25" s="2">
        <v>3419</v>
      </c>
      <c r="K25" s="2">
        <v>2942</v>
      </c>
      <c r="L25" s="2">
        <v>2368</v>
      </c>
      <c r="M25" s="2">
        <v>1885</v>
      </c>
      <c r="N25" s="2">
        <v>1525</v>
      </c>
      <c r="O25" s="2">
        <v>1258</v>
      </c>
      <c r="P25" s="2">
        <v>1002</v>
      </c>
      <c r="Q25" s="2">
        <v>834</v>
      </c>
      <c r="R25" s="2">
        <v>614</v>
      </c>
      <c r="S25" s="2">
        <v>502</v>
      </c>
      <c r="T25" s="2">
        <v>359</v>
      </c>
      <c r="U25" s="2">
        <v>185</v>
      </c>
      <c r="V25" s="2">
        <v>106</v>
      </c>
      <c r="W25" s="2">
        <v>46</v>
      </c>
      <c r="X25" s="2">
        <v>21</v>
      </c>
    </row>
    <row r="26" spans="2:24" x14ac:dyDescent="0.35">
      <c r="C26" t="s">
        <v>103</v>
      </c>
      <c r="D26" s="2">
        <v>1736</v>
      </c>
      <c r="E26" s="2">
        <v>1675</v>
      </c>
      <c r="F26" s="2">
        <v>1626</v>
      </c>
      <c r="G26" s="2">
        <v>1582</v>
      </c>
      <c r="H26" s="2">
        <v>1521</v>
      </c>
      <c r="I26" s="2">
        <v>1409</v>
      </c>
      <c r="J26" s="2">
        <v>1316</v>
      </c>
      <c r="K26" s="2">
        <v>1252</v>
      </c>
      <c r="L26" s="2">
        <v>1124</v>
      </c>
      <c r="M26" s="2">
        <v>1069</v>
      </c>
      <c r="N26" s="2">
        <v>1012</v>
      </c>
      <c r="O26" s="2">
        <v>906</v>
      </c>
      <c r="P26" s="2">
        <v>726</v>
      </c>
      <c r="Q26" s="2">
        <v>403</v>
      </c>
      <c r="R26" s="2">
        <v>250</v>
      </c>
      <c r="S26" s="2">
        <v>232</v>
      </c>
      <c r="T26" s="2">
        <v>187</v>
      </c>
      <c r="U26" s="2">
        <v>142</v>
      </c>
      <c r="V26" s="2">
        <v>124</v>
      </c>
      <c r="W26" s="2">
        <v>102</v>
      </c>
      <c r="X26" s="2">
        <v>99</v>
      </c>
    </row>
    <row r="27" spans="2:24" x14ac:dyDescent="0.35">
      <c r="C27" t="s">
        <v>104</v>
      </c>
      <c r="D27" s="2">
        <v>1</v>
      </c>
      <c r="E27" s="2">
        <v>1</v>
      </c>
      <c r="F27" s="2">
        <v>1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</row>
    <row r="28" spans="2:24" x14ac:dyDescent="0.35">
      <c r="B28" t="s">
        <v>110</v>
      </c>
      <c r="C28" t="s">
        <v>101</v>
      </c>
      <c r="D28" s="2">
        <v>2773746.66</v>
      </c>
      <c r="E28" s="2">
        <v>8088133.6399999997</v>
      </c>
      <c r="F28" s="2">
        <v>7780164.9299999997</v>
      </c>
      <c r="G28" s="2">
        <v>7393018.1400000006</v>
      </c>
      <c r="H28" s="2">
        <v>7231655.0399999991</v>
      </c>
      <c r="I28" s="2">
        <v>7073482.9700000007</v>
      </c>
      <c r="J28" s="2">
        <v>6938708.6199999992</v>
      </c>
      <c r="K28" s="2">
        <v>6698953.7000000002</v>
      </c>
      <c r="L28" s="2">
        <v>6255271.3499999996</v>
      </c>
      <c r="M28" s="2">
        <v>5400938.7999999998</v>
      </c>
      <c r="N28" s="2">
        <v>3116806.47</v>
      </c>
      <c r="O28" s="2">
        <v>2682340.08</v>
      </c>
      <c r="P28" s="2">
        <v>2117248.2200000002</v>
      </c>
      <c r="Q28" s="2">
        <v>1499648.49</v>
      </c>
      <c r="R28" s="2">
        <v>1286398.4099999999</v>
      </c>
      <c r="S28" s="2">
        <v>1039238.4</v>
      </c>
      <c r="T28" s="2">
        <v>768957.59000000008</v>
      </c>
      <c r="U28" s="2">
        <v>540944.75</v>
      </c>
      <c r="V28" s="2">
        <v>396790.5</v>
      </c>
      <c r="W28" s="2">
        <v>280061.58</v>
      </c>
      <c r="X28" s="2">
        <v>7767.29</v>
      </c>
    </row>
    <row r="29" spans="2:24" x14ac:dyDescent="0.35">
      <c r="C29" t="s">
        <v>102</v>
      </c>
      <c r="D29" s="2">
        <v>170</v>
      </c>
      <c r="E29" s="2">
        <v>152</v>
      </c>
      <c r="F29" s="2">
        <v>148</v>
      </c>
      <c r="G29" s="2">
        <v>138</v>
      </c>
      <c r="H29" s="2">
        <v>134</v>
      </c>
      <c r="I29" s="2">
        <v>126</v>
      </c>
      <c r="J29" s="2">
        <v>124</v>
      </c>
      <c r="K29" s="2">
        <v>118</v>
      </c>
      <c r="L29" s="2">
        <v>108</v>
      </c>
      <c r="M29" s="2">
        <v>90</v>
      </c>
      <c r="N29" s="2">
        <v>79</v>
      </c>
      <c r="O29" s="2">
        <v>62</v>
      </c>
      <c r="P29" s="2">
        <v>42</v>
      </c>
      <c r="Q29" s="2">
        <v>29</v>
      </c>
      <c r="R29" s="2">
        <v>24</v>
      </c>
      <c r="S29" s="2">
        <v>18</v>
      </c>
      <c r="T29" s="2">
        <v>10</v>
      </c>
      <c r="U29" s="2">
        <v>7</v>
      </c>
      <c r="V29" s="2">
        <v>4</v>
      </c>
      <c r="W29" s="2">
        <v>2</v>
      </c>
      <c r="X29" s="2">
        <v>1</v>
      </c>
    </row>
    <row r="30" spans="2:24" x14ac:dyDescent="0.35">
      <c r="C30" t="s">
        <v>103</v>
      </c>
      <c r="D30" s="2">
        <v>9</v>
      </c>
      <c r="E30" s="2">
        <v>9</v>
      </c>
      <c r="F30" s="2">
        <v>9</v>
      </c>
      <c r="G30" s="2">
        <v>8</v>
      </c>
      <c r="H30" s="2">
        <v>8</v>
      </c>
      <c r="I30" s="2">
        <v>8</v>
      </c>
      <c r="J30" s="2">
        <v>8</v>
      </c>
      <c r="K30" s="2">
        <v>8</v>
      </c>
      <c r="L30" s="2">
        <v>7</v>
      </c>
      <c r="M30" s="2">
        <v>7</v>
      </c>
      <c r="N30" s="2">
        <v>2</v>
      </c>
      <c r="O30" s="2">
        <v>2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0</v>
      </c>
      <c r="X30" s="2">
        <v>0</v>
      </c>
    </row>
    <row r="31" spans="2:24" x14ac:dyDescent="0.35">
      <c r="C31" t="s">
        <v>104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</row>
    <row r="32" spans="2:24" x14ac:dyDescent="0.35">
      <c r="B32" t="s">
        <v>111</v>
      </c>
      <c r="C32" t="s">
        <v>101</v>
      </c>
      <c r="D32" s="2">
        <v>14727819.75</v>
      </c>
      <c r="E32" s="2">
        <v>43484822.469999999</v>
      </c>
      <c r="F32" s="2">
        <v>42060239.649999999</v>
      </c>
      <c r="G32" s="2">
        <v>41048597.159999996</v>
      </c>
      <c r="H32" s="2">
        <v>40249693.509999998</v>
      </c>
      <c r="I32" s="2">
        <v>37343237.359999999</v>
      </c>
      <c r="J32" s="2">
        <v>35230271.780000001</v>
      </c>
      <c r="K32" s="2">
        <v>33658427.43</v>
      </c>
      <c r="L32" s="2">
        <v>28269328.579999998</v>
      </c>
      <c r="M32" s="2">
        <v>23834187.010000002</v>
      </c>
      <c r="N32" s="2">
        <v>18615466.370000001</v>
      </c>
      <c r="O32" s="2">
        <v>15687322.08</v>
      </c>
      <c r="P32" s="2">
        <v>13839088.960000001</v>
      </c>
      <c r="Q32" s="2">
        <v>11993376.720000001</v>
      </c>
      <c r="R32" s="2">
        <v>8846599.9399999995</v>
      </c>
      <c r="S32" s="2">
        <v>7072076.4800000004</v>
      </c>
      <c r="T32" s="2">
        <v>3653911.16</v>
      </c>
      <c r="U32" s="2">
        <v>2445260.02</v>
      </c>
      <c r="V32" s="2">
        <v>1467045.22</v>
      </c>
      <c r="W32" s="2">
        <v>930603.07</v>
      </c>
      <c r="X32" s="2">
        <v>224995.19</v>
      </c>
    </row>
    <row r="33" spans="2:24" x14ac:dyDescent="0.35">
      <c r="C33" t="s">
        <v>102</v>
      </c>
      <c r="D33" s="2">
        <v>455</v>
      </c>
      <c r="E33" s="2">
        <v>430</v>
      </c>
      <c r="F33" s="2">
        <v>403</v>
      </c>
      <c r="G33" s="2">
        <v>375</v>
      </c>
      <c r="H33" s="2">
        <v>358</v>
      </c>
      <c r="I33" s="2">
        <v>337</v>
      </c>
      <c r="J33" s="2">
        <v>319</v>
      </c>
      <c r="K33" s="2">
        <v>308</v>
      </c>
      <c r="L33" s="2">
        <v>271</v>
      </c>
      <c r="M33" s="2">
        <v>207</v>
      </c>
      <c r="N33" s="2">
        <v>138</v>
      </c>
      <c r="O33" s="2">
        <v>118</v>
      </c>
      <c r="P33" s="2">
        <v>108</v>
      </c>
      <c r="Q33" s="2">
        <v>85</v>
      </c>
      <c r="R33" s="2">
        <v>71</v>
      </c>
      <c r="S33" s="2">
        <v>66</v>
      </c>
      <c r="T33" s="2">
        <v>38</v>
      </c>
      <c r="U33" s="2">
        <v>29</v>
      </c>
      <c r="V33" s="2">
        <v>20</v>
      </c>
      <c r="W33" s="2">
        <v>9</v>
      </c>
      <c r="X33" s="2">
        <v>5</v>
      </c>
    </row>
    <row r="34" spans="2:24" x14ac:dyDescent="0.35">
      <c r="C34" t="s">
        <v>103</v>
      </c>
      <c r="D34" s="2">
        <v>280</v>
      </c>
      <c r="E34" s="2">
        <v>279</v>
      </c>
      <c r="F34" s="2">
        <v>262</v>
      </c>
      <c r="G34" s="2">
        <v>258</v>
      </c>
      <c r="H34" s="2">
        <v>258</v>
      </c>
      <c r="I34" s="2">
        <v>226</v>
      </c>
      <c r="J34" s="2">
        <v>222</v>
      </c>
      <c r="K34" s="2">
        <v>198</v>
      </c>
      <c r="L34" s="2">
        <v>180</v>
      </c>
      <c r="M34" s="2">
        <v>164</v>
      </c>
      <c r="N34" s="2">
        <v>144</v>
      </c>
      <c r="O34" s="2">
        <v>118</v>
      </c>
      <c r="P34" s="2">
        <v>103</v>
      </c>
      <c r="Q34" s="2">
        <v>67</v>
      </c>
      <c r="R34" s="2">
        <v>51</v>
      </c>
      <c r="S34" s="2">
        <v>36</v>
      </c>
      <c r="T34" s="2">
        <v>20</v>
      </c>
      <c r="U34" s="2">
        <v>14</v>
      </c>
      <c r="V34" s="2">
        <v>6</v>
      </c>
      <c r="W34" s="2">
        <v>6</v>
      </c>
      <c r="X34" s="2">
        <v>6</v>
      </c>
    </row>
    <row r="35" spans="2:24" x14ac:dyDescent="0.35">
      <c r="C35" t="s">
        <v>104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</row>
    <row r="36" spans="2:24" x14ac:dyDescent="0.35">
      <c r="B36" t="s">
        <v>112</v>
      </c>
      <c r="C36" t="s">
        <v>101</v>
      </c>
      <c r="D36" s="2">
        <v>31499173.600000001</v>
      </c>
      <c r="E36" s="2">
        <v>89356304.620000005</v>
      </c>
      <c r="F36" s="2">
        <v>82279494.400000006</v>
      </c>
      <c r="G36" s="2">
        <v>74761200.109999999</v>
      </c>
      <c r="H36" s="2">
        <v>67458893.25</v>
      </c>
      <c r="I36" s="2">
        <v>60208442.770000003</v>
      </c>
      <c r="J36" s="2">
        <v>52181367.07</v>
      </c>
      <c r="K36" s="2">
        <v>46513337.759999998</v>
      </c>
      <c r="L36" s="2">
        <v>40940754.75</v>
      </c>
      <c r="M36" s="2">
        <v>33752928.32</v>
      </c>
      <c r="N36" s="2">
        <v>26989394.91</v>
      </c>
      <c r="O36" s="2">
        <v>22962602.489999998</v>
      </c>
      <c r="P36" s="2">
        <v>18742589.989999998</v>
      </c>
      <c r="Q36" s="2">
        <v>15664535.039999999</v>
      </c>
      <c r="R36" s="2">
        <v>12310247.359999999</v>
      </c>
      <c r="S36" s="2">
        <v>9735903.4099999983</v>
      </c>
      <c r="T36" s="2">
        <v>7665867.8300000001</v>
      </c>
      <c r="U36" s="2">
        <v>6978263.7799999993</v>
      </c>
      <c r="V36" s="2">
        <v>3611876.31</v>
      </c>
      <c r="W36" s="2">
        <v>1984202.73</v>
      </c>
      <c r="X36" s="2">
        <v>218819.86</v>
      </c>
    </row>
    <row r="37" spans="2:24" x14ac:dyDescent="0.35">
      <c r="C37" t="s">
        <v>102</v>
      </c>
      <c r="D37" s="2">
        <v>2497</v>
      </c>
      <c r="E37" s="2">
        <v>2268</v>
      </c>
      <c r="F37" s="2">
        <v>2071</v>
      </c>
      <c r="G37" s="2">
        <v>1849</v>
      </c>
      <c r="H37" s="2">
        <v>1625</v>
      </c>
      <c r="I37" s="2">
        <v>1421</v>
      </c>
      <c r="J37" s="2">
        <v>1233</v>
      </c>
      <c r="K37" s="2">
        <v>1091</v>
      </c>
      <c r="L37" s="2">
        <v>913</v>
      </c>
      <c r="M37" s="2">
        <v>708</v>
      </c>
      <c r="N37" s="2">
        <v>555</v>
      </c>
      <c r="O37" s="2">
        <v>464</v>
      </c>
      <c r="P37" s="2">
        <v>364</v>
      </c>
      <c r="Q37" s="2">
        <v>299</v>
      </c>
      <c r="R37" s="2">
        <v>225</v>
      </c>
      <c r="S37" s="2">
        <v>178</v>
      </c>
      <c r="T37" s="2">
        <v>141</v>
      </c>
      <c r="U37" s="2">
        <v>124</v>
      </c>
      <c r="V37" s="2">
        <v>56</v>
      </c>
      <c r="W37" s="2">
        <v>31</v>
      </c>
      <c r="X37" s="2">
        <v>18</v>
      </c>
    </row>
    <row r="38" spans="2:24" x14ac:dyDescent="0.35">
      <c r="C38" t="s">
        <v>103</v>
      </c>
      <c r="D38" s="2">
        <v>247</v>
      </c>
      <c r="E38" s="2">
        <v>223</v>
      </c>
      <c r="F38" s="2">
        <v>207</v>
      </c>
      <c r="G38" s="2">
        <v>201</v>
      </c>
      <c r="H38" s="2">
        <v>198</v>
      </c>
      <c r="I38" s="2">
        <v>186</v>
      </c>
      <c r="J38" s="2">
        <v>178</v>
      </c>
      <c r="K38" s="2">
        <v>168</v>
      </c>
      <c r="L38" s="2">
        <v>162</v>
      </c>
      <c r="M38" s="2">
        <v>135</v>
      </c>
      <c r="N38" s="2">
        <v>107</v>
      </c>
      <c r="O38" s="2">
        <v>93</v>
      </c>
      <c r="P38" s="2">
        <v>91</v>
      </c>
      <c r="Q38" s="2">
        <v>42</v>
      </c>
      <c r="R38" s="2">
        <v>33</v>
      </c>
      <c r="S38" s="2">
        <v>26</v>
      </c>
      <c r="T38" s="2">
        <v>16</v>
      </c>
      <c r="U38" s="2">
        <v>16</v>
      </c>
      <c r="V38" s="2">
        <v>6</v>
      </c>
      <c r="W38" s="2">
        <v>5</v>
      </c>
      <c r="X38" s="2">
        <v>1</v>
      </c>
    </row>
    <row r="39" spans="2:24" x14ac:dyDescent="0.35">
      <c r="C39" t="s">
        <v>104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</row>
    <row r="40" spans="2:24" x14ac:dyDescent="0.35">
      <c r="B40" t="s">
        <v>113</v>
      </c>
      <c r="C40" t="s">
        <v>101</v>
      </c>
      <c r="D40" s="2">
        <v>5269001.5</v>
      </c>
      <c r="E40" s="2">
        <v>15612759.93</v>
      </c>
      <c r="F40" s="2">
        <v>14794583.960000001</v>
      </c>
      <c r="G40" s="2">
        <v>14109814.390000001</v>
      </c>
      <c r="H40" s="2">
        <v>13679516.48</v>
      </c>
      <c r="I40" s="2">
        <v>13356480.699999999</v>
      </c>
      <c r="J40" s="2">
        <v>12239921.73</v>
      </c>
      <c r="K40" s="2">
        <v>10353891.859999999</v>
      </c>
      <c r="L40" s="2">
        <v>9397576.0300000012</v>
      </c>
      <c r="M40" s="2">
        <v>8936642.0800000019</v>
      </c>
      <c r="N40" s="2">
        <v>6345677.7000000002</v>
      </c>
      <c r="O40" s="2">
        <v>1244904.55</v>
      </c>
      <c r="P40" s="2">
        <v>485113.26</v>
      </c>
      <c r="Q40" s="2">
        <v>428564.73</v>
      </c>
      <c r="R40" s="2">
        <v>340048.66</v>
      </c>
      <c r="S40" s="2">
        <v>323446.39</v>
      </c>
      <c r="T40" s="2">
        <v>290598.01</v>
      </c>
      <c r="U40" s="2">
        <v>282713.42999999988</v>
      </c>
      <c r="V40" s="2">
        <v>282713.42999999988</v>
      </c>
      <c r="W40" s="2">
        <v>264177.71000000002</v>
      </c>
      <c r="X40" s="2">
        <v>75702.089999999982</v>
      </c>
    </row>
    <row r="41" spans="2:24" x14ac:dyDescent="0.35">
      <c r="C41" t="s">
        <v>102</v>
      </c>
      <c r="D41" s="2">
        <v>258</v>
      </c>
      <c r="E41" s="2">
        <v>252</v>
      </c>
      <c r="F41" s="2">
        <v>233</v>
      </c>
      <c r="G41" s="2">
        <v>232</v>
      </c>
      <c r="H41" s="2">
        <v>218</v>
      </c>
      <c r="I41" s="2">
        <v>205</v>
      </c>
      <c r="J41" s="2">
        <v>145</v>
      </c>
      <c r="K41" s="2">
        <v>104</v>
      </c>
      <c r="L41" s="2">
        <v>67</v>
      </c>
      <c r="M41" s="2">
        <v>58</v>
      </c>
      <c r="N41" s="2">
        <v>47</v>
      </c>
      <c r="O41" s="2">
        <v>21</v>
      </c>
      <c r="P41" s="2">
        <v>19</v>
      </c>
      <c r="Q41" s="2">
        <v>16</v>
      </c>
      <c r="R41" s="2">
        <v>15</v>
      </c>
      <c r="S41" s="2">
        <v>14</v>
      </c>
      <c r="T41" s="2">
        <v>13</v>
      </c>
      <c r="U41" s="2">
        <v>13</v>
      </c>
      <c r="V41" s="2">
        <v>13</v>
      </c>
      <c r="W41" s="2">
        <v>12</v>
      </c>
      <c r="X41" s="2">
        <v>12</v>
      </c>
    </row>
    <row r="42" spans="2:24" x14ac:dyDescent="0.35">
      <c r="C42" t="s">
        <v>103</v>
      </c>
      <c r="D42" s="2">
        <v>93</v>
      </c>
      <c r="E42" s="2">
        <v>93</v>
      </c>
      <c r="F42" s="2">
        <v>93</v>
      </c>
      <c r="G42" s="2">
        <v>93</v>
      </c>
      <c r="H42" s="2">
        <v>93</v>
      </c>
      <c r="I42" s="2">
        <v>93</v>
      </c>
      <c r="J42" s="2">
        <v>93</v>
      </c>
      <c r="K42" s="2">
        <v>93</v>
      </c>
      <c r="L42" s="2">
        <v>93</v>
      </c>
      <c r="M42" s="2">
        <v>93</v>
      </c>
      <c r="N42" s="2">
        <v>25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</row>
    <row r="43" spans="2:24" x14ac:dyDescent="0.35">
      <c r="C43" t="s">
        <v>104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</row>
    <row r="44" spans="2:24" x14ac:dyDescent="0.35">
      <c r="B44" t="s">
        <v>114</v>
      </c>
      <c r="C44" t="s">
        <v>101</v>
      </c>
      <c r="D44" s="2">
        <v>208163.19</v>
      </c>
      <c r="E44" s="2">
        <v>624489.57000000007</v>
      </c>
      <c r="F44" s="2">
        <v>624489.57000000007</v>
      </c>
      <c r="G44" s="2">
        <v>624489.57000000007</v>
      </c>
      <c r="H44" s="2">
        <v>624489.57000000007</v>
      </c>
      <c r="I44" s="2">
        <v>587851.4</v>
      </c>
      <c r="J44" s="2">
        <v>496171.15</v>
      </c>
      <c r="K44" s="2">
        <v>459363.33</v>
      </c>
      <c r="L44" s="2">
        <v>422854.51</v>
      </c>
      <c r="M44" s="2">
        <v>404600.1</v>
      </c>
      <c r="N44" s="2">
        <v>350028.27</v>
      </c>
      <c r="O44" s="2">
        <v>331560.51</v>
      </c>
      <c r="P44" s="2">
        <v>294624.99</v>
      </c>
      <c r="Q44" s="2">
        <v>30173.43</v>
      </c>
      <c r="R44" s="2">
        <v>30173.43</v>
      </c>
      <c r="S44" s="2">
        <v>30173.43</v>
      </c>
      <c r="T44" s="2">
        <v>30173.43</v>
      </c>
      <c r="U44" s="2">
        <v>30173.43</v>
      </c>
      <c r="V44" s="2">
        <v>30173.43</v>
      </c>
      <c r="W44" s="2">
        <v>10057.81</v>
      </c>
      <c r="X44" s="2">
        <v>0</v>
      </c>
    </row>
    <row r="45" spans="2:24" x14ac:dyDescent="0.35">
      <c r="C45" t="s">
        <v>102</v>
      </c>
      <c r="D45" s="2">
        <v>4</v>
      </c>
      <c r="E45" s="2">
        <v>4</v>
      </c>
      <c r="F45" s="2">
        <v>4</v>
      </c>
      <c r="G45" s="2">
        <v>4</v>
      </c>
      <c r="H45" s="2">
        <v>4</v>
      </c>
      <c r="I45" s="2">
        <v>4</v>
      </c>
      <c r="J45" s="2">
        <v>3</v>
      </c>
      <c r="K45" s="2">
        <v>3</v>
      </c>
      <c r="L45" s="2">
        <v>2</v>
      </c>
      <c r="M45" s="2">
        <v>2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</row>
    <row r="46" spans="2:24" x14ac:dyDescent="0.35">
      <c r="C46" t="s">
        <v>103</v>
      </c>
      <c r="D46" s="2">
        <v>9</v>
      </c>
      <c r="E46" s="2">
        <v>9</v>
      </c>
      <c r="F46" s="2">
        <v>9</v>
      </c>
      <c r="G46" s="2">
        <v>9</v>
      </c>
      <c r="H46" s="2">
        <v>9</v>
      </c>
      <c r="I46" s="2">
        <v>6</v>
      </c>
      <c r="J46" s="2">
        <v>6</v>
      </c>
      <c r="K46" s="2">
        <v>6</v>
      </c>
      <c r="L46" s="2">
        <v>6</v>
      </c>
      <c r="M46" s="2">
        <v>6</v>
      </c>
      <c r="N46" s="2">
        <v>6</v>
      </c>
      <c r="O46" s="2">
        <v>6</v>
      </c>
      <c r="P46" s="2">
        <v>6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</row>
    <row r="47" spans="2:24" x14ac:dyDescent="0.35">
      <c r="C47" t="s">
        <v>104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0</v>
      </c>
      <c r="X47" s="2">
        <v>0</v>
      </c>
    </row>
    <row r="48" spans="2:24" x14ac:dyDescent="0.35">
      <c r="B48" t="s">
        <v>115</v>
      </c>
      <c r="C48" t="s">
        <v>101</v>
      </c>
      <c r="D48" s="2">
        <v>150718.92000000001</v>
      </c>
      <c r="E48" s="2">
        <v>452156.76</v>
      </c>
      <c r="F48" s="2">
        <v>452156.76</v>
      </c>
      <c r="G48" s="2">
        <v>452156.76</v>
      </c>
      <c r="H48" s="2">
        <v>452156.76</v>
      </c>
      <c r="I48" s="2">
        <v>452156.76</v>
      </c>
      <c r="J48" s="2">
        <v>452156.76</v>
      </c>
      <c r="K48" s="2">
        <v>452156.76</v>
      </c>
      <c r="L48" s="2">
        <v>421501.34</v>
      </c>
      <c r="M48" s="2">
        <v>360190.5</v>
      </c>
      <c r="N48" s="2">
        <v>360190.5</v>
      </c>
      <c r="O48" s="2">
        <v>345701.1</v>
      </c>
      <c r="P48" s="2">
        <v>320930.5</v>
      </c>
      <c r="Q48" s="2">
        <v>312167.55</v>
      </c>
      <c r="R48" s="2">
        <v>312167.55</v>
      </c>
      <c r="S48" s="2">
        <v>312167.55</v>
      </c>
      <c r="T48" s="2">
        <v>312167.55</v>
      </c>
      <c r="U48" s="2">
        <v>312167.55</v>
      </c>
      <c r="V48" s="2">
        <v>288963.19</v>
      </c>
      <c r="W48" s="2">
        <v>224108.29</v>
      </c>
      <c r="X48" s="2">
        <v>0</v>
      </c>
    </row>
    <row r="49" spans="2:24" x14ac:dyDescent="0.35">
      <c r="C49" t="s">
        <v>102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</row>
    <row r="50" spans="2:24" x14ac:dyDescent="0.35">
      <c r="C50" t="s">
        <v>103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</row>
    <row r="51" spans="2:24" x14ac:dyDescent="0.35">
      <c r="C51" t="s">
        <v>104</v>
      </c>
      <c r="D51" s="2">
        <v>9</v>
      </c>
      <c r="E51" s="2">
        <v>9</v>
      </c>
      <c r="F51" s="2">
        <v>9</v>
      </c>
      <c r="G51" s="2">
        <v>9</v>
      </c>
      <c r="H51" s="2">
        <v>9</v>
      </c>
      <c r="I51" s="2">
        <v>9</v>
      </c>
      <c r="J51" s="2">
        <v>9</v>
      </c>
      <c r="K51" s="2">
        <v>9</v>
      </c>
      <c r="L51" s="2">
        <v>8</v>
      </c>
      <c r="M51" s="2">
        <v>8</v>
      </c>
      <c r="N51" s="2">
        <v>8</v>
      </c>
      <c r="O51" s="2">
        <v>7</v>
      </c>
      <c r="P51" s="2">
        <v>6</v>
      </c>
      <c r="Q51" s="2">
        <v>6</v>
      </c>
      <c r="R51" s="2">
        <v>6</v>
      </c>
      <c r="S51" s="2">
        <v>6</v>
      </c>
      <c r="T51" s="2">
        <v>6</v>
      </c>
      <c r="U51" s="2">
        <v>6</v>
      </c>
      <c r="V51" s="2">
        <v>5</v>
      </c>
      <c r="W51" s="2">
        <v>3</v>
      </c>
      <c r="X51" s="2">
        <v>0</v>
      </c>
    </row>
    <row r="52" spans="2:24" x14ac:dyDescent="0.35">
      <c r="B52" t="s">
        <v>116</v>
      </c>
      <c r="C52" t="s">
        <v>101</v>
      </c>
      <c r="D52" s="2">
        <v>40982.509999999987</v>
      </c>
      <c r="E52" s="2">
        <v>122947.53</v>
      </c>
      <c r="F52" s="2">
        <v>122947.53</v>
      </c>
      <c r="G52" s="2">
        <v>117566.19</v>
      </c>
      <c r="H52" s="2">
        <v>106803.51</v>
      </c>
      <c r="I52" s="2">
        <v>106803.51</v>
      </c>
      <c r="J52" s="2">
        <v>106803.51</v>
      </c>
      <c r="K52" s="2">
        <v>106803.51</v>
      </c>
      <c r="L52" s="2">
        <v>106803.51</v>
      </c>
      <c r="M52" s="2">
        <v>106803.51</v>
      </c>
      <c r="N52" s="2">
        <v>106803.51</v>
      </c>
      <c r="O52" s="2">
        <v>78069.650000000009</v>
      </c>
      <c r="P52" s="2">
        <v>8045.15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</row>
    <row r="53" spans="2:24" x14ac:dyDescent="0.35">
      <c r="C53" t="s">
        <v>102</v>
      </c>
      <c r="D53" s="2">
        <v>2</v>
      </c>
      <c r="E53" s="2">
        <v>2</v>
      </c>
      <c r="F53" s="2">
        <v>2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</row>
    <row r="54" spans="2:24" x14ac:dyDescent="0.35">
      <c r="C54" t="s">
        <v>103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</row>
    <row r="55" spans="2:24" x14ac:dyDescent="0.35">
      <c r="C55" t="s">
        <v>104</v>
      </c>
      <c r="D55" s="2">
        <v>2</v>
      </c>
      <c r="E55" s="2">
        <v>2</v>
      </c>
      <c r="F55" s="2">
        <v>2</v>
      </c>
      <c r="G55" s="2">
        <v>2</v>
      </c>
      <c r="H55" s="2">
        <v>2</v>
      </c>
      <c r="I55" s="2">
        <v>2</v>
      </c>
      <c r="J55" s="2">
        <v>2</v>
      </c>
      <c r="K55" s="2">
        <v>2</v>
      </c>
      <c r="L55" s="2">
        <v>2</v>
      </c>
      <c r="M55" s="2">
        <v>2</v>
      </c>
      <c r="N55" s="2">
        <v>2</v>
      </c>
      <c r="O55" s="2">
        <v>1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</row>
    <row r="56" spans="2:24" x14ac:dyDescent="0.35">
      <c r="B56" t="s">
        <v>117</v>
      </c>
      <c r="C56" t="s">
        <v>101</v>
      </c>
      <c r="D56" s="2">
        <v>797227.84</v>
      </c>
      <c r="E56" s="2">
        <v>2328667.1800000002</v>
      </c>
      <c r="F56" s="2">
        <v>2192670.46</v>
      </c>
      <c r="G56" s="2">
        <v>2066350.43</v>
      </c>
      <c r="H56" s="2">
        <v>1943412.7</v>
      </c>
      <c r="I56" s="2">
        <v>1807577.2</v>
      </c>
      <c r="J56" s="2">
        <v>1599343.28</v>
      </c>
      <c r="K56" s="2">
        <v>1393402.06</v>
      </c>
      <c r="L56" s="2">
        <v>1219613.03</v>
      </c>
      <c r="M56" s="2">
        <v>955697.89</v>
      </c>
      <c r="N56" s="2">
        <v>739022.91</v>
      </c>
      <c r="O56" s="2">
        <v>582306.44999999995</v>
      </c>
      <c r="P56" s="2">
        <v>468224.3</v>
      </c>
      <c r="Q56" s="2">
        <v>391792.31</v>
      </c>
      <c r="R56" s="2">
        <v>316118.06</v>
      </c>
      <c r="S56" s="2">
        <v>257994.78</v>
      </c>
      <c r="T56" s="2">
        <v>118718.8</v>
      </c>
      <c r="U56" s="2">
        <v>87489.35</v>
      </c>
      <c r="V56" s="2">
        <v>35394.559999999998</v>
      </c>
      <c r="W56" s="2">
        <v>22457.59</v>
      </c>
      <c r="X56" s="2">
        <v>2380.13</v>
      </c>
    </row>
    <row r="57" spans="2:24" x14ac:dyDescent="0.35">
      <c r="C57" t="s">
        <v>102</v>
      </c>
      <c r="D57" s="2">
        <v>474</v>
      </c>
      <c r="E57" s="2">
        <v>450</v>
      </c>
      <c r="F57" s="2">
        <v>414</v>
      </c>
      <c r="G57" s="2">
        <v>389</v>
      </c>
      <c r="H57" s="2">
        <v>371</v>
      </c>
      <c r="I57" s="2">
        <v>340</v>
      </c>
      <c r="J57" s="2">
        <v>286</v>
      </c>
      <c r="K57" s="2">
        <v>259</v>
      </c>
      <c r="L57" s="2">
        <v>221</v>
      </c>
      <c r="M57" s="2">
        <v>162</v>
      </c>
      <c r="N57" s="2">
        <v>132</v>
      </c>
      <c r="O57" s="2">
        <v>105</v>
      </c>
      <c r="P57" s="2">
        <v>92</v>
      </c>
      <c r="Q57" s="2">
        <v>70</v>
      </c>
      <c r="R57" s="2">
        <v>65</v>
      </c>
      <c r="S57" s="2">
        <v>43</v>
      </c>
      <c r="T57" s="2">
        <v>23</v>
      </c>
      <c r="U57" s="2">
        <v>14</v>
      </c>
      <c r="V57" s="2">
        <v>7</v>
      </c>
      <c r="W57" s="2">
        <v>2</v>
      </c>
      <c r="X57" s="2">
        <v>1</v>
      </c>
    </row>
    <row r="58" spans="2:24" x14ac:dyDescent="0.35">
      <c r="C58" t="s">
        <v>103</v>
      </c>
      <c r="D58" s="2">
        <v>25</v>
      </c>
      <c r="E58" s="2">
        <v>25</v>
      </c>
      <c r="F58" s="2">
        <v>25</v>
      </c>
      <c r="G58" s="2">
        <v>25</v>
      </c>
      <c r="H58" s="2">
        <v>25</v>
      </c>
      <c r="I58" s="2">
        <v>25</v>
      </c>
      <c r="J58" s="2">
        <v>25</v>
      </c>
      <c r="K58" s="2">
        <v>25</v>
      </c>
      <c r="L58" s="2">
        <v>25</v>
      </c>
      <c r="M58" s="2">
        <v>25</v>
      </c>
      <c r="N58" s="2">
        <v>25</v>
      </c>
      <c r="O58" s="2">
        <v>10</v>
      </c>
      <c r="P58" s="2">
        <v>10</v>
      </c>
      <c r="Q58" s="2">
        <v>10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</row>
    <row r="59" spans="2:24" x14ac:dyDescent="0.35">
      <c r="C59" t="s">
        <v>104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</row>
    <row r="60" spans="2:24" x14ac:dyDescent="0.35">
      <c r="B60" t="s">
        <v>118</v>
      </c>
      <c r="C60" t="s">
        <v>101</v>
      </c>
      <c r="D60" s="2">
        <v>759925.92999999993</v>
      </c>
      <c r="E60" s="2">
        <v>2279777.79</v>
      </c>
      <c r="F60" s="2">
        <v>2279777.79</v>
      </c>
      <c r="G60" s="2">
        <v>2279777.79</v>
      </c>
      <c r="H60" s="2">
        <v>2279777.79</v>
      </c>
      <c r="I60" s="2">
        <v>2279777.79</v>
      </c>
      <c r="J60" s="2">
        <v>2279777.79</v>
      </c>
      <c r="K60" s="2">
        <v>2279777.79</v>
      </c>
      <c r="L60" s="2">
        <v>2279777.79</v>
      </c>
      <c r="M60" s="2">
        <v>2279777.79</v>
      </c>
      <c r="N60" s="2">
        <v>2279777.79</v>
      </c>
      <c r="O60" s="2">
        <v>2279777.79</v>
      </c>
      <c r="P60" s="2">
        <v>2279777.79</v>
      </c>
      <c r="Q60" s="2">
        <v>2279777.79</v>
      </c>
      <c r="R60" s="2">
        <v>2279777.79</v>
      </c>
      <c r="S60" s="2">
        <v>2279777.79</v>
      </c>
      <c r="T60" s="2">
        <v>2279777.79</v>
      </c>
      <c r="U60" s="2">
        <v>1512550.13</v>
      </c>
      <c r="V60" s="2">
        <v>923904.65999999992</v>
      </c>
      <c r="W60" s="2">
        <v>0</v>
      </c>
      <c r="X60" s="2">
        <v>0</v>
      </c>
    </row>
    <row r="61" spans="2:24" x14ac:dyDescent="0.35">
      <c r="C61" t="s">
        <v>102</v>
      </c>
      <c r="D61" s="2">
        <v>31</v>
      </c>
      <c r="E61" s="2">
        <v>31</v>
      </c>
      <c r="F61" s="2">
        <v>31</v>
      </c>
      <c r="G61" s="2">
        <v>31</v>
      </c>
      <c r="H61" s="2">
        <v>31</v>
      </c>
      <c r="I61" s="2">
        <v>31</v>
      </c>
      <c r="J61" s="2">
        <v>31</v>
      </c>
      <c r="K61" s="2">
        <v>31</v>
      </c>
      <c r="L61" s="2">
        <v>31</v>
      </c>
      <c r="M61" s="2">
        <v>31</v>
      </c>
      <c r="N61" s="2">
        <v>31</v>
      </c>
      <c r="O61" s="2">
        <v>31</v>
      </c>
      <c r="P61" s="2">
        <v>31</v>
      </c>
      <c r="Q61" s="2">
        <v>31</v>
      </c>
      <c r="R61" s="2">
        <v>31</v>
      </c>
      <c r="S61" s="2">
        <v>31</v>
      </c>
      <c r="T61" s="2">
        <v>31</v>
      </c>
      <c r="U61" s="2">
        <v>15</v>
      </c>
      <c r="V61" s="2">
        <v>14</v>
      </c>
      <c r="W61" s="2">
        <v>0</v>
      </c>
      <c r="X61" s="2">
        <v>0</v>
      </c>
    </row>
    <row r="62" spans="2:24" x14ac:dyDescent="0.35">
      <c r="C62" t="s">
        <v>103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</row>
    <row r="63" spans="2:24" x14ac:dyDescent="0.35">
      <c r="C63" t="s">
        <v>104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74C4-EC7E-4DE1-B57A-CBCEF24F245C}">
  <dimension ref="A1:DA35"/>
  <sheetViews>
    <sheetView tabSelected="1" zoomScale="90" zoomScaleNormal="90" workbookViewId="0">
      <selection activeCell="M20" sqref="M20"/>
    </sheetView>
  </sheetViews>
  <sheetFormatPr defaultRowHeight="14.5" x14ac:dyDescent="0.35"/>
  <cols>
    <col min="1" max="1" width="20" bestFit="1" customWidth="1"/>
    <col min="2" max="2" width="14" bestFit="1" customWidth="1"/>
    <col min="3" max="3" width="11.26953125" style="3" bestFit="1" customWidth="1"/>
    <col min="4" max="4" width="9.54296875" bestFit="1" customWidth="1"/>
    <col min="5" max="5" width="10.54296875" bestFit="1" customWidth="1"/>
    <col min="6" max="6" width="15.26953125" bestFit="1" customWidth="1"/>
    <col min="7" max="7" width="11.81640625" bestFit="1" customWidth="1"/>
    <col min="8" max="8" width="15.453125" bestFit="1" customWidth="1"/>
    <col min="9" max="9" width="9.81640625" bestFit="1" customWidth="1"/>
    <col min="10" max="10" width="13.26953125" bestFit="1" customWidth="1"/>
    <col min="11" max="11" width="13.54296875" bestFit="1" customWidth="1"/>
    <col min="12" max="12" width="18.7265625" bestFit="1" customWidth="1"/>
    <col min="13" max="13" width="13.26953125" bestFit="1" customWidth="1"/>
    <col min="14" max="14" width="16.26953125" bestFit="1" customWidth="1"/>
    <col min="15" max="15" width="12.26953125" bestFit="1" customWidth="1"/>
    <col min="16" max="16" width="12.453125" bestFit="1" customWidth="1"/>
    <col min="17" max="17" width="18.7265625" bestFit="1" customWidth="1"/>
    <col min="18" max="18" width="5.453125" hidden="1" customWidth="1"/>
    <col min="19" max="19" width="9" hidden="1" customWidth="1"/>
    <col min="20" max="20" width="12" hidden="1" customWidth="1"/>
    <col min="21" max="21" width="5.453125" hidden="1" customWidth="1"/>
    <col min="22" max="22" width="8.54296875" hidden="1" customWidth="1"/>
    <col min="23" max="23" width="12" hidden="1" customWidth="1"/>
    <col min="24" max="24" width="5.453125" hidden="1" customWidth="1"/>
    <col min="25" max="25" width="8.54296875" hidden="1" customWidth="1"/>
    <col min="26" max="26" width="12" hidden="1" customWidth="1"/>
    <col min="27" max="27" width="5.453125" hidden="1" customWidth="1"/>
    <col min="28" max="28" width="16.26953125" hidden="1" customWidth="1"/>
    <col min="29" max="29" width="12" hidden="1" customWidth="1"/>
    <col min="30" max="30" width="12.26953125" hidden="1" customWidth="1"/>
    <col min="31" max="31" width="13.453125" hidden="1" customWidth="1"/>
    <col min="32" max="32" width="17.453125" hidden="1" customWidth="1"/>
    <col min="33" max="33" width="20.7265625" hidden="1" customWidth="1"/>
    <col min="34" max="34" width="28.81640625" hidden="1" customWidth="1"/>
    <col min="35" max="35" width="5.453125" hidden="1" customWidth="1"/>
    <col min="36" max="36" width="16.26953125" hidden="1" customWidth="1"/>
    <col min="37" max="37" width="8.54296875" hidden="1" customWidth="1"/>
    <col min="38" max="38" width="12.26953125" hidden="1" customWidth="1"/>
    <col min="39" max="39" width="13.453125" hidden="1" customWidth="1"/>
    <col min="40" max="40" width="17.453125" hidden="1" customWidth="1"/>
    <col min="41" max="41" width="20.7265625" hidden="1" customWidth="1"/>
    <col min="42" max="42" width="24.453125" hidden="1" customWidth="1"/>
    <col min="43" max="43" width="5.453125" hidden="1" customWidth="1"/>
    <col min="44" max="44" width="16.26953125" hidden="1" customWidth="1"/>
    <col min="45" max="45" width="8.54296875" hidden="1" customWidth="1"/>
    <col min="46" max="46" width="14.26953125" hidden="1" customWidth="1"/>
    <col min="47" max="47" width="13.453125" hidden="1" customWidth="1"/>
    <col min="48" max="48" width="17.453125" hidden="1" customWidth="1"/>
    <col min="49" max="49" width="20.7265625" hidden="1" customWidth="1"/>
    <col min="50" max="50" width="24.453125" hidden="1" customWidth="1"/>
    <col min="51" max="51" width="5.453125" bestFit="1" customWidth="1"/>
    <col min="52" max="52" width="16.26953125" bestFit="1" customWidth="1"/>
    <col min="53" max="53" width="8.54296875" customWidth="1"/>
    <col min="54" max="54" width="14.26953125" bestFit="1" customWidth="1"/>
    <col min="55" max="55" width="13.453125" bestFit="1" customWidth="1"/>
    <col min="56" max="56" width="17.453125" bestFit="1" customWidth="1"/>
    <col min="57" max="57" width="20.7265625" bestFit="1" customWidth="1"/>
    <col min="58" max="58" width="24.453125" bestFit="1" customWidth="1"/>
    <col min="59" max="59" width="5.453125" bestFit="1" customWidth="1"/>
    <col min="60" max="60" width="16.26953125" bestFit="1" customWidth="1"/>
    <col min="61" max="61" width="8.54296875" customWidth="1"/>
    <col min="62" max="62" width="14.26953125" bestFit="1" customWidth="1"/>
    <col min="63" max="63" width="13.453125" bestFit="1" customWidth="1"/>
    <col min="64" max="64" width="17.453125" bestFit="1" customWidth="1"/>
    <col min="65" max="65" width="20.7265625" bestFit="1" customWidth="1"/>
    <col min="66" max="66" width="24.453125" bestFit="1" customWidth="1"/>
    <col min="67" max="67" width="5.453125" bestFit="1" customWidth="1"/>
    <col min="68" max="68" width="16.26953125" bestFit="1" customWidth="1"/>
    <col min="69" max="69" width="8.54296875" customWidth="1"/>
    <col min="70" max="70" width="14.26953125" bestFit="1" customWidth="1"/>
    <col min="71" max="71" width="13.453125" bestFit="1" customWidth="1"/>
    <col min="72" max="72" width="17.453125" bestFit="1" customWidth="1"/>
    <col min="73" max="73" width="20.7265625" bestFit="1" customWidth="1"/>
    <col min="74" max="74" width="24.453125" bestFit="1" customWidth="1"/>
    <col min="75" max="75" width="5.453125" bestFit="1" customWidth="1"/>
    <col min="76" max="76" width="16.26953125" bestFit="1" customWidth="1"/>
    <col min="77" max="77" width="8.54296875" customWidth="1"/>
    <col min="78" max="78" width="14.26953125" bestFit="1" customWidth="1"/>
    <col min="79" max="79" width="13.453125" bestFit="1" customWidth="1"/>
    <col min="80" max="80" width="17.453125" bestFit="1" customWidth="1"/>
    <col min="81" max="81" width="20.7265625" bestFit="1" customWidth="1"/>
    <col min="82" max="82" width="24.453125" bestFit="1" customWidth="1"/>
    <col min="83" max="83" width="5.453125" bestFit="1" customWidth="1"/>
    <col min="84" max="84" width="16.26953125" bestFit="1" customWidth="1"/>
    <col min="85" max="85" width="8.54296875" customWidth="1"/>
    <col min="86" max="86" width="14.26953125" bestFit="1" customWidth="1"/>
    <col min="87" max="87" width="13.453125" bestFit="1" customWidth="1"/>
    <col min="88" max="88" width="17.453125" bestFit="1" customWidth="1"/>
    <col min="89" max="89" width="20.7265625" bestFit="1" customWidth="1"/>
    <col min="90" max="90" width="24.453125" bestFit="1" customWidth="1"/>
    <col min="91" max="91" width="5.453125" bestFit="1" customWidth="1"/>
    <col min="92" max="92" width="16.26953125" bestFit="1" customWidth="1"/>
    <col min="93" max="93" width="8.54296875" customWidth="1"/>
    <col min="94" max="94" width="14.26953125" bestFit="1" customWidth="1"/>
    <col min="95" max="95" width="13.453125" bestFit="1" customWidth="1"/>
    <col min="96" max="96" width="17.453125" bestFit="1" customWidth="1"/>
    <col min="97" max="97" width="20.7265625" bestFit="1" customWidth="1"/>
    <col min="98" max="98" width="24.453125" bestFit="1" customWidth="1"/>
    <col min="100" max="100" width="20" bestFit="1" customWidth="1"/>
    <col min="101" max="101" width="24.81640625" bestFit="1" customWidth="1"/>
    <col min="102" max="102" width="14.453125" customWidth="1"/>
    <col min="103" max="103" width="18.7265625" bestFit="1" customWidth="1"/>
    <col min="104" max="104" width="14.26953125" bestFit="1" customWidth="1"/>
    <col min="105" max="105" width="24.81640625" bestFit="1" customWidth="1"/>
  </cols>
  <sheetData>
    <row r="1" spans="1:105" x14ac:dyDescent="0.35">
      <c r="Q1" s="13" t="s">
        <v>119</v>
      </c>
      <c r="AA1" s="3"/>
      <c r="AI1" s="3"/>
      <c r="AQ1" s="3"/>
      <c r="AY1" s="3"/>
      <c r="BG1" s="3">
        <v>2</v>
      </c>
      <c r="BO1" s="3">
        <f>BG1+2</f>
        <v>4</v>
      </c>
      <c r="BW1" s="3">
        <f>BO1+1</f>
        <v>5</v>
      </c>
      <c r="CE1" s="3">
        <f>BW1+1</f>
        <v>6</v>
      </c>
      <c r="CM1" s="3">
        <f>CE1+1</f>
        <v>7</v>
      </c>
    </row>
    <row r="2" spans="1:105" s="3" customFormat="1" x14ac:dyDescent="0.35">
      <c r="D2" s="47" t="s">
        <v>120</v>
      </c>
      <c r="E2" s="47"/>
      <c r="R2" s="47" t="s">
        <v>121</v>
      </c>
      <c r="S2" s="47"/>
      <c r="T2" s="47"/>
      <c r="U2" s="47" t="s">
        <v>122</v>
      </c>
      <c r="V2" s="47"/>
      <c r="W2" s="47"/>
      <c r="X2" s="47" t="s">
        <v>123</v>
      </c>
      <c r="Y2" s="47"/>
      <c r="AA2" s="47" t="s">
        <v>124</v>
      </c>
      <c r="AB2" s="47"/>
      <c r="AC2" s="47"/>
      <c r="AD2" s="47"/>
      <c r="AE2" s="47"/>
      <c r="AF2" s="47"/>
      <c r="AG2" s="47"/>
      <c r="AH2" s="47"/>
      <c r="AI2" s="47" t="s">
        <v>125</v>
      </c>
      <c r="AJ2" s="47"/>
      <c r="AK2" s="47"/>
      <c r="AL2" s="47"/>
      <c r="AM2" s="47"/>
      <c r="AN2" s="47"/>
      <c r="AO2" s="47"/>
      <c r="AP2" s="47"/>
      <c r="AQ2" s="47" t="s">
        <v>126</v>
      </c>
      <c r="AR2" s="47"/>
      <c r="AS2" s="47"/>
      <c r="AT2" s="47"/>
      <c r="AU2" s="47"/>
      <c r="AV2" s="47"/>
      <c r="AW2" s="47"/>
      <c r="AX2" s="47"/>
      <c r="AY2" s="47" t="s">
        <v>127</v>
      </c>
      <c r="AZ2" s="47"/>
      <c r="BA2" s="47"/>
      <c r="BB2" s="47"/>
      <c r="BC2" s="47"/>
      <c r="BD2" s="47"/>
      <c r="BE2" s="47"/>
      <c r="BF2" s="47"/>
      <c r="BG2" s="47" t="s">
        <v>128</v>
      </c>
      <c r="BH2" s="47"/>
      <c r="BI2" s="47"/>
      <c r="BJ2" s="47"/>
      <c r="BK2" s="47"/>
      <c r="BL2" s="47"/>
      <c r="BM2" s="47"/>
      <c r="BN2" s="47"/>
      <c r="BO2" s="47" t="s">
        <v>129</v>
      </c>
      <c r="BP2" s="47"/>
      <c r="BQ2" s="47"/>
      <c r="BR2" s="47"/>
      <c r="BS2" s="47"/>
      <c r="BT2" s="47"/>
      <c r="BU2" s="47"/>
      <c r="BV2" s="47"/>
      <c r="BW2" s="47" t="s">
        <v>130</v>
      </c>
      <c r="BX2" s="47"/>
      <c r="BY2" s="47"/>
      <c r="BZ2" s="47"/>
      <c r="CA2" s="47"/>
      <c r="CB2" s="47"/>
      <c r="CC2" s="47"/>
      <c r="CD2" s="47"/>
      <c r="CE2" s="47" t="s">
        <v>131</v>
      </c>
      <c r="CF2" s="47"/>
      <c r="CG2" s="47"/>
      <c r="CH2" s="47"/>
      <c r="CI2" s="47"/>
      <c r="CJ2" s="47"/>
      <c r="CK2" s="47"/>
      <c r="CL2" s="47"/>
      <c r="CM2" s="47" t="s">
        <v>132</v>
      </c>
      <c r="CN2" s="47"/>
      <c r="CO2" s="47"/>
      <c r="CP2" s="47"/>
      <c r="CQ2" s="47"/>
      <c r="CR2" s="47"/>
      <c r="CS2" s="47"/>
      <c r="CT2" s="47"/>
    </row>
    <row r="3" spans="1:105" s="3" customFormat="1" x14ac:dyDescent="0.35">
      <c r="A3" s="3" t="s">
        <v>133</v>
      </c>
      <c r="B3" s="3" t="s">
        <v>134</v>
      </c>
      <c r="C3" s="3" t="s">
        <v>135</v>
      </c>
      <c r="D3" s="3" t="s">
        <v>136</v>
      </c>
      <c r="E3" s="3" t="s">
        <v>137</v>
      </c>
      <c r="F3" s="3" t="s">
        <v>138</v>
      </c>
      <c r="G3" s="3" t="s">
        <v>139</v>
      </c>
      <c r="H3" s="3" t="s">
        <v>140</v>
      </c>
      <c r="I3" s="3" t="s">
        <v>141</v>
      </c>
      <c r="J3" s="3" t="s">
        <v>142</v>
      </c>
      <c r="K3" s="3" t="s">
        <v>143</v>
      </c>
      <c r="L3" s="3" t="s">
        <v>144</v>
      </c>
      <c r="M3" s="3" t="s">
        <v>145</v>
      </c>
      <c r="N3" s="3" t="s">
        <v>146</v>
      </c>
      <c r="O3" s="3" t="s">
        <v>147</v>
      </c>
      <c r="P3" s="3" t="s">
        <v>148</v>
      </c>
      <c r="Q3" s="3" t="s">
        <v>149</v>
      </c>
      <c r="R3" s="3" t="s">
        <v>150</v>
      </c>
      <c r="S3" s="3" t="s">
        <v>101</v>
      </c>
      <c r="T3" s="3" t="s">
        <v>151</v>
      </c>
      <c r="U3" s="3" t="s">
        <v>150</v>
      </c>
      <c r="V3" s="3" t="s">
        <v>101</v>
      </c>
      <c r="W3" s="3" t="s">
        <v>151</v>
      </c>
      <c r="X3" s="3" t="s">
        <v>150</v>
      </c>
      <c r="Y3" s="3" t="s">
        <v>101</v>
      </c>
      <c r="Z3" s="3" t="s">
        <v>151</v>
      </c>
      <c r="AA3" s="3" t="s">
        <v>150</v>
      </c>
      <c r="AB3" s="3" t="s">
        <v>152</v>
      </c>
      <c r="AC3" s="3" t="s">
        <v>151</v>
      </c>
      <c r="AD3" s="3" t="s">
        <v>153</v>
      </c>
      <c r="AE3" s="3" t="s">
        <v>154</v>
      </c>
      <c r="AF3" s="3" t="s">
        <v>155</v>
      </c>
      <c r="AG3" s="3" t="s">
        <v>156</v>
      </c>
      <c r="AH3" s="3" t="s">
        <v>157</v>
      </c>
      <c r="AI3" s="3" t="s">
        <v>150</v>
      </c>
      <c r="AJ3" s="3" t="s">
        <v>152</v>
      </c>
      <c r="AK3" s="3" t="s">
        <v>151</v>
      </c>
      <c r="AL3" s="3" t="s">
        <v>153</v>
      </c>
      <c r="AM3" s="3" t="s">
        <v>154</v>
      </c>
      <c r="AN3" s="3" t="s">
        <v>155</v>
      </c>
      <c r="AO3" s="3" t="s">
        <v>156</v>
      </c>
      <c r="AP3" s="3" t="s">
        <v>157</v>
      </c>
      <c r="AS3" s="3" t="s">
        <v>151</v>
      </c>
      <c r="AY3" s="3" t="s">
        <v>150</v>
      </c>
      <c r="AZ3" s="3" t="s">
        <v>152</v>
      </c>
      <c r="BA3" s="3" t="s">
        <v>151</v>
      </c>
      <c r="BB3" s="3" t="s">
        <v>153</v>
      </c>
      <c r="BC3" s="3" t="s">
        <v>154</v>
      </c>
      <c r="BD3" s="3" t="s">
        <v>155</v>
      </c>
      <c r="BE3" s="3" t="s">
        <v>156</v>
      </c>
      <c r="BF3" s="3" t="s">
        <v>157</v>
      </c>
      <c r="BG3" s="3" t="s">
        <v>150</v>
      </c>
      <c r="BH3" s="3" t="s">
        <v>152</v>
      </c>
      <c r="BI3" s="3" t="s">
        <v>151</v>
      </c>
      <c r="BJ3" s="3" t="s">
        <v>153</v>
      </c>
      <c r="BK3" s="3" t="s">
        <v>154</v>
      </c>
      <c r="BL3" s="3" t="s">
        <v>155</v>
      </c>
      <c r="BM3" s="3" t="s">
        <v>156</v>
      </c>
      <c r="BN3" s="3" t="s">
        <v>157</v>
      </c>
      <c r="BO3" s="3" t="s">
        <v>150</v>
      </c>
      <c r="BP3" s="3" t="s">
        <v>152</v>
      </c>
      <c r="BQ3" s="3" t="s">
        <v>151</v>
      </c>
      <c r="BR3" s="3" t="s">
        <v>153</v>
      </c>
      <c r="BS3" s="3" t="s">
        <v>154</v>
      </c>
      <c r="BT3" s="3" t="s">
        <v>155</v>
      </c>
      <c r="BU3" s="3" t="s">
        <v>156</v>
      </c>
      <c r="BV3" s="3" t="s">
        <v>157</v>
      </c>
      <c r="BW3" s="3" t="s">
        <v>150</v>
      </c>
      <c r="BX3" s="3" t="s">
        <v>152</v>
      </c>
      <c r="BY3" s="3" t="s">
        <v>151</v>
      </c>
      <c r="BZ3" s="3" t="s">
        <v>153</v>
      </c>
      <c r="CA3" s="3" t="s">
        <v>154</v>
      </c>
      <c r="CB3" s="3" t="s">
        <v>155</v>
      </c>
      <c r="CC3" s="3" t="s">
        <v>156</v>
      </c>
      <c r="CD3" s="3" t="s">
        <v>157</v>
      </c>
      <c r="CE3" s="3" t="s">
        <v>150</v>
      </c>
      <c r="CF3" s="3" t="s">
        <v>152</v>
      </c>
      <c r="CG3" s="3" t="s">
        <v>151</v>
      </c>
      <c r="CH3" s="3" t="s">
        <v>153</v>
      </c>
      <c r="CI3" s="3" t="s">
        <v>154</v>
      </c>
      <c r="CJ3" s="3" t="s">
        <v>155</v>
      </c>
      <c r="CK3" s="3" t="s">
        <v>156</v>
      </c>
      <c r="CL3" s="3" t="s">
        <v>157</v>
      </c>
      <c r="CM3" s="3" t="s">
        <v>150</v>
      </c>
      <c r="CN3" s="3" t="s">
        <v>152</v>
      </c>
      <c r="CO3" s="3" t="s">
        <v>151</v>
      </c>
      <c r="CP3" s="3" t="s">
        <v>153</v>
      </c>
      <c r="CQ3" s="3" t="s">
        <v>154</v>
      </c>
      <c r="CR3" s="3" t="s">
        <v>155</v>
      </c>
      <c r="CS3" s="3" t="s">
        <v>156</v>
      </c>
      <c r="CT3" s="3" t="s">
        <v>157</v>
      </c>
      <c r="CW3" s="3" t="s">
        <v>158</v>
      </c>
      <c r="CX3" s="3" t="s">
        <v>159</v>
      </c>
      <c r="CY3" s="3" t="s">
        <v>160</v>
      </c>
    </row>
    <row r="4" spans="1:105" x14ac:dyDescent="0.35">
      <c r="A4" s="21" t="s">
        <v>161</v>
      </c>
      <c r="B4" s="21" t="s">
        <v>105</v>
      </c>
      <c r="C4" s="22"/>
      <c r="D4" s="23">
        <v>-0.22</v>
      </c>
      <c r="E4" s="23">
        <v>0.23</v>
      </c>
      <c r="F4" s="24">
        <v>103018848</v>
      </c>
      <c r="G4" s="21">
        <v>595</v>
      </c>
      <c r="H4" s="21">
        <f ca="1">CM4</f>
        <v>379</v>
      </c>
      <c r="I4" s="21">
        <f ca="1">AF4+AN4+AV4+BD4+BL4+BT4+CB4+CJ4+CR4</f>
        <v>17.16</v>
      </c>
      <c r="J4" s="21">
        <f ca="1">H4+INT(I4)</f>
        <v>396</v>
      </c>
      <c r="K4" s="9">
        <v>-38757901.296493031</v>
      </c>
      <c r="L4" s="24">
        <f ca="1">AB4+AJ4+AR4+AZ4+BH4+BP4+BX4+CF4+CN4</f>
        <v>-28138700.057777476</v>
      </c>
      <c r="M4" s="24">
        <f ca="1">AH4+AP4+AX4+BF4+BN4+BV4+CD4+CL4+CT4</f>
        <v>-800715.24809811334</v>
      </c>
      <c r="N4" s="24">
        <f ca="1">K4+L4+M4</f>
        <v>-67697316.602368623</v>
      </c>
      <c r="O4" s="24">
        <f ca="1">N4+F4</f>
        <v>35321531.397631377</v>
      </c>
      <c r="P4" s="25">
        <f ca="1">-N4/F4</f>
        <v>0.65713525162277708</v>
      </c>
      <c r="Q4" s="25">
        <f>F4/F23</f>
        <v>3.8700631998868688E-2</v>
      </c>
      <c r="R4" s="21">
        <v>516</v>
      </c>
      <c r="S4" s="21">
        <v>6178000</v>
      </c>
      <c r="T4" s="21">
        <v>1.322530766257219</v>
      </c>
      <c r="U4" s="21"/>
      <c r="V4" s="21"/>
      <c r="W4" s="21">
        <v>1.3250833792523422</v>
      </c>
      <c r="X4" s="21"/>
      <c r="Y4" s="21"/>
      <c r="Z4" s="21">
        <v>1.3413375172731461</v>
      </c>
      <c r="AA4" s="21"/>
      <c r="AB4" s="24"/>
      <c r="AC4" s="21">
        <v>1.3486482127840942</v>
      </c>
      <c r="AD4" s="24"/>
      <c r="AE4" s="21"/>
      <c r="AF4" s="21"/>
      <c r="AG4" s="24"/>
      <c r="AH4" s="24"/>
      <c r="AI4" s="21"/>
      <c r="AJ4" s="24"/>
      <c r="AK4" s="21">
        <f>AC4</f>
        <v>1.3486482127840942</v>
      </c>
      <c r="AL4" s="24"/>
      <c r="AM4" s="21"/>
      <c r="AN4" s="21"/>
      <c r="AO4" s="24"/>
      <c r="AP4" s="24"/>
      <c r="AQ4" s="21"/>
      <c r="AR4" s="24"/>
      <c r="AS4" s="21">
        <v>1.3413019408715847</v>
      </c>
      <c r="AT4" s="24"/>
      <c r="AU4" s="21"/>
      <c r="AV4" s="21"/>
      <c r="AW4" s="24"/>
      <c r="AX4" s="24"/>
      <c r="AY4" s="21"/>
      <c r="AZ4" s="24"/>
      <c r="BA4" s="21">
        <v>1.3487419332454373</v>
      </c>
      <c r="BB4" s="24"/>
      <c r="BC4" s="21"/>
      <c r="BD4" s="21"/>
      <c r="BE4" s="24"/>
      <c r="BF4" s="24"/>
      <c r="BG4" s="21" cm="1">
        <f t="array" aca="1" ref="BG4" ca="1">INDIRECT(ADDRESS(2,BG$1,,,B4))+INDIRECT(ADDRESS(3,BG$1,,,B4))</f>
        <v>499</v>
      </c>
      <c r="BH4" s="24" cm="1">
        <f t="array" aca="1" ref="BH4" ca="1">-INDIRECT(ADDRESS(5,BG$1,,,B4))*BI4</f>
        <v>-6692710.5372127946</v>
      </c>
      <c r="BI4" s="21">
        <f>BA4</f>
        <v>1.3487419332454373</v>
      </c>
      <c r="BJ4" s="24">
        <f ca="1">BH4/BG$4</f>
        <v>-13412.245565556703</v>
      </c>
      <c r="BK4" s="21" cm="1">
        <f t="array" aca="1" ref="BK4" ca="1">INDIRECT(ADDRESS(15,BG$1,,,B4))+INDIRECT(ADDRESS(16,BG$1,,,B4))</f>
        <v>0</v>
      </c>
      <c r="BL4" s="21">
        <f ca="1">BK4*(1+$D4)</f>
        <v>0</v>
      </c>
      <c r="BM4" s="24">
        <f ca="1">BJ4*(1+$E4)*BL4</f>
        <v>0</v>
      </c>
      <c r="BN4" s="24">
        <f ca="1">BM4*5</f>
        <v>0</v>
      </c>
      <c r="BO4" s="21" cm="1">
        <f t="array" aca="1" ref="BO4" ca="1">INDIRECT(ADDRESS(2,BO$1,,,B4))+INDIRECT(ADDRESS(3,BO$1,,,B4))</f>
        <v>397</v>
      </c>
      <c r="BP4" s="24" cm="1">
        <f t="array" aca="1" ref="BP4" ca="1">-INDIRECT(ADDRESS(5,BO$1,,,B4))*BQ4</f>
        <v>-5563853.8799575875</v>
      </c>
      <c r="BQ4" s="21">
        <f>BI4</f>
        <v>1.3487419332454373</v>
      </c>
      <c r="BR4" s="24">
        <f ca="1">BP4/BO$4</f>
        <v>-14014.745289565712</v>
      </c>
      <c r="BS4" s="21" cm="1">
        <f t="array" aca="1" ref="BS4" ca="1">INDIRECT(ADDRESS(15,BO$1,,,B4))+INDIRECT(ADDRESS(16,BO$1,,,B4))</f>
        <v>4</v>
      </c>
      <c r="BT4" s="21">
        <f ca="1">BS4*(1+$D4)</f>
        <v>3.12</v>
      </c>
      <c r="BU4" s="24">
        <f ca="1">BR4*(1+$E4)*BT4</f>
        <v>-53782.98652323737</v>
      </c>
      <c r="BV4" s="24">
        <f ca="1">BU4*4</f>
        <v>-215131.94609294948</v>
      </c>
      <c r="BW4" s="21" cm="1">
        <f t="array" aca="1" ref="BW4" ca="1">INDIRECT(ADDRESS(2,BW$1,,,B4))+INDIRECT(ADDRESS(3,BW$1,,,B4))</f>
        <v>387</v>
      </c>
      <c r="BX4" s="24" cm="1">
        <f t="array" aca="1" ref="BX4" ca="1">-INDIRECT(ADDRESS(5,BW$1,,,B4))*BY4</f>
        <v>-5375549.3288972033</v>
      </c>
      <c r="BY4" s="21">
        <f>BQ4</f>
        <v>1.3487419332454373</v>
      </c>
      <c r="BZ4" s="24">
        <f ca="1">BX4/BW$4</f>
        <v>-13890.308343403625</v>
      </c>
      <c r="CA4" s="21" cm="1">
        <f t="array" aca="1" ref="CA4" ca="1">INDIRECT(ADDRESS(15,BW$1,,,B4))+INDIRECT(ADDRESS(16,BW$1,,,B4))</f>
        <v>10</v>
      </c>
      <c r="CB4" s="21">
        <f ca="1">CA4*(1+$D4)</f>
        <v>7.8000000000000007</v>
      </c>
      <c r="CC4" s="24">
        <f ca="1">BZ4*(1+$E4)*CB4</f>
        <v>-133263.61824661438</v>
      </c>
      <c r="CD4" s="24">
        <f ca="1">CC4*3</f>
        <v>-399790.85473984317</v>
      </c>
      <c r="CE4" s="21" cm="1">
        <f t="array" aca="1" ref="CE4" ca="1">INDIRECT(ADDRESS(2,CE$1,,,B4))+INDIRECT(ADDRESS(3,CE$1,,,B4))</f>
        <v>381</v>
      </c>
      <c r="CF4" s="24" cm="1">
        <f t="array" aca="1" ref="CF4" ca="1">-INDIRECT(ADDRESS(5,CE$1,,,B4))*CG4</f>
        <v>-5271406.6386316558</v>
      </c>
      <c r="CG4" s="21">
        <f>BY4</f>
        <v>1.3487419332454373</v>
      </c>
      <c r="CH4" s="24">
        <f ca="1">CF4/CE$4</f>
        <v>-13835.712962287811</v>
      </c>
      <c r="CI4" s="21" cm="1">
        <f t="array" aca="1" ref="CI4" ca="1">INDIRECT(ADDRESS(15,CE$1,,,B4))+INDIRECT(ADDRESS(16,CE$1,,,B4))</f>
        <v>6</v>
      </c>
      <c r="CJ4" s="21">
        <f ca="1">CI4*(1+$D4)</f>
        <v>4.68</v>
      </c>
      <c r="CK4" s="24">
        <f ca="1">CH4*(1+$E4)*CJ4</f>
        <v>-79643.898096113538</v>
      </c>
      <c r="CL4" s="24">
        <f ca="1">CK4*2</f>
        <v>-159287.79619222708</v>
      </c>
      <c r="CM4" s="21" cm="1">
        <f t="array" aca="1" ref="CM4" ca="1">INDIRECT(ADDRESS(2,CM$1,,,B4))+INDIRECT(ADDRESS(3,CM$1,,,B4))</f>
        <v>379</v>
      </c>
      <c r="CN4" s="24" cm="1">
        <f t="array" aca="1" ref="CN4" ca="1">-INDIRECT(ADDRESS(5,CM$1,,,B4))*CO4</f>
        <v>-5235179.6730782306</v>
      </c>
      <c r="CO4" s="21">
        <f>CG4</f>
        <v>1.3487419332454373</v>
      </c>
      <c r="CP4" s="24">
        <f ca="1">CN4/CM$4</f>
        <v>-13813.138979098234</v>
      </c>
      <c r="CQ4" s="21" cm="1">
        <f t="array" aca="1" ref="CQ4" ca="1">INDIRECT(ADDRESS(15,CM$1,,,B4))+INDIRECT(ADDRESS(16,CM$1,,,B4))</f>
        <v>2</v>
      </c>
      <c r="CR4" s="21">
        <f ca="1">CQ4*(1+$D4)</f>
        <v>1.56</v>
      </c>
      <c r="CS4" s="24">
        <f ca="1">CP4*(1+$E4)*CR4</f>
        <v>-26504.65107309369</v>
      </c>
      <c r="CT4" s="24">
        <f ca="1">CS4*1</f>
        <v>-26504.65107309369</v>
      </c>
      <c r="CW4" s="9">
        <f>AZ4</f>
        <v>0</v>
      </c>
      <c r="CX4" s="9">
        <f>CW4*6</f>
        <v>0</v>
      </c>
      <c r="CY4" s="9">
        <f>K4</f>
        <v>-38757901.296493031</v>
      </c>
      <c r="CZ4" s="28"/>
      <c r="DA4" s="9"/>
    </row>
    <row r="5" spans="1:105" x14ac:dyDescent="0.35">
      <c r="D5" s="5"/>
      <c r="E5" s="5"/>
      <c r="F5" s="9"/>
      <c r="K5" s="9"/>
      <c r="L5" s="9"/>
      <c r="M5" s="9"/>
      <c r="N5" s="9"/>
      <c r="O5" s="9"/>
      <c r="P5" s="9"/>
      <c r="Q5" s="9"/>
    </row>
    <row r="6" spans="1:105" x14ac:dyDescent="0.35">
      <c r="A6" t="s">
        <v>162</v>
      </c>
      <c r="D6" s="5"/>
      <c r="E6" s="5"/>
      <c r="F6" s="9">
        <v>70915007</v>
      </c>
      <c r="G6">
        <v>280</v>
      </c>
      <c r="H6">
        <f ca="1">H7+H8</f>
        <v>139</v>
      </c>
      <c r="I6">
        <f t="shared" ref="I6:J6" ca="1" si="0">I7+I8</f>
        <v>0</v>
      </c>
      <c r="J6">
        <f t="shared" ca="1" si="0"/>
        <v>139</v>
      </c>
      <c r="K6" s="9">
        <v>-14671768.094382832</v>
      </c>
      <c r="L6" s="9">
        <f t="shared" ref="L6" ca="1" si="1">L7+L8</f>
        <v>-16100553.591869725</v>
      </c>
      <c r="M6" s="9">
        <f t="shared" ref="M6" ca="1" si="2">M7+M8</f>
        <v>0</v>
      </c>
      <c r="N6" s="24">
        <f ca="1">K6+L6+M6</f>
        <v>-30772321.686252557</v>
      </c>
      <c r="O6" s="24">
        <f ca="1">N6+F6</f>
        <v>40142685.313747443</v>
      </c>
      <c r="P6" s="25">
        <f ca="1">-N6/F6</f>
        <v>0.43393243529190595</v>
      </c>
      <c r="Q6" s="25">
        <f>F6/$F$23</f>
        <v>2.6640324973389307E-2</v>
      </c>
      <c r="R6">
        <v>193</v>
      </c>
      <c r="S6">
        <v>2954389</v>
      </c>
      <c r="AD6" s="9"/>
      <c r="AE6" s="9"/>
      <c r="AF6" s="9"/>
      <c r="AG6" s="9"/>
      <c r="AH6" s="9"/>
      <c r="AL6" s="9"/>
      <c r="AM6" s="9"/>
      <c r="AN6" s="9"/>
      <c r="AO6" s="9"/>
      <c r="AP6" s="9"/>
      <c r="AT6" s="9"/>
      <c r="AU6" s="9"/>
      <c r="AV6" s="9"/>
      <c r="AW6" s="9"/>
      <c r="AX6" s="9"/>
      <c r="BB6" s="9"/>
      <c r="BC6" s="9"/>
      <c r="BD6" s="9"/>
      <c r="BE6" s="9"/>
      <c r="BF6" s="9"/>
      <c r="BJ6" s="9"/>
      <c r="BK6" s="9"/>
      <c r="BL6" s="9"/>
      <c r="BM6" s="9"/>
      <c r="BN6" s="9"/>
      <c r="BR6" s="9"/>
      <c r="BS6" s="9"/>
      <c r="BT6" s="9"/>
      <c r="BU6" s="9"/>
      <c r="BV6" s="9"/>
      <c r="BZ6" s="9"/>
      <c r="CA6" s="9"/>
      <c r="CB6" s="9"/>
      <c r="CC6" s="9"/>
      <c r="CD6" s="9"/>
      <c r="CH6" s="9"/>
      <c r="CI6" s="9"/>
      <c r="CJ6" s="9"/>
      <c r="CK6" s="9"/>
      <c r="CL6" s="9"/>
      <c r="CP6" s="9"/>
      <c r="CQ6" s="9"/>
      <c r="CR6" s="9"/>
      <c r="CS6" s="9"/>
      <c r="CT6" s="9"/>
      <c r="CW6" s="9"/>
      <c r="CX6" s="9"/>
      <c r="CY6" s="9">
        <f>K6</f>
        <v>-14671768.094382832</v>
      </c>
      <c r="DA6" s="9"/>
    </row>
    <row r="7" spans="1:105" x14ac:dyDescent="0.35">
      <c r="A7" s="21" t="s">
        <v>162</v>
      </c>
      <c r="B7" s="21" t="s">
        <v>108</v>
      </c>
      <c r="C7" s="22"/>
      <c r="D7" s="23">
        <v>-1</v>
      </c>
      <c r="E7" s="23">
        <v>0</v>
      </c>
      <c r="F7" s="24"/>
      <c r="G7" s="21"/>
      <c r="H7" s="21">
        <f t="shared" ref="H7:H8" ca="1" si="3">CM7</f>
        <v>4</v>
      </c>
      <c r="I7" s="21">
        <f t="shared" ref="I7:I8" ca="1" si="4">AF7+AN7+AV7+BD7+BL7+BT7+CB7+CJ7+CR7</f>
        <v>0</v>
      </c>
      <c r="J7" s="21">
        <f t="shared" ref="J7:J8" ca="1" si="5">H7+INT(I7)</f>
        <v>4</v>
      </c>
      <c r="K7" s="24"/>
      <c r="L7" s="24">
        <f t="shared" ref="L7:L8" ca="1" si="6">AB7+AJ7+AR7+AZ7+BH7+BP7+BX7+CF7+CN7</f>
        <v>-544274.59648124874</v>
      </c>
      <c r="M7" s="24">
        <f t="shared" ref="M7:M8" ca="1" si="7">AH7+AP7+AX7+BF7+BN7+BV7+CD7+CL7+CT7</f>
        <v>0</v>
      </c>
      <c r="N7" s="24"/>
      <c r="O7" s="24"/>
      <c r="P7" s="25"/>
      <c r="Q7" s="25"/>
      <c r="R7" s="21"/>
      <c r="S7" s="21"/>
      <c r="T7" s="21">
        <v>17.451465550057101</v>
      </c>
      <c r="U7" s="21"/>
      <c r="V7" s="21"/>
      <c r="W7" s="21">
        <v>17.870770915633432</v>
      </c>
      <c r="X7" s="21"/>
      <c r="Y7" s="21"/>
      <c r="Z7" s="21">
        <v>18.46352288488211</v>
      </c>
      <c r="AA7" s="21"/>
      <c r="AB7" s="24"/>
      <c r="AC7" s="21">
        <v>18.770692212112714</v>
      </c>
      <c r="AD7" s="24"/>
      <c r="AE7" s="21"/>
      <c r="AF7" s="21"/>
      <c r="AG7" s="24"/>
      <c r="AH7" s="24"/>
      <c r="AI7" s="21"/>
      <c r="AJ7" s="24"/>
      <c r="AK7" s="21">
        <f>AC7</f>
        <v>18.770692212112714</v>
      </c>
      <c r="AL7" s="24"/>
      <c r="AM7" s="21"/>
      <c r="AN7" s="21"/>
      <c r="AO7" s="24"/>
      <c r="AP7" s="24"/>
      <c r="AQ7" s="21"/>
      <c r="AR7" s="24"/>
      <c r="AS7" s="21">
        <v>18.481077689321147</v>
      </c>
      <c r="AT7" s="24"/>
      <c r="AU7" s="21"/>
      <c r="AV7" s="21"/>
      <c r="AW7" s="24"/>
      <c r="AX7" s="24"/>
      <c r="AY7" s="21"/>
      <c r="AZ7" s="24"/>
      <c r="BA7" s="21">
        <v>18.500590138968207</v>
      </c>
      <c r="BB7" s="24"/>
      <c r="BC7" s="21"/>
      <c r="BD7" s="21"/>
      <c r="BE7" s="24"/>
      <c r="BF7" s="24"/>
      <c r="BG7" s="21" cm="1">
        <f t="array" aca="1" ref="BG7" ca="1">INDIRECT(ADDRESS(2,BG$1,,,B7))+INDIRECT(ADDRESS(3,BG$1,,,B7))</f>
        <v>11</v>
      </c>
      <c r="BH7" s="24" cm="1">
        <f t="array" aca="1" ref="BH7" ca="1">-INDIRECT(ADDRESS(5,BG$1,,,B7))*BI7</f>
        <v>-161606.90999961924</v>
      </c>
      <c r="BI7" s="21">
        <f>BA7</f>
        <v>18.500590138968207</v>
      </c>
      <c r="BJ7" s="24">
        <f ca="1">BH7/BG7</f>
        <v>-14691.537272692658</v>
      </c>
      <c r="BK7" s="21" cm="1">
        <f t="array" aca="1" ref="BK7" ca="1">INDIRECT(ADDRESS(15,BG$1,,,B7))+INDIRECT(ADDRESS(16,BG$1,,,B7))</f>
        <v>0</v>
      </c>
      <c r="BL7" s="21">
        <f t="shared" ref="BL7:BL8" ca="1" si="8">BK7*(1+$D7)</f>
        <v>0</v>
      </c>
      <c r="BM7" s="24">
        <f ca="1">BJ7*(1+$E7)*BL7</f>
        <v>0</v>
      </c>
      <c r="BN7" s="24">
        <f t="shared" ref="BN7:BN8" ca="1" si="9">BM7*5</f>
        <v>0</v>
      </c>
      <c r="BO7" s="21" cm="1">
        <f t="array" aca="1" ref="BO7" ca="1">INDIRECT(ADDRESS(2,BO$1,,,B7))+INDIRECT(ADDRESS(3,BO$1,,,B7))</f>
        <v>11</v>
      </c>
      <c r="BP7" s="24" cm="1">
        <f t="array" aca="1" ref="BP7" ca="1">-INDIRECT(ADDRESS(5,BO$1,,,B7))*BQ7</f>
        <v>-161606.90999961924</v>
      </c>
      <c r="BQ7" s="21">
        <f>BI7</f>
        <v>18.500590138968207</v>
      </c>
      <c r="BR7" s="24">
        <f ca="1">BP7/BO7</f>
        <v>-14691.537272692658</v>
      </c>
      <c r="BS7" s="21" cm="1">
        <f t="array" aca="1" ref="BS7" ca="1">INDIRECT(ADDRESS(15,BO$1,,,B7))+INDIRECT(ADDRESS(16,BO$1,,,B7))</f>
        <v>0</v>
      </c>
      <c r="BT7" s="21">
        <f t="shared" ref="BT7:BT8" ca="1" si="10">BS7*(1+$D7)</f>
        <v>0</v>
      </c>
      <c r="BU7" s="24">
        <f ca="1">BR7*(1+$E7)*BT7</f>
        <v>0</v>
      </c>
      <c r="BV7" s="24">
        <f t="shared" ref="BV7:BV8" ca="1" si="11">BU7*4</f>
        <v>0</v>
      </c>
      <c r="BW7" s="21" cm="1">
        <f t="array" aca="1" ref="BW7" ca="1">INDIRECT(ADDRESS(2,BW$1,,,B7))+INDIRECT(ADDRESS(3,BW$1,,,B7))</f>
        <v>10</v>
      </c>
      <c r="BX7" s="24" cm="1">
        <f t="array" aca="1" ref="BX7" ca="1">-INDIRECT(ADDRESS(5,BW$1,,,B7))*BY7</f>
        <v>-154298.43687112126</v>
      </c>
      <c r="BY7" s="21">
        <f>BQ7</f>
        <v>18.500590138968207</v>
      </c>
      <c r="BZ7" s="24">
        <f ca="1">BX7/BW7</f>
        <v>-15429.843687112127</v>
      </c>
      <c r="CA7" s="21" cm="1">
        <f t="array" aca="1" ref="CA7" ca="1">INDIRECT(ADDRESS(15,BW$1,,,B7))+INDIRECT(ADDRESS(16,BW$1,,,B7))</f>
        <v>1</v>
      </c>
      <c r="CB7" s="21">
        <f t="shared" ref="CB7:CB8" ca="1" si="12">CA7*(1+$D7)</f>
        <v>0</v>
      </c>
      <c r="CC7" s="24">
        <f ca="1">BZ7*(1+$E7)*CB7</f>
        <v>0</v>
      </c>
      <c r="CD7" s="24">
        <f ca="1">CC7*3</f>
        <v>0</v>
      </c>
      <c r="CE7" s="21" cm="1">
        <f t="array" aca="1" ref="CE7" ca="1">INDIRECT(ADDRESS(2,CE$1,,,B7))+INDIRECT(ADDRESS(3,CE$1,,,B7))</f>
        <v>4</v>
      </c>
      <c r="CF7" s="24" cm="1">
        <f t="array" aca="1" ref="CF7" ca="1">-INDIRECT(ADDRESS(5,CE$1,,,B7))*CG7</f>
        <v>-33381.169805444501</v>
      </c>
      <c r="CG7" s="21">
        <f>BY7</f>
        <v>18.500590138968207</v>
      </c>
      <c r="CH7" s="24">
        <f ca="1">CF7/CE7</f>
        <v>-8345.2924513611251</v>
      </c>
      <c r="CI7" s="21" cm="1">
        <f t="array" aca="1" ref="CI7" ca="1">INDIRECT(ADDRESS(15,CE$1,,,B7))+INDIRECT(ADDRESS(16,CE$1,,,B7))</f>
        <v>6</v>
      </c>
      <c r="CJ7" s="21">
        <f t="shared" ref="CJ7:CJ8" ca="1" si="13">CI7*(1+$D7)</f>
        <v>0</v>
      </c>
      <c r="CK7" s="24">
        <f ca="1">CH7*(1+$E7)*CJ7</f>
        <v>0</v>
      </c>
      <c r="CL7" s="24">
        <f t="shared" ref="CL7:CL8" ca="1" si="14">CK7*2</f>
        <v>0</v>
      </c>
      <c r="CM7" s="21" cm="1">
        <f t="array" aca="1" ref="CM7" ca="1">INDIRECT(ADDRESS(2,CM$1,,,B7))+INDIRECT(ADDRESS(3,CM$1,,,B7))</f>
        <v>4</v>
      </c>
      <c r="CN7" s="24" cm="1">
        <f t="array" aca="1" ref="CN7" ca="1">-INDIRECT(ADDRESS(5,CM$1,,,B7))*CO7</f>
        <v>-33381.169805444501</v>
      </c>
      <c r="CO7" s="21">
        <f>CG7</f>
        <v>18.500590138968207</v>
      </c>
      <c r="CP7" s="24">
        <f ca="1">CN7/CM7</f>
        <v>-8345.2924513611251</v>
      </c>
      <c r="CQ7" s="21" cm="1">
        <f t="array" aca="1" ref="CQ7" ca="1">INDIRECT(ADDRESS(15,CM$1,,,B7))+INDIRECT(ADDRESS(16,CM$1,,,B7))</f>
        <v>0</v>
      </c>
      <c r="CR7" s="21">
        <f t="shared" ref="CR7:CR8" ca="1" si="15">CQ7*(1+$D7)</f>
        <v>0</v>
      </c>
      <c r="CS7" s="24">
        <f ca="1">CP7*(1+$E7)*CR7</f>
        <v>0</v>
      </c>
      <c r="CT7" s="24">
        <f ca="1">CS7*1</f>
        <v>0</v>
      </c>
      <c r="CW7" s="9">
        <f>AZ7</f>
        <v>0</v>
      </c>
      <c r="CX7" s="9">
        <f t="shared" ref="CX7:CX8" si="16">CW7*6</f>
        <v>0</v>
      </c>
      <c r="CY7" s="9"/>
      <c r="CZ7" s="28"/>
      <c r="DA7" s="9"/>
    </row>
    <row r="8" spans="1:105" x14ac:dyDescent="0.35">
      <c r="A8" s="21" t="s">
        <v>162</v>
      </c>
      <c r="B8" s="21" t="s">
        <v>100</v>
      </c>
      <c r="C8" s="22"/>
      <c r="D8" s="23">
        <v>-1</v>
      </c>
      <c r="E8" s="23">
        <v>0</v>
      </c>
      <c r="F8" s="24"/>
      <c r="G8" s="21"/>
      <c r="H8" s="21">
        <f t="shared" ca="1" si="3"/>
        <v>135</v>
      </c>
      <c r="I8" s="21">
        <f t="shared" ca="1" si="4"/>
        <v>0</v>
      </c>
      <c r="J8" s="21">
        <f t="shared" ca="1" si="5"/>
        <v>135</v>
      </c>
      <c r="K8" s="24"/>
      <c r="L8" s="24">
        <f t="shared" ca="1" si="6"/>
        <v>-15556278.995388476</v>
      </c>
      <c r="M8" s="24">
        <f t="shared" ca="1" si="7"/>
        <v>0</v>
      </c>
      <c r="N8" s="24"/>
      <c r="O8" s="24"/>
      <c r="P8" s="24"/>
      <c r="Q8" s="24"/>
      <c r="R8" s="21"/>
      <c r="S8" s="21"/>
      <c r="T8" s="21">
        <v>1.0893429963169774</v>
      </c>
      <c r="U8" s="21"/>
      <c r="V8" s="21"/>
      <c r="W8" s="21">
        <v>1.1308811627060837</v>
      </c>
      <c r="X8" s="21"/>
      <c r="Y8" s="21"/>
      <c r="Z8" s="21">
        <v>1.2286845214235986</v>
      </c>
      <c r="AA8" s="21"/>
      <c r="AB8" s="24"/>
      <c r="AC8" s="21">
        <v>1.2493830585887584</v>
      </c>
      <c r="AD8" s="24"/>
      <c r="AE8" s="21"/>
      <c r="AF8" s="21"/>
      <c r="AG8" s="24"/>
      <c r="AH8" s="24"/>
      <c r="AI8" s="21"/>
      <c r="AJ8" s="24"/>
      <c r="AK8" s="21">
        <f>AC8</f>
        <v>1.2493830585887584</v>
      </c>
      <c r="AL8" s="24"/>
      <c r="AM8" s="21"/>
      <c r="AN8" s="21"/>
      <c r="AO8" s="24"/>
      <c r="AP8" s="24"/>
      <c r="AQ8" s="21"/>
      <c r="AR8" s="24"/>
      <c r="AS8" s="21">
        <v>1.1919491096721972</v>
      </c>
      <c r="AT8" s="24"/>
      <c r="AU8" s="21"/>
      <c r="AV8" s="21"/>
      <c r="AW8" s="24"/>
      <c r="AX8" s="24"/>
      <c r="AY8" s="21"/>
      <c r="AZ8" s="24"/>
      <c r="BA8" s="21">
        <v>1.2510729889984835</v>
      </c>
      <c r="BB8" s="24"/>
      <c r="BC8" s="21"/>
      <c r="BD8" s="21"/>
      <c r="BE8" s="24"/>
      <c r="BF8" s="24"/>
      <c r="BG8" s="21" cm="1">
        <f t="array" aca="1" ref="BG8" ca="1">INDIRECT(ADDRESS(2,BG$1,,,B8))+INDIRECT(ADDRESS(3,BG$1,,,B8))</f>
        <v>163</v>
      </c>
      <c r="BH8" s="24" cm="1">
        <f t="array" aca="1" ref="BH8" ca="1">-INDIRECT(ADDRESS(5,BG$1,,,B8))*BI8</f>
        <v>-3313453.012027415</v>
      </c>
      <c r="BI8" s="21">
        <f>BA8</f>
        <v>1.2510729889984835</v>
      </c>
      <c r="BJ8" s="24">
        <f ca="1">BH8/BG8</f>
        <v>-20327.932589125245</v>
      </c>
      <c r="BK8" s="21" cm="1">
        <f t="array" aca="1" ref="BK8" ca="1">INDIRECT(ADDRESS(15,BG$1,,,B8))+INDIRECT(ADDRESS(16,BG$1,,,B8))</f>
        <v>0</v>
      </c>
      <c r="BL8" s="21">
        <f t="shared" ca="1" si="8"/>
        <v>0</v>
      </c>
      <c r="BM8" s="24">
        <f ca="1">BJ8*(1+$E8)*BL8</f>
        <v>0</v>
      </c>
      <c r="BN8" s="24">
        <f t="shared" ca="1" si="9"/>
        <v>0</v>
      </c>
      <c r="BO8" s="21" cm="1">
        <f t="array" aca="1" ref="BO8" ca="1">INDIRECT(ADDRESS(2,BO$1,,,B8))+INDIRECT(ADDRESS(3,BO$1,,,B8))</f>
        <v>137</v>
      </c>
      <c r="BP8" s="24" cm="1">
        <f t="array" aca="1" ref="BP8" ca="1">-INDIRECT(ADDRESS(5,BO$1,,,B8))*BQ8</f>
        <v>-3073482.4750976954</v>
      </c>
      <c r="BQ8" s="21">
        <f>BI8</f>
        <v>1.2510729889984835</v>
      </c>
      <c r="BR8" s="24">
        <f ca="1">BP8/BO8</f>
        <v>-22434.178650348142</v>
      </c>
      <c r="BS8" s="21" cm="1">
        <f t="array" aca="1" ref="BS8" ca="1">INDIRECT(ADDRESS(15,BO$1,,,B8))+INDIRECT(ADDRESS(16,BO$1,,,B8))</f>
        <v>2</v>
      </c>
      <c r="BT8" s="21">
        <f t="shared" ca="1" si="10"/>
        <v>0</v>
      </c>
      <c r="BU8" s="24">
        <f ca="1">BR8*(1+$E8)*BT8</f>
        <v>0</v>
      </c>
      <c r="BV8" s="24">
        <f t="shared" ca="1" si="11"/>
        <v>0</v>
      </c>
      <c r="BW8" s="21" cm="1">
        <f t="array" aca="1" ref="BW8" ca="1">INDIRECT(ADDRESS(2,BW$1,,,B8))+INDIRECT(ADDRESS(3,BW$1,,,B8))</f>
        <v>136</v>
      </c>
      <c r="BX8" s="24" cm="1">
        <f t="array" aca="1" ref="BX8" ca="1">-INDIRECT(ADDRESS(5,BW$1,,,B8))*BY8</f>
        <v>-3065917.3243083307</v>
      </c>
      <c r="BY8" s="21">
        <f>BQ8</f>
        <v>1.2510729889984835</v>
      </c>
      <c r="BZ8" s="24">
        <f ca="1">BX8/BW8</f>
        <v>-22543.509737561253</v>
      </c>
      <c r="CA8" s="21" cm="1">
        <f t="array" aca="1" ref="CA8" ca="1">INDIRECT(ADDRESS(15,BW$1,,,B8))+INDIRECT(ADDRESS(16,BW$1,,,B8))</f>
        <v>1</v>
      </c>
      <c r="CB8" s="21">
        <f t="shared" ca="1" si="12"/>
        <v>0</v>
      </c>
      <c r="CC8" s="24">
        <f ca="1">BZ8*(1+$E8)*CB8</f>
        <v>0</v>
      </c>
      <c r="CD8" s="24">
        <f ca="1">CC8*3</f>
        <v>0</v>
      </c>
      <c r="CE8" s="21" cm="1">
        <f t="array" aca="1" ref="CE8" ca="1">INDIRECT(ADDRESS(2,CE$1,,,B8))+INDIRECT(ADDRESS(3,CE$1,,,B8))</f>
        <v>135</v>
      </c>
      <c r="CF8" s="24" cm="1">
        <f t="array" aca="1" ref="CF8" ca="1">-INDIRECT(ADDRESS(5,CE$1,,,B8))*CG8</f>
        <v>-3051713.0919775181</v>
      </c>
      <c r="CG8" s="21">
        <f>BY8</f>
        <v>1.2510729889984835</v>
      </c>
      <c r="CH8" s="24">
        <f ca="1">CF8/CE8</f>
        <v>-22605.282162796429</v>
      </c>
      <c r="CI8" s="21" cm="1">
        <f t="array" aca="1" ref="CI8" ca="1">INDIRECT(ADDRESS(15,CE$1,,,B8))+INDIRECT(ADDRESS(16,CE$1,,,B8))</f>
        <v>1</v>
      </c>
      <c r="CJ8" s="21">
        <f t="shared" ca="1" si="13"/>
        <v>0</v>
      </c>
      <c r="CK8" s="24">
        <f ca="1">CH8*(1+$E8)*CJ8</f>
        <v>0</v>
      </c>
      <c r="CL8" s="24">
        <f t="shared" ca="1" si="14"/>
        <v>0</v>
      </c>
      <c r="CM8" s="21" cm="1">
        <f t="array" aca="1" ref="CM8" ca="1">INDIRECT(ADDRESS(2,CM$1,,,B8))+INDIRECT(ADDRESS(3,CM$1,,,B8))</f>
        <v>135</v>
      </c>
      <c r="CN8" s="24" cm="1">
        <f t="array" aca="1" ref="CN8" ca="1">-INDIRECT(ADDRESS(5,CM$1,,,B8))*CO8</f>
        <v>-3051713.0919775181</v>
      </c>
      <c r="CO8" s="21">
        <f>CG8</f>
        <v>1.2510729889984835</v>
      </c>
      <c r="CP8" s="24">
        <f ca="1">CN8/CM8</f>
        <v>-22605.282162796429</v>
      </c>
      <c r="CQ8" s="21" cm="1">
        <f t="array" aca="1" ref="CQ8" ca="1">INDIRECT(ADDRESS(15,CM$1,,,B8))+INDIRECT(ADDRESS(16,CM$1,,,B8))</f>
        <v>0</v>
      </c>
      <c r="CR8" s="21">
        <f t="shared" ca="1" si="15"/>
        <v>0</v>
      </c>
      <c r="CS8" s="24">
        <f ca="1">CP8*(1+$E8)*CR8</f>
        <v>0</v>
      </c>
      <c r="CT8" s="24">
        <f ca="1">CS8*1</f>
        <v>0</v>
      </c>
      <c r="CW8" s="9">
        <f>AZ8</f>
        <v>0</v>
      </c>
      <c r="CX8" s="9">
        <f t="shared" si="16"/>
        <v>0</v>
      </c>
      <c r="CY8" s="9"/>
      <c r="CZ8" s="28"/>
      <c r="DA8" s="9"/>
    </row>
    <row r="9" spans="1:105" x14ac:dyDescent="0.35">
      <c r="D9" s="5"/>
      <c r="E9" s="5"/>
      <c r="F9" s="9"/>
      <c r="K9" s="9"/>
      <c r="L9" s="9"/>
      <c r="M9" s="9"/>
      <c r="N9" s="9"/>
      <c r="O9" s="9"/>
      <c r="P9" s="9"/>
      <c r="Q9" s="9"/>
    </row>
    <row r="10" spans="1:105" x14ac:dyDescent="0.35">
      <c r="A10" s="21" t="s">
        <v>163</v>
      </c>
      <c r="B10" s="21" t="s">
        <v>106</v>
      </c>
      <c r="C10" s="22"/>
      <c r="D10" s="23">
        <v>0.01</v>
      </c>
      <c r="E10" s="23">
        <f>29%/2</f>
        <v>0.14499999999999999</v>
      </c>
      <c r="F10" s="24">
        <v>113726588</v>
      </c>
      <c r="G10" s="21">
        <v>408</v>
      </c>
      <c r="H10" s="21">
        <f t="shared" ref="H10:H12" ca="1" si="17">CM10</f>
        <v>255</v>
      </c>
      <c r="I10" s="21">
        <f t="shared" ref="I10:I12" ca="1" si="18">AF10+AN10+AV10+BD10+BL10+BT10+CB10+CJ10+CR10</f>
        <v>10.100000000000001</v>
      </c>
      <c r="J10" s="21">
        <f t="shared" ref="J10:J12" ca="1" si="19">H10+INT(I10)</f>
        <v>265</v>
      </c>
      <c r="K10" s="9">
        <v>-44528051.175321355</v>
      </c>
      <c r="L10" s="24">
        <f t="shared" ref="L10:L12" ca="1" si="20">AB10+AJ10+AR10+AZ10+BH10+BP10+BX10+CF10+CN10</f>
        <v>-29373105.130010545</v>
      </c>
      <c r="M10" s="24">
        <f t="shared" ref="M10:M12" ca="1" si="21">AH10+AP10+AX10+BF10+BN10+BV10+CD10+CL10+CT10</f>
        <v>-457801.36680684885</v>
      </c>
      <c r="N10" s="24">
        <f t="shared" ref="N10:N12" ca="1" si="22">K10+L10+M10</f>
        <v>-74358957.672138751</v>
      </c>
      <c r="O10" s="24">
        <f t="shared" ref="O10:O12" ca="1" si="23">N10+F10</f>
        <v>39367630.327861249</v>
      </c>
      <c r="P10" s="25">
        <f t="shared" ref="P10:P17" ca="1" si="24">-N10/F10</f>
        <v>0.65383969553486254</v>
      </c>
      <c r="Q10" s="25">
        <f>F10/$F$23</f>
        <v>4.2723161014914045E-2</v>
      </c>
      <c r="R10" s="21">
        <v>334</v>
      </c>
      <c r="S10" s="21">
        <v>6168000</v>
      </c>
      <c r="T10" s="21">
        <v>0.27312914430059992</v>
      </c>
      <c r="U10" s="21"/>
      <c r="V10" s="21"/>
      <c r="W10" s="21">
        <v>0.27964626035203821</v>
      </c>
      <c r="X10" s="21"/>
      <c r="Y10" s="21"/>
      <c r="Z10" s="21">
        <v>0.28892744614472576</v>
      </c>
      <c r="AA10" s="21"/>
      <c r="AB10" s="24"/>
      <c r="AC10" s="21">
        <v>0.29372343421406671</v>
      </c>
      <c r="AD10" s="24"/>
      <c r="AE10" s="21"/>
      <c r="AF10" s="21"/>
      <c r="AG10" s="24"/>
      <c r="AH10" s="24"/>
      <c r="AI10" s="21"/>
      <c r="AJ10" s="24"/>
      <c r="AK10" s="21">
        <f t="shared" ref="AK10:AK12" si="25">AC10</f>
        <v>0.29372343421406671</v>
      </c>
      <c r="AL10" s="24"/>
      <c r="AM10" s="21"/>
      <c r="AN10" s="21"/>
      <c r="AO10" s="24"/>
      <c r="AP10" s="24"/>
      <c r="AQ10" s="21"/>
      <c r="AR10" s="24"/>
      <c r="AS10" s="21">
        <v>0.28919621997492501</v>
      </c>
      <c r="AT10" s="24"/>
      <c r="AU10" s="21"/>
      <c r="AV10" s="21"/>
      <c r="AW10" s="24"/>
      <c r="AX10" s="24"/>
      <c r="AY10" s="21"/>
      <c r="AZ10" s="24"/>
      <c r="BA10" s="21">
        <f t="shared" ref="BA10:BA12" si="26">AS10</f>
        <v>0.28919621997492501</v>
      </c>
      <c r="BB10" s="24"/>
      <c r="BC10" s="21"/>
      <c r="BD10" s="21"/>
      <c r="BE10" s="24"/>
      <c r="BF10" s="24"/>
      <c r="BG10" s="21" cm="1">
        <f t="array" aca="1" ref="BG10" ca="1">INDIRECT(ADDRESS(2,BG$1,,,B10))+INDIRECT(ADDRESS(3,BG$1,,,B10))</f>
        <v>302</v>
      </c>
      <c r="BH10" s="24" cm="1">
        <f t="array" aca="1" ref="BH10" ca="1">-INDIRECT(ADDRESS(5,BG$1,,,B10))*BI10</f>
        <v>-6446124.9409736712</v>
      </c>
      <c r="BI10" s="21">
        <f t="shared" ref="BI10:BI12" si="27">BA10</f>
        <v>0.28919621997492501</v>
      </c>
      <c r="BJ10" s="24">
        <f t="shared" ref="BJ10:BJ12" ca="1" si="28">BH10/BG10</f>
        <v>-21344.784572760502</v>
      </c>
      <c r="BK10" s="21" cm="1">
        <f t="array" aca="1" ref="BK10" ca="1">INDIRECT(ADDRESS(15,BG$1,,,B10))+INDIRECT(ADDRESS(16,BG$1,,,B10))</f>
        <v>0</v>
      </c>
      <c r="BL10" s="21">
        <f t="shared" ref="BL10:BL12" ca="1" si="29">BK10*(1+$D10)</f>
        <v>0</v>
      </c>
      <c r="BM10" s="24">
        <f t="shared" ref="BM10:BM12" ca="1" si="30">BJ10*(1+$E10)*BL10</f>
        <v>0</v>
      </c>
      <c r="BN10" s="24">
        <f t="shared" ref="BN10:BN12" ca="1" si="31">BM10*5</f>
        <v>0</v>
      </c>
      <c r="BO10" s="21" cm="1">
        <f t="array" aca="1" ref="BO10" ca="1">INDIRECT(ADDRESS(2,BO$1,,,B10))+INDIRECT(ADDRESS(3,BO$1,,,B10))</f>
        <v>263</v>
      </c>
      <c r="BP10" s="24" cm="1">
        <f t="array" aca="1" ref="BP10" ca="1">-INDIRECT(ADDRESS(5,BO$1,,,B10))*BQ10</f>
        <v>-5798986.8289045431</v>
      </c>
      <c r="BQ10" s="21">
        <f t="shared" ref="BQ10:BQ12" si="32">BI10</f>
        <v>0.28919621997492501</v>
      </c>
      <c r="BR10" s="24">
        <f t="shared" ref="BR10:BR12" ca="1" si="33">BP10/BO10</f>
        <v>-22049.379577583815</v>
      </c>
      <c r="BS10" s="21" cm="1">
        <f t="array" aca="1" ref="BS10" ca="1">INDIRECT(ADDRESS(15,BO$1,,,B10))+INDIRECT(ADDRESS(16,BO$1,,,B10))</f>
        <v>2</v>
      </c>
      <c r="BT10" s="21">
        <f t="shared" ref="BT10:BT12" ca="1" si="34">BS10*(1+$D10)</f>
        <v>2.02</v>
      </c>
      <c r="BU10" s="24">
        <f t="shared" ref="BU10:BU12" ca="1" si="35">BR10*(1+$E10)*BT10</f>
        <v>-50998.010024993608</v>
      </c>
      <c r="BV10" s="24">
        <f t="shared" ref="BV10:BV12" ca="1" si="36">BU10*4</f>
        <v>-203992.04009997443</v>
      </c>
      <c r="BW10" s="21" cm="1">
        <f t="array" aca="1" ref="BW10" ca="1">INDIRECT(ADDRESS(2,BW$1,,,B10))+INDIRECT(ADDRESS(3,BW$1,,,B10))</f>
        <v>262</v>
      </c>
      <c r="BX10" s="24" cm="1">
        <f t="array" aca="1" ref="BX10" ca="1">-INDIRECT(ADDRESS(5,BW$1,,,B10))*BY10</f>
        <v>-5769811.1063024905</v>
      </c>
      <c r="BY10" s="21">
        <f t="shared" ref="BY10:BY12" si="37">BQ10</f>
        <v>0.28919621997492501</v>
      </c>
      <c r="BZ10" s="24">
        <f t="shared" ref="BZ10:BZ12" ca="1" si="38">BX10/BW10</f>
        <v>-22022.179795047672</v>
      </c>
      <c r="CA10" s="21" cm="1">
        <f t="array" aca="1" ref="CA10" ca="1">INDIRECT(ADDRESS(15,BW$1,,,B10))+INDIRECT(ADDRESS(16,BW$1,,,B10))</f>
        <v>1</v>
      </c>
      <c r="CB10" s="21">
        <f t="shared" ref="CB10:CB12" ca="1" si="39">CA10*(1+$D10)</f>
        <v>1.01</v>
      </c>
      <c r="CC10" s="24">
        <f t="shared" ref="CC10:CC12" ca="1" si="40">BZ10*(1+$E10)*CB10</f>
        <v>-25467.549823982881</v>
      </c>
      <c r="CD10" s="24">
        <f ca="1">CC10*3</f>
        <v>-76402.649471948651</v>
      </c>
      <c r="CE10" s="21" cm="1">
        <f t="array" aca="1" ref="CE10" ca="1">INDIRECT(ADDRESS(2,CE$1,,,B10))+INDIRECT(ADDRESS(3,CE$1,,,B10))</f>
        <v>262</v>
      </c>
      <c r="CF10" s="24" cm="1">
        <f t="array" aca="1" ref="CF10" ca="1">-INDIRECT(ADDRESS(5,CE$1,,,B10))*CG10</f>
        <v>-5769811.1063024905</v>
      </c>
      <c r="CG10" s="21">
        <f t="shared" ref="CG10:CG12" si="41">BY10</f>
        <v>0.28919621997492501</v>
      </c>
      <c r="CH10" s="24">
        <f t="shared" ref="CH10:CH12" ca="1" si="42">CF10/CE10</f>
        <v>-22022.179795047672</v>
      </c>
      <c r="CI10" s="21" cm="1">
        <f t="array" aca="1" ref="CI10" ca="1">INDIRECT(ADDRESS(15,CE$1,,,B10))+INDIRECT(ADDRESS(16,CE$1,,,B10))</f>
        <v>0</v>
      </c>
      <c r="CJ10" s="21">
        <f t="shared" ref="CJ10:CJ12" ca="1" si="43">CI10*(1+$D10)</f>
        <v>0</v>
      </c>
      <c r="CK10" s="24">
        <f t="shared" ref="CK10:CK12" ca="1" si="44">CH10*(1+$E10)*CJ10</f>
        <v>0</v>
      </c>
      <c r="CL10" s="24">
        <f t="shared" ref="CL10:CL12" ca="1" si="45">CK10*2</f>
        <v>0</v>
      </c>
      <c r="CM10" s="21" cm="1">
        <f t="array" aca="1" ref="CM10" ca="1">INDIRECT(ADDRESS(2,CM$1,,,B10))+INDIRECT(ADDRESS(3,CM$1,,,B10))</f>
        <v>255</v>
      </c>
      <c r="CN10" s="24" cm="1">
        <f t="array" aca="1" ref="CN10" ca="1">-INDIRECT(ADDRESS(5,CM$1,,,B10))*CO10</f>
        <v>-5588371.1475273538</v>
      </c>
      <c r="CO10" s="21">
        <f t="shared" ref="CO10:CO12" si="46">CG10</f>
        <v>0.28919621997492501</v>
      </c>
      <c r="CP10" s="24">
        <f t="shared" ref="CP10:CP12" ca="1" si="47">CN10/CM10</f>
        <v>-21915.180970695506</v>
      </c>
      <c r="CQ10" s="21" cm="1">
        <f t="array" aca="1" ref="CQ10" ca="1">INDIRECT(ADDRESS(15,CM$1,,,B10))+INDIRECT(ADDRESS(16,CM$1,,,B10))</f>
        <v>7</v>
      </c>
      <c r="CR10" s="21">
        <f t="shared" ref="CR10:CR12" ca="1" si="48">CQ10*(1+$D10)</f>
        <v>7.07</v>
      </c>
      <c r="CS10" s="24">
        <f t="shared" ref="CS10:CS12" ca="1" si="49">CP10*(1+$E10)*CR10</f>
        <v>-177406.67723492574</v>
      </c>
      <c r="CT10" s="24">
        <f ca="1">CS10*1</f>
        <v>-177406.67723492574</v>
      </c>
      <c r="CW10" s="9">
        <f>AZ10</f>
        <v>0</v>
      </c>
      <c r="CX10" s="9">
        <f t="shared" ref="CX10:CX12" si="50">CW10*6</f>
        <v>0</v>
      </c>
      <c r="CY10" s="9">
        <f>K10</f>
        <v>-44528051.175321355</v>
      </c>
      <c r="CZ10" s="28"/>
      <c r="DA10" s="9"/>
    </row>
    <row r="11" spans="1:105" x14ac:dyDescent="0.35">
      <c r="A11" s="21" t="s">
        <v>164</v>
      </c>
      <c r="B11" s="21" t="s">
        <v>107</v>
      </c>
      <c r="C11" s="22"/>
      <c r="D11" s="23">
        <v>0.03</v>
      </c>
      <c r="E11" s="23">
        <f>37%/2</f>
        <v>0.185</v>
      </c>
      <c r="F11" s="24">
        <v>199243565</v>
      </c>
      <c r="G11" s="21">
        <v>1471</v>
      </c>
      <c r="H11" s="21">
        <f ca="1">CM11</f>
        <v>1057</v>
      </c>
      <c r="I11" s="21">
        <f t="shared" ca="1" si="18"/>
        <v>152.44</v>
      </c>
      <c r="J11" s="21">
        <f t="shared" ca="1" si="19"/>
        <v>1209</v>
      </c>
      <c r="K11" s="9">
        <v>-88937123.660000026</v>
      </c>
      <c r="L11" s="24">
        <f t="shared" ca="1" si="20"/>
        <v>-73444450.739999995</v>
      </c>
      <c r="M11" s="24">
        <f t="shared" ca="1" si="21"/>
        <v>-5630466.0469617965</v>
      </c>
      <c r="N11" s="24">
        <f t="shared" ca="1" si="22"/>
        <v>-168012040.44696182</v>
      </c>
      <c r="O11" s="24">
        <f t="shared" ca="1" si="23"/>
        <v>31231524.55303818</v>
      </c>
      <c r="P11" s="25">
        <f t="shared" ca="1" si="24"/>
        <v>0.84324951948617166</v>
      </c>
      <c r="Q11" s="25">
        <f>F11/$F$23</f>
        <v>7.4848943051738198E-2</v>
      </c>
      <c r="R11" s="21">
        <v>1321</v>
      </c>
      <c r="S11" s="21">
        <v>15116000</v>
      </c>
      <c r="T11" s="21"/>
      <c r="U11" s="21"/>
      <c r="V11" s="21"/>
      <c r="W11" s="21"/>
      <c r="X11" s="21"/>
      <c r="Y11" s="21"/>
      <c r="Z11" s="21">
        <v>1</v>
      </c>
      <c r="AA11" s="21"/>
      <c r="AB11" s="24"/>
      <c r="AC11" s="21">
        <f t="shared" ref="AC11:AC12" si="51">Z11</f>
        <v>1</v>
      </c>
      <c r="AD11" s="24"/>
      <c r="AE11" s="21"/>
      <c r="AF11" s="21"/>
      <c r="AG11" s="24"/>
      <c r="AH11" s="24"/>
      <c r="AI11" s="21"/>
      <c r="AJ11" s="24"/>
      <c r="AK11" s="21">
        <f t="shared" si="25"/>
        <v>1</v>
      </c>
      <c r="AL11" s="24"/>
      <c r="AM11" s="21"/>
      <c r="AN11" s="21"/>
      <c r="AO11" s="24"/>
      <c r="AP11" s="24"/>
      <c r="AQ11" s="21"/>
      <c r="AR11" s="24"/>
      <c r="AS11" s="21">
        <f>AK11</f>
        <v>1</v>
      </c>
      <c r="AT11" s="24"/>
      <c r="AU11" s="21"/>
      <c r="AV11" s="21"/>
      <c r="AW11" s="24"/>
      <c r="AX11" s="24"/>
      <c r="AY11" s="21"/>
      <c r="AZ11" s="24"/>
      <c r="BA11" s="21">
        <f t="shared" si="26"/>
        <v>1</v>
      </c>
      <c r="BB11" s="24"/>
      <c r="BC11" s="21"/>
      <c r="BD11" s="21"/>
      <c r="BE11" s="24"/>
      <c r="BF11" s="24"/>
      <c r="BG11" s="21" cm="1">
        <f t="array" aca="1" ref="BG11" ca="1">INDIRECT(ADDRESS(2,BG$1,,,B11))+INDIRECT(ADDRESS(3,BG$1,,,B11))</f>
        <v>1312</v>
      </c>
      <c r="BH11" s="24" cm="1">
        <f t="array" aca="1" ref="BH11" ca="1">-INDIRECT(ADDRESS(5,BG$1,,,B11))*BI11</f>
        <v>-16127039.58</v>
      </c>
      <c r="BI11" s="21">
        <f t="shared" si="27"/>
        <v>1</v>
      </c>
      <c r="BJ11" s="24">
        <f t="shared" ca="1" si="28"/>
        <v>-12291.950899390244</v>
      </c>
      <c r="BK11" s="21" cm="1">
        <f t="array" aca="1" ref="BK11" ca="1">INDIRECT(ADDRESS(15,BG$1,,,B11))+INDIRECT(ADDRESS(16,BG$1,,,B11))</f>
        <v>0</v>
      </c>
      <c r="BL11" s="21">
        <f t="shared" ca="1" si="29"/>
        <v>0</v>
      </c>
      <c r="BM11" s="24">
        <f t="shared" ca="1" si="30"/>
        <v>0</v>
      </c>
      <c r="BN11" s="24">
        <f t="shared" ca="1" si="31"/>
        <v>0</v>
      </c>
      <c r="BO11" s="21" cm="1">
        <f t="array" aca="1" ref="BO11" ca="1">INDIRECT(ADDRESS(2,BO$1,,,B11))+INDIRECT(ADDRESS(3,BO$1,,,B11))</f>
        <v>1154</v>
      </c>
      <c r="BP11" s="24" cm="1">
        <f t="array" aca="1" ref="BP11" ca="1">-INDIRECT(ADDRESS(5,BO$1,,,B11))*BQ11</f>
        <v>-14717656.82</v>
      </c>
      <c r="BQ11" s="21">
        <f t="shared" si="32"/>
        <v>1</v>
      </c>
      <c r="BR11" s="24">
        <f t="shared" ca="1" si="33"/>
        <v>-12753.602097053727</v>
      </c>
      <c r="BS11" s="21" cm="1">
        <f t="array" aca="1" ref="BS11" ca="1">INDIRECT(ADDRESS(15,BO$1,,,B11))+INDIRECT(ADDRESS(16,BO$1,,,B11))</f>
        <v>51</v>
      </c>
      <c r="BT11" s="21">
        <f t="shared" ca="1" si="34"/>
        <v>52.53</v>
      </c>
      <c r="BU11" s="24">
        <f t="shared" ca="1" si="35"/>
        <v>-793886.86101750529</v>
      </c>
      <c r="BV11" s="24">
        <f t="shared" ca="1" si="36"/>
        <v>-3175547.4440700212</v>
      </c>
      <c r="BW11" s="21" cm="1">
        <f t="array" aca="1" ref="BW11" ca="1">INDIRECT(ADDRESS(2,BW$1,,,B11))+INDIRECT(ADDRESS(3,BW$1,,,B11))</f>
        <v>1134</v>
      </c>
      <c r="BX11" s="24" cm="1">
        <f t="array" aca="1" ref="BX11" ca="1">-INDIRECT(ADDRESS(5,BW$1,,,B11))*BY11</f>
        <v>-14505774.890000001</v>
      </c>
      <c r="BY11" s="21">
        <f t="shared" si="37"/>
        <v>1</v>
      </c>
      <c r="BZ11" s="24">
        <f t="shared" ca="1" si="38"/>
        <v>-12791.688615520283</v>
      </c>
      <c r="CA11" s="21" cm="1">
        <f t="array" aca="1" ref="CA11" ca="1">INDIRECT(ADDRESS(15,BW$1,,,B11))+INDIRECT(ADDRESS(16,BW$1,,,B11))</f>
        <v>20</v>
      </c>
      <c r="CB11" s="21">
        <f t="shared" ca="1" si="39"/>
        <v>20.6</v>
      </c>
      <c r="CC11" s="24">
        <f t="shared" ca="1" si="40"/>
        <v>-312257.91079346568</v>
      </c>
      <c r="CD11" s="24">
        <f ca="1">CC11*3</f>
        <v>-936773.73238039704</v>
      </c>
      <c r="CE11" s="21" cm="1">
        <f t="array" aca="1" ref="CE11" ca="1">INDIRECT(ADDRESS(2,CE$1,,,B11))+INDIRECT(ADDRESS(3,CE$1,,,B11))</f>
        <v>1115</v>
      </c>
      <c r="CF11" s="24" cm="1">
        <f t="array" aca="1" ref="CF11" ca="1">-INDIRECT(ADDRESS(5,CE$1,,,B11))*CG11</f>
        <v>-14321213.439999999</v>
      </c>
      <c r="CG11" s="21">
        <f t="shared" si="41"/>
        <v>1</v>
      </c>
      <c r="CH11" s="24">
        <f t="shared" ca="1" si="42"/>
        <v>-12844.137614349775</v>
      </c>
      <c r="CI11" s="21" cm="1">
        <f t="array" aca="1" ref="CI11" ca="1">INDIRECT(ADDRESS(15,CE$1,,,B11))+INDIRECT(ADDRESS(16,CE$1,,,B11))</f>
        <v>19</v>
      </c>
      <c r="CJ11" s="21">
        <f t="shared" ca="1" si="43"/>
        <v>19.57</v>
      </c>
      <c r="CK11" s="24">
        <f t="shared" ca="1" si="44"/>
        <v>-297861.33113869774</v>
      </c>
      <c r="CL11" s="24">
        <f t="shared" ca="1" si="45"/>
        <v>-595722.66227739549</v>
      </c>
      <c r="CM11" s="21" cm="1">
        <f t="array" aca="1" ref="CM11" ca="1">INDIRECT(ADDRESS(2,CM$1,,,B11))+INDIRECT(ADDRESS(3,CM$1,,,B11))</f>
        <v>1057</v>
      </c>
      <c r="CN11" s="24" cm="1">
        <f t="array" aca="1" ref="CN11" ca="1">-INDIRECT(ADDRESS(5,CM$1,,,B11))*CO11</f>
        <v>-13772766.01</v>
      </c>
      <c r="CO11" s="21">
        <f t="shared" si="46"/>
        <v>1</v>
      </c>
      <c r="CP11" s="24">
        <f t="shared" ca="1" si="47"/>
        <v>-13030.052989593189</v>
      </c>
      <c r="CQ11" s="21" cm="1">
        <f t="array" aca="1" ref="CQ11" ca="1">INDIRECT(ADDRESS(15,CM$1,,,B11))+INDIRECT(ADDRESS(16,CM$1,,,B11))</f>
        <v>58</v>
      </c>
      <c r="CR11" s="21">
        <f t="shared" ca="1" si="48"/>
        <v>59.74</v>
      </c>
      <c r="CS11" s="24">
        <f t="shared" ca="1" si="49"/>
        <v>-922422.20823398209</v>
      </c>
      <c r="CT11" s="24">
        <f ca="1">CS11*1</f>
        <v>-922422.20823398209</v>
      </c>
      <c r="CW11" s="9">
        <f>AZ11</f>
        <v>0</v>
      </c>
      <c r="CX11" s="9">
        <f t="shared" si="50"/>
        <v>0</v>
      </c>
      <c r="CY11" s="9">
        <f>K11</f>
        <v>-88937123.660000026</v>
      </c>
      <c r="CZ11" s="28"/>
      <c r="DA11" s="9"/>
    </row>
    <row r="12" spans="1:105" x14ac:dyDescent="0.35">
      <c r="A12" s="21" t="s">
        <v>165</v>
      </c>
      <c r="B12" s="21" t="s">
        <v>110</v>
      </c>
      <c r="C12" s="22"/>
      <c r="D12" s="23">
        <v>0.09</v>
      </c>
      <c r="E12" s="23">
        <f>76%/2</f>
        <v>0.38</v>
      </c>
      <c r="F12" s="24">
        <v>24454461</v>
      </c>
      <c r="G12" s="21">
        <v>179</v>
      </c>
      <c r="H12" s="21">
        <f t="shared" ca="1" si="17"/>
        <v>161</v>
      </c>
      <c r="I12" s="21">
        <f t="shared" ca="1" si="18"/>
        <v>19.62</v>
      </c>
      <c r="J12" s="21">
        <f t="shared" ca="1" si="19"/>
        <v>180</v>
      </c>
      <c r="K12" s="9">
        <v>-13748320.859999998</v>
      </c>
      <c r="L12" s="24">
        <f ca="1">AB12+AJ12+AR12+AZ12+BH12+BP12+BX12+CF12+CN12</f>
        <v>-13538863.919999998</v>
      </c>
      <c r="M12" s="24">
        <f t="shared" ca="1" si="21"/>
        <v>-1083139.3473530849</v>
      </c>
      <c r="N12" s="24">
        <f t="shared" ca="1" si="22"/>
        <v>-28370324.12735308</v>
      </c>
      <c r="O12" s="24">
        <f t="shared" ca="1" si="23"/>
        <v>-3915863.1273530796</v>
      </c>
      <c r="P12" s="25">
        <f t="shared" ca="1" si="24"/>
        <v>1.1601287849833648</v>
      </c>
      <c r="Q12" s="25">
        <f>F12/$F$23</f>
        <v>9.1866984951305842E-3</v>
      </c>
      <c r="R12" s="21">
        <v>182</v>
      </c>
      <c r="S12" s="21">
        <v>2365000</v>
      </c>
      <c r="T12" s="21"/>
      <c r="U12" s="21"/>
      <c r="V12" s="21"/>
      <c r="W12" s="21"/>
      <c r="X12" s="21"/>
      <c r="Y12" s="21"/>
      <c r="Z12" s="21">
        <v>1</v>
      </c>
      <c r="AA12" s="21"/>
      <c r="AB12" s="24"/>
      <c r="AC12" s="21">
        <f t="shared" si="51"/>
        <v>1</v>
      </c>
      <c r="AD12" s="24"/>
      <c r="AE12" s="21"/>
      <c r="AF12" s="21"/>
      <c r="AG12" s="24"/>
      <c r="AH12" s="24"/>
      <c r="AI12" s="21"/>
      <c r="AJ12" s="24"/>
      <c r="AK12" s="21">
        <f t="shared" si="25"/>
        <v>1</v>
      </c>
      <c r="AL12" s="24"/>
      <c r="AM12" s="21"/>
      <c r="AN12" s="21"/>
      <c r="AO12" s="24"/>
      <c r="AP12" s="24"/>
      <c r="AQ12" s="21"/>
      <c r="AR12" s="24"/>
      <c r="AS12" s="21">
        <f>AK12</f>
        <v>1</v>
      </c>
      <c r="AT12" s="24"/>
      <c r="AU12" s="21"/>
      <c r="AV12" s="21"/>
      <c r="AW12" s="24"/>
      <c r="AX12" s="24"/>
      <c r="AY12" s="21"/>
      <c r="AZ12" s="24"/>
      <c r="BA12" s="21">
        <f t="shared" si="26"/>
        <v>1</v>
      </c>
      <c r="BB12" s="24"/>
      <c r="BC12" s="21"/>
      <c r="BD12" s="21"/>
      <c r="BE12" s="24"/>
      <c r="BF12" s="24"/>
      <c r="BG12" s="21" cm="1">
        <f t="array" aca="1" ref="BG12" ca="1">INDIRECT(ADDRESS(2,BG$1,,,B12))+INDIRECT(ADDRESS(3,BG$1,,,B12))</f>
        <v>187</v>
      </c>
      <c r="BH12" s="24" cm="1">
        <f t="array" aca="1" ref="BH12" ca="1">-INDIRECT(ADDRESS(5,BG$1,,,B12))*BI12</f>
        <v>-2832160.03</v>
      </c>
      <c r="BI12" s="21">
        <f t="shared" si="27"/>
        <v>1</v>
      </c>
      <c r="BJ12" s="24">
        <f t="shared" ca="1" si="28"/>
        <v>-15145.240802139037</v>
      </c>
      <c r="BK12" s="21" cm="1">
        <f t="array" aca="1" ref="BK12" ca="1">INDIRECT(ADDRESS(15,BG$1,,,B12))+INDIRECT(ADDRESS(16,BG$1,,,B12))</f>
        <v>0</v>
      </c>
      <c r="BL12" s="21">
        <f t="shared" ca="1" si="29"/>
        <v>0</v>
      </c>
      <c r="BM12" s="24">
        <f t="shared" ca="1" si="30"/>
        <v>0</v>
      </c>
      <c r="BN12" s="24">
        <f t="shared" ca="1" si="31"/>
        <v>0</v>
      </c>
      <c r="BO12" s="21" cm="1">
        <f t="array" aca="1" ref="BO12" ca="1">INDIRECT(ADDRESS(2,BO$1,,,B12))+INDIRECT(ADDRESS(3,BO$1,,,B12))</f>
        <v>178</v>
      </c>
      <c r="BP12" s="24" cm="1">
        <f t="array" aca="1" ref="BP12" ca="1">-INDIRECT(ADDRESS(5,BO$1,,,B12))*BQ12</f>
        <v>-2759874.59</v>
      </c>
      <c r="BQ12" s="21">
        <f t="shared" si="32"/>
        <v>1</v>
      </c>
      <c r="BR12" s="24">
        <f t="shared" ca="1" si="33"/>
        <v>-15504.913426966292</v>
      </c>
      <c r="BS12" s="21" cm="1">
        <f t="array" aca="1" ref="BS12" ca="1">INDIRECT(ADDRESS(15,BO$1,,,B12))+INDIRECT(ADDRESS(16,BO$1,,,B12))</f>
        <v>1</v>
      </c>
      <c r="BT12" s="21">
        <f t="shared" ca="1" si="34"/>
        <v>1.0900000000000001</v>
      </c>
      <c r="BU12" s="24">
        <f t="shared" ca="1" si="35"/>
        <v>-23322.490776842697</v>
      </c>
      <c r="BV12" s="24">
        <f t="shared" ca="1" si="36"/>
        <v>-93289.963107370786</v>
      </c>
      <c r="BW12" s="21" cm="1">
        <f t="array" aca="1" ref="BW12" ca="1">INDIRECT(ADDRESS(2,BW$1,,,B12))+INDIRECT(ADDRESS(3,BW$1,,,B12))</f>
        <v>171</v>
      </c>
      <c r="BX12" s="24" cm="1">
        <f t="array" aca="1" ref="BX12" ca="1">-INDIRECT(ADDRESS(5,BW$1,,,B12))*BY12</f>
        <v>-2709688.8</v>
      </c>
      <c r="BY12" s="21">
        <f t="shared" si="37"/>
        <v>1</v>
      </c>
      <c r="BZ12" s="24">
        <f t="shared" ca="1" si="38"/>
        <v>-15846.133333333331</v>
      </c>
      <c r="CA12" s="21" cm="1">
        <f t="array" aca="1" ref="CA12" ca="1">INDIRECT(ADDRESS(15,BW$1,,,B12))+INDIRECT(ADDRESS(16,BW$1,,,B12))</f>
        <v>7</v>
      </c>
      <c r="CB12" s="21">
        <f t="shared" ca="1" si="39"/>
        <v>7.6300000000000008</v>
      </c>
      <c r="CC12" s="24">
        <f t="shared" ca="1" si="40"/>
        <v>-166850.27632</v>
      </c>
      <c r="CD12" s="24">
        <f ca="1">CC12*3</f>
        <v>-500550.82896000001</v>
      </c>
      <c r="CE12" s="21" cm="1">
        <f t="array" aca="1" ref="CE12" ca="1">INDIRECT(ADDRESS(2,CE$1,,,B12))+INDIRECT(ADDRESS(3,CE$1,,,B12))</f>
        <v>161</v>
      </c>
      <c r="CF12" s="24" cm="1">
        <f t="array" aca="1" ref="CF12" ca="1">-INDIRECT(ADDRESS(5,CE$1,,,B12))*CG12</f>
        <v>-2618570.25</v>
      </c>
      <c r="CG12" s="21">
        <f t="shared" si="41"/>
        <v>1</v>
      </c>
      <c r="CH12" s="24">
        <f t="shared" ca="1" si="42"/>
        <v>-16264.411490683229</v>
      </c>
      <c r="CI12" s="21" cm="1">
        <f t="array" aca="1" ref="CI12" ca="1">INDIRECT(ADDRESS(15,CE$1,,,B12))+INDIRECT(ADDRESS(16,CE$1,,,B12))</f>
        <v>10</v>
      </c>
      <c r="CJ12" s="21">
        <f t="shared" ca="1" si="43"/>
        <v>10.9</v>
      </c>
      <c r="CK12" s="24">
        <f t="shared" ca="1" si="44"/>
        <v>-244649.27764285711</v>
      </c>
      <c r="CL12" s="24">
        <f t="shared" ca="1" si="45"/>
        <v>-489298.55528571422</v>
      </c>
      <c r="CM12" s="21" cm="1">
        <f t="array" aca="1" ref="CM12" ca="1">INDIRECT(ADDRESS(2,CM$1,,,B12))+INDIRECT(ADDRESS(3,CM$1,,,B12))</f>
        <v>161</v>
      </c>
      <c r="CN12" s="24" cm="1">
        <f t="array" aca="1" ref="CN12" ca="1">-INDIRECT(ADDRESS(5,CM$1,,,B12))*CO12</f>
        <v>-2618570.25</v>
      </c>
      <c r="CO12" s="21">
        <f t="shared" si="46"/>
        <v>1</v>
      </c>
      <c r="CP12" s="24">
        <f t="shared" ca="1" si="47"/>
        <v>-16264.411490683229</v>
      </c>
      <c r="CQ12" s="21" cm="1">
        <f t="array" aca="1" ref="CQ12" ca="1">INDIRECT(ADDRESS(15,CM$1,,,B12))+INDIRECT(ADDRESS(16,CM$1,,,B12))</f>
        <v>0</v>
      </c>
      <c r="CR12" s="21">
        <f t="shared" ca="1" si="48"/>
        <v>0</v>
      </c>
      <c r="CS12" s="24">
        <f t="shared" ca="1" si="49"/>
        <v>0</v>
      </c>
      <c r="CT12" s="24">
        <f ca="1">CS12*1</f>
        <v>0</v>
      </c>
      <c r="CW12" s="9">
        <f>AZ12</f>
        <v>0</v>
      </c>
      <c r="CX12" s="9">
        <f t="shared" si="50"/>
        <v>0</v>
      </c>
      <c r="CY12" s="9">
        <f>K12</f>
        <v>-13748320.859999998</v>
      </c>
      <c r="CZ12" s="28"/>
      <c r="DA12" s="9"/>
    </row>
    <row r="13" spans="1:105" x14ac:dyDescent="0.35">
      <c r="D13" s="5"/>
      <c r="E13" s="5"/>
      <c r="F13" s="9"/>
      <c r="K13" s="9"/>
      <c r="L13" s="9"/>
      <c r="M13" s="9"/>
      <c r="N13" s="9"/>
      <c r="O13" s="9"/>
      <c r="P13" s="9"/>
      <c r="Q13" s="9"/>
    </row>
    <row r="14" spans="1:105" x14ac:dyDescent="0.35">
      <c r="A14" s="21" t="s">
        <v>111</v>
      </c>
      <c r="B14" s="21" t="s">
        <v>166</v>
      </c>
      <c r="C14" s="26">
        <f>F14/SUM($F$14:$F$17)</f>
        <v>8.5749985538988147E-2</v>
      </c>
      <c r="D14" s="23">
        <v>0.09</v>
      </c>
      <c r="E14" s="23">
        <f>29%/2</f>
        <v>0.14499999999999999</v>
      </c>
      <c r="F14" s="24">
        <v>170565897</v>
      </c>
      <c r="G14" s="21">
        <v>669</v>
      </c>
      <c r="H14" s="21">
        <f t="shared" ref="H14:H17" ca="1" si="52">CM14</f>
        <v>692</v>
      </c>
      <c r="I14" s="21">
        <f t="shared" ref="I14:I17" ca="1" si="53">AF14+AN14+AV14+BD14+BL14+BT14+CB14+CJ14+CR14</f>
        <v>46.870000000000005</v>
      </c>
      <c r="J14" s="21">
        <f t="shared" ref="J14:J17" ca="1" si="54">H14+INT(I14)</f>
        <v>738</v>
      </c>
      <c r="K14" s="9">
        <v>-89936593.436197951</v>
      </c>
      <c r="L14" s="24">
        <f t="shared" ref="L14:L17" ca="1" si="55">AB14+AJ14+AR14+AZ14+BH14+BP14+BX14+CF14+CN14</f>
        <v>-72840659.110000014</v>
      </c>
      <c r="M14" s="24">
        <f t="shared" ref="M14:M17" ca="1" si="56">AH14+AP14+AX14+BF14+BN14+BV14+CD14+CL14+CT14</f>
        <v>-2425311.6886901734</v>
      </c>
      <c r="N14" s="24">
        <f t="shared" ref="N14:N17" ca="1" si="57">K14+L14+M14</f>
        <v>-165202564.23488814</v>
      </c>
      <c r="O14" s="24">
        <f t="shared" ref="O14:O17" ca="1" si="58">N14+F14</f>
        <v>5363332.7651118636</v>
      </c>
      <c r="P14" s="25">
        <f t="shared" ca="1" si="24"/>
        <v>0.96855565585240133</v>
      </c>
      <c r="Q14" s="25">
        <f t="shared" ref="Q14:Q17" si="59">F14/$F$23</f>
        <v>6.4075731184199819E-2</v>
      </c>
      <c r="R14" s="21">
        <v>688</v>
      </c>
      <c r="S14" s="21">
        <v>10303289</v>
      </c>
      <c r="T14" s="21"/>
      <c r="U14" s="21"/>
      <c r="V14" s="21"/>
      <c r="W14" s="21"/>
      <c r="X14" s="21"/>
      <c r="Y14" s="21"/>
      <c r="Z14" s="21">
        <v>1</v>
      </c>
      <c r="AA14" s="21"/>
      <c r="AB14" s="24"/>
      <c r="AC14" s="21">
        <f t="shared" ref="AC14" si="60">Z14</f>
        <v>1</v>
      </c>
      <c r="AD14" s="24"/>
      <c r="AE14" s="21"/>
      <c r="AF14" s="21"/>
      <c r="AG14" s="24"/>
      <c r="AH14" s="24"/>
      <c r="AI14" s="21"/>
      <c r="AJ14" s="24"/>
      <c r="AK14" s="21">
        <f t="shared" ref="AK14" si="61">AC14</f>
        <v>1</v>
      </c>
      <c r="AL14" s="24"/>
      <c r="AM14" s="21"/>
      <c r="AN14" s="21"/>
      <c r="AO14" s="24"/>
      <c r="AP14" s="24"/>
      <c r="AQ14" s="21"/>
      <c r="AR14" s="24"/>
      <c r="AS14" s="21">
        <f>AK14</f>
        <v>1</v>
      </c>
      <c r="AT14" s="24"/>
      <c r="AU14" s="21"/>
      <c r="AV14" s="21"/>
      <c r="AW14" s="24"/>
      <c r="AX14" s="24"/>
      <c r="AY14" s="21"/>
      <c r="AZ14" s="24"/>
      <c r="BA14" s="21">
        <f t="shared" ref="BA14:BA17" si="62">AS14</f>
        <v>1</v>
      </c>
      <c r="BB14" s="24"/>
      <c r="BC14" s="21"/>
      <c r="BD14" s="21"/>
      <c r="BE14" s="24"/>
      <c r="BF14" s="24"/>
      <c r="BG14" s="21" cm="1">
        <f t="array" aca="1" ref="BG14" ca="1">INDIRECT(ADDRESS(2,BG$1,,,A14))+INDIRECT(ADDRESS(3,BG$1,,,A14))</f>
        <v>769</v>
      </c>
      <c r="BH14" s="24" cm="1">
        <f t="array" aca="1" ref="BH14" ca="1">-INDIRECT(ADDRESS(5,BG$1,,,A14))*BI14</f>
        <v>-15156088.710000001</v>
      </c>
      <c r="BI14" s="21">
        <f t="shared" ref="BI14" si="63">BA14</f>
        <v>1</v>
      </c>
      <c r="BJ14" s="24">
        <f t="shared" ref="BJ14" ca="1" si="64">BH14/BG14</f>
        <v>-19708.82797139142</v>
      </c>
      <c r="BK14" s="21" cm="1">
        <f t="array" aca="1" ref="BK14" ca="1">INDIRECT(ADDRESS(15,BG$1,,,A14))+INDIRECT(ADDRESS(16,BG$1,,,A14))</f>
        <v>0</v>
      </c>
      <c r="BL14" s="21">
        <f t="shared" ref="BL14" ca="1" si="65">BK14*(1+$D14)</f>
        <v>0</v>
      </c>
      <c r="BM14" s="24">
        <f t="shared" ref="BM14" ca="1" si="66">BJ14*(1+$E14)*BL14</f>
        <v>0</v>
      </c>
      <c r="BN14" s="24">
        <f t="shared" ref="BN14:BN17" ca="1" si="67">BM14*5</f>
        <v>0</v>
      </c>
      <c r="BO14" s="21" cm="1">
        <f t="array" aca="1" ref="BO14" ca="1">INDIRECT(ADDRESS(2,BO$1,,,A14))+INDIRECT(ADDRESS(3,BO$1,,,A14))</f>
        <v>726</v>
      </c>
      <c r="BP14" s="24" cm="1">
        <f t="array" aca="1" ref="BP14" ca="1">-INDIRECT(ADDRESS(5,BO$1,,,A14))*BQ14</f>
        <v>-14601697.380000001</v>
      </c>
      <c r="BQ14" s="21">
        <f t="shared" ref="BQ14" si="68">BI14</f>
        <v>1</v>
      </c>
      <c r="BR14" s="24">
        <f t="shared" ref="BR14" ca="1" si="69">BP14/BO14</f>
        <v>-20112.530826446284</v>
      </c>
      <c r="BS14" s="21" cm="1">
        <f t="array" aca="1" ref="BS14" ca="1">INDIRECT(ADDRESS(15,BO$1,,,A14))+INDIRECT(ADDRESS(16,BO$1,,,A14))</f>
        <v>9</v>
      </c>
      <c r="BT14" s="21">
        <f t="shared" ref="BT14" ca="1" si="70">BS14*(1+$D14)</f>
        <v>9.81</v>
      </c>
      <c r="BU14" s="24">
        <f t="shared" ref="BU14" ca="1" si="71">BR14*(1+$E14)*BT14</f>
        <v>-225912.99688151659</v>
      </c>
      <c r="BV14" s="24">
        <f t="shared" ref="BV14:BV17" ca="1" si="72">BU14*4</f>
        <v>-903651.98752606637</v>
      </c>
      <c r="BW14" s="21" cm="1">
        <f t="array" aca="1" ref="BW14" ca="1">INDIRECT(ADDRESS(2,BW$1,,,A14))+INDIRECT(ADDRESS(3,BW$1,,,A14))</f>
        <v>717</v>
      </c>
      <c r="BX14" s="24" cm="1">
        <f t="array" aca="1" ref="BX14" ca="1">-INDIRECT(ADDRESS(5,BW$1,,,A14))*BY14</f>
        <v>-14485619.1</v>
      </c>
      <c r="BY14" s="21">
        <f t="shared" ref="BY14" si="73">BQ14</f>
        <v>1</v>
      </c>
      <c r="BZ14" s="24">
        <f t="shared" ref="BZ14" ca="1" si="74">BX14/BW14</f>
        <v>-20203.094979079498</v>
      </c>
      <c r="CA14" s="21" cm="1">
        <f t="array" aca="1" ref="CA14" ca="1">INDIRECT(ADDRESS(15,BW$1,,,A14))+INDIRECT(ADDRESS(16,BW$1,,,A14))</f>
        <v>9</v>
      </c>
      <c r="CB14" s="21">
        <f t="shared" ref="CB14" ca="1" si="75">CA14*(1+$D14)</f>
        <v>9.81</v>
      </c>
      <c r="CC14" s="24">
        <f t="shared" ref="CC14" ca="1" si="76">BZ14*(1+$E14)*CB14</f>
        <v>-226930.2541977615</v>
      </c>
      <c r="CD14" s="24">
        <f ca="1">CC14*3</f>
        <v>-680790.76259328448</v>
      </c>
      <c r="CE14" s="21" cm="1">
        <f t="array" aca="1" ref="CE14" ca="1">INDIRECT(ADDRESS(2,CE$1,,,A14))+INDIRECT(ADDRESS(3,CE$1,,,A14))</f>
        <v>709</v>
      </c>
      <c r="CF14" s="24" cm="1">
        <f t="array" aca="1" ref="CF14" ca="1">-INDIRECT(ADDRESS(5,CE$1,,,A14))*CG14</f>
        <v>-14397505.99</v>
      </c>
      <c r="CG14" s="21">
        <f t="shared" ref="CG14" si="77">BY14</f>
        <v>1</v>
      </c>
      <c r="CH14" s="24">
        <f t="shared" ref="CH14" ca="1" si="78">CF14/CE14</f>
        <v>-20306.778547249647</v>
      </c>
      <c r="CI14" s="21" cm="1">
        <f t="array" aca="1" ref="CI14" ca="1">INDIRECT(ADDRESS(15,CE$1,,,A14))+INDIRECT(ADDRESS(16,CE$1,,,A14))</f>
        <v>8</v>
      </c>
      <c r="CJ14" s="21">
        <f t="shared" ref="CJ14" ca="1" si="79">CI14*(1+$D14)</f>
        <v>8.7200000000000006</v>
      </c>
      <c r="CK14" s="24">
        <f t="shared" ref="CK14" ca="1" si="80">CH14*(1+$E14)*CJ14</f>
        <v>-202750.99972715939</v>
      </c>
      <c r="CL14" s="24">
        <f t="shared" ref="CL14:CL17" ca="1" si="81">CK14*2</f>
        <v>-405501.99945431878</v>
      </c>
      <c r="CM14" s="21" cm="1">
        <f t="array" aca="1" ref="CM14" ca="1">INDIRECT(ADDRESS(2,CM$1,,,A14))+INDIRECT(ADDRESS(3,CM$1,,,A14))</f>
        <v>692</v>
      </c>
      <c r="CN14" s="24" cm="1">
        <f t="array" aca="1" ref="CN14" ca="1">-INDIRECT(ADDRESS(5,CM$1,,,A14))*CO14</f>
        <v>-14199747.93</v>
      </c>
      <c r="CO14" s="21">
        <f t="shared" ref="CO14" si="82">CG14</f>
        <v>1</v>
      </c>
      <c r="CP14" s="24">
        <f t="shared" ref="CP14" ca="1" si="83">CN14/CM14</f>
        <v>-20519.86695086705</v>
      </c>
      <c r="CQ14" s="21" cm="1">
        <f t="array" aca="1" ref="CQ14" ca="1">INDIRECT(ADDRESS(15,CM$1,,,A14))+INDIRECT(ADDRESS(16,CM$1,,,A14))</f>
        <v>17</v>
      </c>
      <c r="CR14" s="21">
        <f t="shared" ref="CR14" ca="1" si="84">CQ14*(1+$D14)</f>
        <v>18.53</v>
      </c>
      <c r="CS14" s="24">
        <f t="shared" ref="CS14" ca="1" si="85">CP14*(1+$E14)*CR14</f>
        <v>-435366.93911650364</v>
      </c>
      <c r="CT14" s="24">
        <f ca="1">CS14*1</f>
        <v>-435366.93911650364</v>
      </c>
      <c r="CW14" s="9">
        <f>AZ14</f>
        <v>0</v>
      </c>
      <c r="CX14" s="9">
        <f t="shared" ref="CX14:CX17" si="86">CW14*6</f>
        <v>0</v>
      </c>
      <c r="CY14" s="9">
        <f>K14</f>
        <v>-89936593.436197951</v>
      </c>
      <c r="CZ14" s="28"/>
      <c r="DA14" s="9"/>
    </row>
    <row r="15" spans="1:105" x14ac:dyDescent="0.35">
      <c r="A15" s="21" t="s">
        <v>109</v>
      </c>
      <c r="B15" s="21" t="s">
        <v>166</v>
      </c>
      <c r="C15" s="26">
        <f>F15/SUM($F$14:$F$17)</f>
        <v>0.63886681820877367</v>
      </c>
      <c r="D15" s="23">
        <v>0.09</v>
      </c>
      <c r="E15" s="23">
        <f t="shared" ref="E15:E17" si="87">29%/2</f>
        <v>0.14499999999999999</v>
      </c>
      <c r="F15" s="24">
        <v>1270774464</v>
      </c>
      <c r="G15" s="21">
        <v>10490</v>
      </c>
      <c r="H15" s="21">
        <f t="shared" ca="1" si="52"/>
        <v>7679</v>
      </c>
      <c r="I15" s="21">
        <f t="shared" ca="1" si="53"/>
        <v>972.2800000000002</v>
      </c>
      <c r="J15" s="21">
        <f t="shared" ca="1" si="54"/>
        <v>8651</v>
      </c>
      <c r="K15" s="9">
        <v>-670058483.71829188</v>
      </c>
      <c r="L15" s="24">
        <f t="shared" ca="1" si="55"/>
        <v>-460929960.98000002</v>
      </c>
      <c r="M15" s="24">
        <f t="shared" ca="1" si="56"/>
        <v>-31328545.000713639</v>
      </c>
      <c r="N15" s="24">
        <f t="shared" ca="1" si="57"/>
        <v>-1162316989.6990054</v>
      </c>
      <c r="O15" s="24">
        <f t="shared" ca="1" si="58"/>
        <v>108457474.30099463</v>
      </c>
      <c r="P15" s="25">
        <f t="shared" ca="1" si="24"/>
        <v>0.91465246007572065</v>
      </c>
      <c r="Q15" s="25">
        <f t="shared" si="59"/>
        <v>0.47738618553396761</v>
      </c>
      <c r="R15" s="21">
        <v>9348</v>
      </c>
      <c r="S15" s="21">
        <v>76763043</v>
      </c>
      <c r="T15" s="21"/>
      <c r="U15" s="21"/>
      <c r="V15" s="21"/>
      <c r="W15" s="21"/>
      <c r="X15" s="21"/>
      <c r="Y15" s="21"/>
      <c r="Z15" s="21">
        <v>1</v>
      </c>
      <c r="AA15" s="21"/>
      <c r="AB15" s="24"/>
      <c r="AC15" s="21">
        <f t="shared" ref="AC15:AC17" si="88">Z15</f>
        <v>1</v>
      </c>
      <c r="AD15" s="24"/>
      <c r="AE15" s="21"/>
      <c r="AF15" s="21"/>
      <c r="AG15" s="24"/>
      <c r="AH15" s="24"/>
      <c r="AI15" s="21"/>
      <c r="AJ15" s="24"/>
      <c r="AK15" s="21">
        <f t="shared" ref="AK15:AK17" si="89">AC15</f>
        <v>1</v>
      </c>
      <c r="AL15" s="24"/>
      <c r="AM15" s="21"/>
      <c r="AN15" s="21"/>
      <c r="AO15" s="24"/>
      <c r="AP15" s="24"/>
      <c r="AQ15" s="21"/>
      <c r="AR15" s="24"/>
      <c r="AS15" s="21">
        <f>AK15</f>
        <v>1</v>
      </c>
      <c r="AT15" s="24"/>
      <c r="AU15" s="21"/>
      <c r="AV15" s="21"/>
      <c r="AW15" s="24"/>
      <c r="AX15" s="24"/>
      <c r="AY15" s="21"/>
      <c r="AZ15" s="24"/>
      <c r="BA15" s="21">
        <f t="shared" si="62"/>
        <v>1</v>
      </c>
      <c r="BB15" s="24"/>
      <c r="BC15" s="21"/>
      <c r="BD15" s="21"/>
      <c r="BE15" s="24"/>
      <c r="BF15" s="24"/>
      <c r="BG15" s="21" cm="1">
        <f t="array" aca="1" ref="BG15" ca="1">INDIRECT(ADDRESS(2,BG$1,,,A15))+INDIRECT(ADDRESS(3,BG$1,,,A15))</f>
        <v>9371</v>
      </c>
      <c r="BH15" s="24" cm="1">
        <f t="array" aca="1" ref="BH15" ca="1">-INDIRECT(ADDRESS(5,BG$1,,,A15))*BI15</f>
        <v>-103115333.48999999</v>
      </c>
      <c r="BI15" s="21">
        <f t="shared" ref="BI15:BI17" si="90">BA15</f>
        <v>1</v>
      </c>
      <c r="BJ15" s="24">
        <f t="shared" ref="BJ15:BJ17" ca="1" si="91">BH15/BG15</f>
        <v>-11003.663802155586</v>
      </c>
      <c r="BK15" s="21" cm="1">
        <f t="array" aca="1" ref="BK15" ca="1">INDIRECT(ADDRESS(15,BG$1,,,A15))+INDIRECT(ADDRESS(16,BG$1,,,A15))</f>
        <v>0</v>
      </c>
      <c r="BL15" s="21">
        <f ca="1">BK15*(1+$D15)</f>
        <v>0</v>
      </c>
      <c r="BM15" s="24">
        <f ca="1">BJ15*(1+$E15)*BL15</f>
        <v>0</v>
      </c>
      <c r="BN15" s="24">
        <f t="shared" ca="1" si="67"/>
        <v>0</v>
      </c>
      <c r="BO15" s="21" cm="1">
        <f t="array" aca="1" ref="BO15" ca="1">INDIRECT(ADDRESS(2,BO$1,,,A15))+INDIRECT(ADDRESS(3,BO$1,,,A15))</f>
        <v>8354</v>
      </c>
      <c r="BP15" s="24" cm="1">
        <f t="array" aca="1" ref="BP15" ca="1">-INDIRECT(ADDRESS(5,BO$1,,,A15))*BQ15</f>
        <v>-92614010.180000007</v>
      </c>
      <c r="BQ15" s="21">
        <f t="shared" ref="BQ15:BQ17" si="92">BI15</f>
        <v>1</v>
      </c>
      <c r="BR15" s="24">
        <f t="shared" ref="BR15:BR17" ca="1" si="93">BP15/BO15</f>
        <v>-11086.187476657889</v>
      </c>
      <c r="BS15" s="21" cm="1">
        <f t="array" aca="1" ref="BS15" ca="1">INDIRECT(ADDRESS(15,BO$1,,,A15))+INDIRECT(ADDRESS(16,BO$1,,,A15))</f>
        <v>217</v>
      </c>
      <c r="BT15" s="21">
        <f ca="1">BS15*(1+$D15)</f>
        <v>236.53000000000003</v>
      </c>
      <c r="BU15" s="24">
        <f ca="1">BR15*(1+$E15)*BT15</f>
        <v>-3002437.2328127054</v>
      </c>
      <c r="BV15" s="24">
        <f t="shared" ca="1" si="72"/>
        <v>-12009748.931250822</v>
      </c>
      <c r="BW15" s="21" cm="1">
        <f t="array" aca="1" ref="BW15" ca="1">INDIRECT(ADDRESS(2,BW$1,,,A15))+INDIRECT(ADDRESS(3,BW$1,,,A15))</f>
        <v>8126</v>
      </c>
      <c r="BX15" s="24" cm="1">
        <f t="array" aca="1" ref="BX15" ca="1">-INDIRECT(ADDRESS(5,BW$1,,,A15))*BY15</f>
        <v>-90561599.280000001</v>
      </c>
      <c r="BY15" s="21">
        <f t="shared" ref="BY15:BY17" si="94">BQ15</f>
        <v>1</v>
      </c>
      <c r="BZ15" s="24">
        <f t="shared" ref="BZ15:BZ17" ca="1" si="95">BX15/BW15</f>
        <v>-11144.671336450898</v>
      </c>
      <c r="CA15" s="21" cm="1">
        <f t="array" aca="1" ref="CA15" ca="1">INDIRECT(ADDRESS(15,BW$1,,,A15))+INDIRECT(ADDRESS(16,BW$1,,,A15))</f>
        <v>228</v>
      </c>
      <c r="CB15" s="21">
        <f ca="1">CA15*(1+$D15)</f>
        <v>248.52</v>
      </c>
      <c r="CC15" s="24">
        <f ca="1">BZ15*(1+$E15)*CB15</f>
        <v>-3171276.4100123197</v>
      </c>
      <c r="CD15" s="24">
        <f ca="1">CC15*3</f>
        <v>-9513829.2300369591</v>
      </c>
      <c r="CE15" s="21" cm="1">
        <f t="array" aca="1" ref="CE15" ca="1">INDIRECT(ADDRESS(2,CE$1,,,A15))+INDIRECT(ADDRESS(3,CE$1,,,A15))</f>
        <v>7873</v>
      </c>
      <c r="CF15" s="24" cm="1">
        <f t="array" aca="1" ref="CF15" ca="1">-INDIRECT(ADDRESS(5,CE$1,,,A15))*CG15</f>
        <v>-88297921.359999999</v>
      </c>
      <c r="CG15" s="21">
        <f t="shared" ref="CG15:CG17" si="96">BY15</f>
        <v>1</v>
      </c>
      <c r="CH15" s="24">
        <f t="shared" ref="CH15:CH17" ca="1" si="97">CF15/CE15</f>
        <v>-11215.282784199162</v>
      </c>
      <c r="CI15" s="21" cm="1">
        <f t="array" aca="1" ref="CI15" ca="1">INDIRECT(ADDRESS(15,CE$1,,,A15))+INDIRECT(ADDRESS(16,CE$1,,,A15))</f>
        <v>253</v>
      </c>
      <c r="CJ15" s="21">
        <f ca="1">CI15*(1+$D15)</f>
        <v>275.77000000000004</v>
      </c>
      <c r="CK15" s="24">
        <f ca="1">CH15*(1+$E15)*CJ15</f>
        <v>-3541300.1207414009</v>
      </c>
      <c r="CL15" s="24">
        <f t="shared" ca="1" si="81"/>
        <v>-7082600.2414828017</v>
      </c>
      <c r="CM15" s="21" cm="1">
        <f t="array" aca="1" ref="CM15" ca="1">INDIRECT(ADDRESS(2,CM$1,,,A15))+INDIRECT(ADDRESS(3,CM$1,,,A15))</f>
        <v>7679</v>
      </c>
      <c r="CN15" s="24" cm="1">
        <f t="array" aca="1" ref="CN15" ca="1">-INDIRECT(ADDRESS(5,CM$1,,,A15))*CO15</f>
        <v>-86341096.669999987</v>
      </c>
      <c r="CO15" s="21">
        <f t="shared" ref="CO15:CO17" si="98">CG15</f>
        <v>1</v>
      </c>
      <c r="CP15" s="24">
        <f t="shared" ref="CP15:CP17" ca="1" si="99">CN15/CM15</f>
        <v>-11243.794331293135</v>
      </c>
      <c r="CQ15" s="21" cm="1">
        <f t="array" aca="1" ref="CQ15" ca="1">INDIRECT(ADDRESS(15,CM$1,,,A15))+INDIRECT(ADDRESS(16,CM$1,,,A15))</f>
        <v>194</v>
      </c>
      <c r="CR15" s="21">
        <f ca="1">CQ15*(1+$D15)</f>
        <v>211.46</v>
      </c>
      <c r="CS15" s="24">
        <f ca="1">CP15*(1+$E15)*CR15</f>
        <v>-2722366.5979430573</v>
      </c>
      <c r="CT15" s="24">
        <f ca="1">CS15*1</f>
        <v>-2722366.5979430573</v>
      </c>
      <c r="CW15" s="9">
        <f>AZ15</f>
        <v>0</v>
      </c>
      <c r="CX15" s="9">
        <f t="shared" si="86"/>
        <v>0</v>
      </c>
      <c r="CY15" s="9">
        <f>K15</f>
        <v>-670058483.71829188</v>
      </c>
      <c r="CZ15" s="28"/>
      <c r="DA15" s="9"/>
    </row>
    <row r="16" spans="1:105" x14ac:dyDescent="0.35">
      <c r="A16" s="21" t="s">
        <v>112</v>
      </c>
      <c r="B16" s="21" t="s">
        <v>166</v>
      </c>
      <c r="C16" s="26">
        <f t="shared" ref="C16:C17" si="100">F16/SUM($F$14:$F$17)</f>
        <v>0.21321725865963795</v>
      </c>
      <c r="D16" s="23">
        <v>0.09</v>
      </c>
      <c r="E16" s="23">
        <f t="shared" si="87"/>
        <v>0.14499999999999999</v>
      </c>
      <c r="F16" s="24">
        <v>424111943</v>
      </c>
      <c r="G16" s="21">
        <v>3564</v>
      </c>
      <c r="H16" s="21">
        <f t="shared" ca="1" si="52"/>
        <v>2425</v>
      </c>
      <c r="I16" s="21">
        <f t="shared" ca="1" si="53"/>
        <v>347.71000000000004</v>
      </c>
      <c r="J16" s="21">
        <f t="shared" ca="1" si="54"/>
        <v>2772</v>
      </c>
      <c r="K16" s="9">
        <v>-223627255.27147406</v>
      </c>
      <c r="L16" s="24">
        <f t="shared" ca="1" si="55"/>
        <v>-151485201.13999999</v>
      </c>
      <c r="M16" s="24">
        <f t="shared" ca="1" si="56"/>
        <v>-11897149.023420798</v>
      </c>
      <c r="N16" s="24">
        <f t="shared" ca="1" si="57"/>
        <v>-387009605.43489486</v>
      </c>
      <c r="O16" s="24">
        <f t="shared" ca="1" si="58"/>
        <v>37102337.56510514</v>
      </c>
      <c r="P16" s="25">
        <f t="shared" ca="1" si="24"/>
        <v>0.91251758367694646</v>
      </c>
      <c r="Q16" s="25">
        <f t="shared" si="59"/>
        <v>0.15932424552416052</v>
      </c>
      <c r="R16" s="21">
        <v>3043</v>
      </c>
      <c r="S16" s="21">
        <v>25619120</v>
      </c>
      <c r="T16" s="21"/>
      <c r="U16" s="21"/>
      <c r="V16" s="21"/>
      <c r="W16" s="21"/>
      <c r="X16" s="21"/>
      <c r="Y16" s="21"/>
      <c r="Z16" s="21">
        <v>1</v>
      </c>
      <c r="AA16" s="21"/>
      <c r="AB16" s="24"/>
      <c r="AC16" s="21">
        <f t="shared" si="88"/>
        <v>1</v>
      </c>
      <c r="AD16" s="24"/>
      <c r="AE16" s="21"/>
      <c r="AF16" s="21"/>
      <c r="AG16" s="24"/>
      <c r="AH16" s="24"/>
      <c r="AI16" s="21"/>
      <c r="AJ16" s="24"/>
      <c r="AK16" s="21">
        <f t="shared" si="89"/>
        <v>1</v>
      </c>
      <c r="AL16" s="24"/>
      <c r="AM16" s="21"/>
      <c r="AN16" s="21"/>
      <c r="AO16" s="24"/>
      <c r="AP16" s="24"/>
      <c r="AQ16" s="21"/>
      <c r="AR16" s="24"/>
      <c r="AS16" s="21">
        <f>AK16</f>
        <v>1</v>
      </c>
      <c r="AT16" s="24"/>
      <c r="AU16" s="21"/>
      <c r="AV16" s="21"/>
      <c r="AW16" s="24"/>
      <c r="AX16" s="24"/>
      <c r="AY16" s="21"/>
      <c r="AZ16" s="24"/>
      <c r="BA16" s="21">
        <f t="shared" si="62"/>
        <v>1</v>
      </c>
      <c r="BB16" s="24"/>
      <c r="BC16" s="21"/>
      <c r="BD16" s="21"/>
      <c r="BE16" s="24"/>
      <c r="BF16" s="24"/>
      <c r="BG16" s="21" cm="1">
        <f t="array" aca="1" ref="BG16" ca="1">INDIRECT(ADDRESS(2,BG$1,,,A16))+INDIRECT(ADDRESS(3,BG$1,,,A16))</f>
        <v>3014</v>
      </c>
      <c r="BH16" s="24" cm="1">
        <f t="array" aca="1" ref="BH16" ca="1">-INDIRECT(ADDRESS(5,BG$1,,,A16))*BI16</f>
        <v>-33842682.240000002</v>
      </c>
      <c r="BI16" s="21">
        <f t="shared" si="90"/>
        <v>1</v>
      </c>
      <c r="BJ16" s="24">
        <f t="shared" ca="1" si="91"/>
        <v>-11228.494439283346</v>
      </c>
      <c r="BK16" s="21" cm="1">
        <f t="array" aca="1" ref="BK16" ca="1">INDIRECT(ADDRESS(15,BG$1,,,A16))+INDIRECT(ADDRESS(16,BG$1,,,A16))</f>
        <v>0</v>
      </c>
      <c r="BL16" s="21">
        <f t="shared" ref="BL16:BL17" ca="1" si="101">BK16*(1+$D16)</f>
        <v>0</v>
      </c>
      <c r="BM16" s="24">
        <f t="shared" ref="BM16:BM17" ca="1" si="102">BJ16*(1+$E16)*BL16</f>
        <v>0</v>
      </c>
      <c r="BN16" s="24">
        <f t="shared" ca="1" si="67"/>
        <v>0</v>
      </c>
      <c r="BO16" s="21" cm="1">
        <f t="array" aca="1" ref="BO16" ca="1">INDIRECT(ADDRESS(2,BO$1,,,A16))+INDIRECT(ADDRESS(3,BO$1,,,A16))</f>
        <v>2657</v>
      </c>
      <c r="BP16" s="24" cm="1">
        <f t="array" aca="1" ref="BP16" ca="1">-INDIRECT(ADDRESS(5,BO$1,,,A16))*BQ16</f>
        <v>-30678030</v>
      </c>
      <c r="BQ16" s="21">
        <f t="shared" si="92"/>
        <v>1</v>
      </c>
      <c r="BR16" s="24">
        <f t="shared" ca="1" si="93"/>
        <v>-11546.115920210765</v>
      </c>
      <c r="BS16" s="21" cm="1">
        <f t="array" aca="1" ref="BS16" ca="1">INDIRECT(ADDRESS(15,BO$1,,,A16))+INDIRECT(ADDRESS(16,BO$1,,,A16))</f>
        <v>87</v>
      </c>
      <c r="BT16" s="21">
        <f t="shared" ref="BT16:BT17" ca="1" si="103">BS16*(1+$D16)</f>
        <v>94.830000000000013</v>
      </c>
      <c r="BU16" s="24">
        <f t="shared" ref="BU16:BU17" ca="1" si="104">BR16*(1+$E16)*BT16</f>
        <v>-1253681.307757057</v>
      </c>
      <c r="BV16" s="24">
        <f t="shared" ca="1" si="72"/>
        <v>-5014725.2310282281</v>
      </c>
      <c r="BW16" s="21" cm="1">
        <f t="array" aca="1" ref="BW16" ca="1">INDIRECT(ADDRESS(2,BW$1,,,A16))+INDIRECT(ADDRESS(3,BW$1,,,A16))</f>
        <v>2579</v>
      </c>
      <c r="BX16" s="24" cm="1">
        <f t="array" aca="1" ref="BX16" ca="1">-INDIRECT(ADDRESS(5,BW$1,,,A16))*BY16</f>
        <v>-29823683.57</v>
      </c>
      <c r="BY16" s="21">
        <f t="shared" si="94"/>
        <v>1</v>
      </c>
      <c r="BZ16" s="24">
        <f t="shared" ca="1" si="95"/>
        <v>-11564.04946490888</v>
      </c>
      <c r="CA16" s="21" cm="1">
        <f t="array" aca="1" ref="CA16" ca="1">INDIRECT(ADDRESS(15,BW$1,,,A16))+INDIRECT(ADDRESS(16,BW$1,,,A16))</f>
        <v>78</v>
      </c>
      <c r="CB16" s="21">
        <f t="shared" ref="CB16:CB17" ca="1" si="105">CA16*(1+$D16)</f>
        <v>85.02000000000001</v>
      </c>
      <c r="CC16" s="24">
        <f t="shared" ref="CC16:CC17" ca="1" si="106">BZ16*(1+$E16)*CB16</f>
        <v>-1125735.9309050033</v>
      </c>
      <c r="CD16" s="24">
        <f ca="1">CC16*3</f>
        <v>-3377207.7927150102</v>
      </c>
      <c r="CE16" s="21" cm="1">
        <f t="array" aca="1" ref="CE16" ca="1">INDIRECT(ADDRESS(2,CE$1,,,A16))+INDIRECT(ADDRESS(3,CE$1,,,A16))</f>
        <v>2491</v>
      </c>
      <c r="CF16" s="24" cm="1">
        <f t="array" aca="1" ref="CF16" ca="1">-INDIRECT(ADDRESS(5,CE$1,,,A16))*CG16</f>
        <v>-28854591.050000001</v>
      </c>
      <c r="CG16" s="21">
        <f t="shared" si="96"/>
        <v>1</v>
      </c>
      <c r="CH16" s="24">
        <f t="shared" ca="1" si="97"/>
        <v>-11583.537153753514</v>
      </c>
      <c r="CI16" s="21" cm="1">
        <f t="array" aca="1" ref="CI16" ca="1">INDIRECT(ADDRESS(15,CE$1,,,A16))+INDIRECT(ADDRESS(16,CE$1,,,A16))</f>
        <v>88</v>
      </c>
      <c r="CJ16" s="21">
        <f t="shared" ref="CJ16:CJ17" ca="1" si="107">CI16*(1+$D16)</f>
        <v>95.92</v>
      </c>
      <c r="CK16" s="24">
        <f t="shared" ref="CK16:CK17" ca="1" si="108">CH16*(1+$E16)*CJ16</f>
        <v>-1272201.3519373024</v>
      </c>
      <c r="CL16" s="24">
        <f t="shared" ca="1" si="81"/>
        <v>-2544402.7038746048</v>
      </c>
      <c r="CM16" s="21" cm="1">
        <f t="array" aca="1" ref="CM16" ca="1">INDIRECT(ADDRESS(2,CM$1,,,A16))+INDIRECT(ADDRESS(3,CM$1,,,A16))</f>
        <v>2425</v>
      </c>
      <c r="CN16" s="24" cm="1">
        <f t="array" aca="1" ref="CN16" ca="1">-INDIRECT(ADDRESS(5,CM$1,,,A16))*CO16</f>
        <v>-28286214.280000001</v>
      </c>
      <c r="CO16" s="21">
        <f t="shared" si="98"/>
        <v>1</v>
      </c>
      <c r="CP16" s="24">
        <f t="shared" ca="1" si="99"/>
        <v>-11664.418259793814</v>
      </c>
      <c r="CQ16" s="21" cm="1">
        <f t="array" aca="1" ref="CQ16" ca="1">INDIRECT(ADDRESS(15,CM$1,,,A16))+INDIRECT(ADDRESS(16,CM$1,,,A16))</f>
        <v>66</v>
      </c>
      <c r="CR16" s="21">
        <f t="shared" ref="CR16:CR17" ca="1" si="109">CQ16*(1+$D16)</f>
        <v>71.940000000000012</v>
      </c>
      <c r="CS16" s="24">
        <f t="shared" ref="CS16:CS17" ca="1" si="110">CP16*(1+$E16)*CR16</f>
        <v>-960813.29580295447</v>
      </c>
      <c r="CT16" s="24">
        <f ca="1">CS16*1</f>
        <v>-960813.29580295447</v>
      </c>
      <c r="CW16" s="9">
        <f>AZ16</f>
        <v>0</v>
      </c>
      <c r="CX16" s="9">
        <f t="shared" si="86"/>
        <v>0</v>
      </c>
      <c r="CY16" s="9">
        <f>K16</f>
        <v>-223627255.27147406</v>
      </c>
      <c r="CZ16" s="28"/>
      <c r="DA16" s="9"/>
    </row>
    <row r="17" spans="1:105" x14ac:dyDescent="0.35">
      <c r="A17" s="21" t="s">
        <v>167</v>
      </c>
      <c r="B17" s="21" t="s">
        <v>166</v>
      </c>
      <c r="C17" s="26">
        <f>F17/SUM($F$14:$F$17)</f>
        <v>6.2165937592600286E-2</v>
      </c>
      <c r="D17" s="23">
        <v>0.09</v>
      </c>
      <c r="E17" s="23">
        <f t="shared" si="87"/>
        <v>0.14499999999999999</v>
      </c>
      <c r="F17" s="24">
        <v>123654702</v>
      </c>
      <c r="G17" s="21">
        <v>1101</v>
      </c>
      <c r="H17" s="21">
        <f t="shared" ca="1" si="52"/>
        <v>345</v>
      </c>
      <c r="I17" s="21">
        <f t="shared" ca="1" si="53"/>
        <v>6.5400000000000009</v>
      </c>
      <c r="J17" s="21">
        <f t="shared" ca="1" si="54"/>
        <v>351</v>
      </c>
      <c r="K17" s="9">
        <v>-65201091.518594787</v>
      </c>
      <c r="L17" s="24">
        <f t="shared" ca="1" si="55"/>
        <v>-26212916.230000008</v>
      </c>
      <c r="M17" s="24">
        <f t="shared" ca="1" si="56"/>
        <v>-451837.79781186103</v>
      </c>
      <c r="N17" s="24">
        <f t="shared" ca="1" si="57"/>
        <v>-91865845.546406657</v>
      </c>
      <c r="O17" s="24">
        <f t="shared" ca="1" si="58"/>
        <v>31788856.453593343</v>
      </c>
      <c r="P17" s="25">
        <f t="shared" ca="1" si="24"/>
        <v>0.7429223803103473</v>
      </c>
      <c r="Q17" s="25">
        <f t="shared" si="59"/>
        <v>4.6452811402353987E-2</v>
      </c>
      <c r="R17" s="21">
        <v>275</v>
      </c>
      <c r="S17" s="21">
        <v>7469548</v>
      </c>
      <c r="T17" s="21"/>
      <c r="U17" s="21"/>
      <c r="V17" s="21"/>
      <c r="W17" s="21"/>
      <c r="X17" s="21"/>
      <c r="Y17" s="21"/>
      <c r="Z17" s="21">
        <v>1</v>
      </c>
      <c r="AA17" s="21"/>
      <c r="AB17" s="24"/>
      <c r="AC17" s="21">
        <f t="shared" si="88"/>
        <v>1</v>
      </c>
      <c r="AD17" s="24"/>
      <c r="AE17" s="21"/>
      <c r="AF17" s="21"/>
      <c r="AG17" s="24"/>
      <c r="AH17" s="24"/>
      <c r="AI17" s="21"/>
      <c r="AJ17" s="24"/>
      <c r="AK17" s="21">
        <f t="shared" si="89"/>
        <v>1</v>
      </c>
      <c r="AL17" s="24"/>
      <c r="AM17" s="21"/>
      <c r="AN17" s="21"/>
      <c r="AO17" s="24"/>
      <c r="AP17" s="24"/>
      <c r="AQ17" s="21"/>
      <c r="AR17" s="24"/>
      <c r="AS17" s="21">
        <f>AK17</f>
        <v>1</v>
      </c>
      <c r="AT17" s="24"/>
      <c r="AU17" s="21"/>
      <c r="AV17" s="21"/>
      <c r="AW17" s="24"/>
      <c r="AX17" s="24"/>
      <c r="AY17" s="21"/>
      <c r="AZ17" s="24"/>
      <c r="BA17" s="21">
        <f t="shared" si="62"/>
        <v>1</v>
      </c>
      <c r="BB17" s="24"/>
      <c r="BC17" s="21"/>
      <c r="BD17" s="21"/>
      <c r="BE17" s="24"/>
      <c r="BF17" s="24"/>
      <c r="BG17" s="21" cm="1">
        <f t="array" aca="1" ref="BG17" ca="1">INDIRECT(ADDRESS(2,BG$1,,,A17))+INDIRECT(ADDRESS(3,BG$1,,,A17))</f>
        <v>370</v>
      </c>
      <c r="BH17" s="24" cm="1">
        <f t="array" aca="1" ref="BH17" ca="1">-INDIRECT(ADDRESS(5,BG$1,,,A17))*BI17</f>
        <v>-5395902.9900000002</v>
      </c>
      <c r="BI17" s="21">
        <f t="shared" si="90"/>
        <v>1</v>
      </c>
      <c r="BJ17" s="24">
        <f t="shared" ca="1" si="91"/>
        <v>-14583.521594594595</v>
      </c>
      <c r="BK17" s="21" cm="1">
        <f t="array" aca="1" ref="BK17" ca="1">INDIRECT(ADDRESS(15,BG$1,,,A17))+INDIRECT(ADDRESS(16,BG$1,,,A17))</f>
        <v>0</v>
      </c>
      <c r="BL17" s="21">
        <f t="shared" ca="1" si="101"/>
        <v>0</v>
      </c>
      <c r="BM17" s="24">
        <f t="shared" ca="1" si="102"/>
        <v>0</v>
      </c>
      <c r="BN17" s="24">
        <f t="shared" ca="1" si="67"/>
        <v>0</v>
      </c>
      <c r="BO17" s="21" cm="1">
        <f t="array" aca="1" ref="BO17" ca="1">INDIRECT(ADDRESS(2,BO$1,,,A17))+INDIRECT(ADDRESS(3,BO$1,,,A17))</f>
        <v>345</v>
      </c>
      <c r="BP17" s="24" cm="1">
        <f t="array" aca="1" ref="BP17" ca="1">-INDIRECT(ADDRESS(5,BO$1,,,A17))*BQ17</f>
        <v>-5204253.3100000015</v>
      </c>
      <c r="BQ17" s="21">
        <f t="shared" si="92"/>
        <v>1</v>
      </c>
      <c r="BR17" s="24">
        <f t="shared" ca="1" si="93"/>
        <v>-15084.792202898556</v>
      </c>
      <c r="BS17" s="21" cm="1">
        <f t="array" aca="1" ref="BS17" ca="1">INDIRECT(ADDRESS(15,BO$1,,,A17))+INDIRECT(ADDRESS(16,BO$1,,,A17))</f>
        <v>6</v>
      </c>
      <c r="BT17" s="21">
        <f t="shared" ca="1" si="103"/>
        <v>6.5400000000000009</v>
      </c>
      <c r="BU17" s="24">
        <f t="shared" ca="1" si="104"/>
        <v>-112959.44945296526</v>
      </c>
      <c r="BV17" s="24">
        <f t="shared" ca="1" si="72"/>
        <v>-451837.79781186103</v>
      </c>
      <c r="BW17" s="21" cm="1">
        <f t="array" aca="1" ref="BW17" ca="1">INDIRECT(ADDRESS(2,BW$1,,,A17))+INDIRECT(ADDRESS(3,BW$1,,,A17))</f>
        <v>345</v>
      </c>
      <c r="BX17" s="24" cm="1">
        <f t="array" aca="1" ref="BX17" ca="1">-INDIRECT(ADDRESS(5,BW$1,,,A17))*BY17</f>
        <v>-5204253.3100000015</v>
      </c>
      <c r="BY17" s="21">
        <f t="shared" si="94"/>
        <v>1</v>
      </c>
      <c r="BZ17" s="24">
        <f t="shared" ca="1" si="95"/>
        <v>-15084.792202898556</v>
      </c>
      <c r="CA17" s="21" cm="1">
        <f t="array" aca="1" ref="CA17" ca="1">INDIRECT(ADDRESS(15,BW$1,,,A17))+INDIRECT(ADDRESS(16,BW$1,,,A17))</f>
        <v>0</v>
      </c>
      <c r="CB17" s="21">
        <f t="shared" ca="1" si="105"/>
        <v>0</v>
      </c>
      <c r="CC17" s="24">
        <f t="shared" ca="1" si="106"/>
        <v>0</v>
      </c>
      <c r="CD17" s="24">
        <f ca="1">CC17*3</f>
        <v>0</v>
      </c>
      <c r="CE17" s="21" cm="1">
        <f t="array" aca="1" ref="CE17" ca="1">INDIRECT(ADDRESS(2,CE$1,,,A17))+INDIRECT(ADDRESS(3,CE$1,,,A17))</f>
        <v>345</v>
      </c>
      <c r="CF17" s="24" cm="1">
        <f t="array" aca="1" ref="CF17" ca="1">-INDIRECT(ADDRESS(5,CE$1,,,A17))*CG17</f>
        <v>-5204253.3100000015</v>
      </c>
      <c r="CG17" s="21">
        <f t="shared" si="96"/>
        <v>1</v>
      </c>
      <c r="CH17" s="24">
        <f t="shared" ca="1" si="97"/>
        <v>-15084.792202898556</v>
      </c>
      <c r="CI17" s="21" cm="1">
        <f t="array" aca="1" ref="CI17" ca="1">INDIRECT(ADDRESS(15,CE$1,,,A17))+INDIRECT(ADDRESS(16,CE$1,,,A17))</f>
        <v>0</v>
      </c>
      <c r="CJ17" s="21">
        <f t="shared" ca="1" si="107"/>
        <v>0</v>
      </c>
      <c r="CK17" s="24">
        <f t="shared" ca="1" si="108"/>
        <v>0</v>
      </c>
      <c r="CL17" s="24">
        <f t="shared" ca="1" si="81"/>
        <v>0</v>
      </c>
      <c r="CM17" s="21" cm="1">
        <f t="array" aca="1" ref="CM17" ca="1">INDIRECT(ADDRESS(2,CM$1,,,A17))+INDIRECT(ADDRESS(3,CM$1,,,A17))</f>
        <v>345</v>
      </c>
      <c r="CN17" s="24" cm="1">
        <f t="array" aca="1" ref="CN17" ca="1">-INDIRECT(ADDRESS(5,CM$1,,,A17))*CO17</f>
        <v>-5204253.3100000015</v>
      </c>
      <c r="CO17" s="21">
        <f t="shared" si="98"/>
        <v>1</v>
      </c>
      <c r="CP17" s="24">
        <f t="shared" ca="1" si="99"/>
        <v>-15084.792202898556</v>
      </c>
      <c r="CQ17" s="21" cm="1">
        <f t="array" aca="1" ref="CQ17" ca="1">INDIRECT(ADDRESS(15,CM$1,,,A17))+INDIRECT(ADDRESS(16,CM$1,,,A17))</f>
        <v>0</v>
      </c>
      <c r="CR17" s="21">
        <f t="shared" ca="1" si="109"/>
        <v>0</v>
      </c>
      <c r="CS17" s="24">
        <f t="shared" ca="1" si="110"/>
        <v>0</v>
      </c>
      <c r="CT17" s="24">
        <f ca="1">CS17*1</f>
        <v>0</v>
      </c>
      <c r="CW17" s="9">
        <f>AZ17</f>
        <v>0</v>
      </c>
      <c r="CX17" s="9">
        <f t="shared" si="86"/>
        <v>0</v>
      </c>
      <c r="CY17" s="9">
        <f>K17</f>
        <v>-65201091.518594787</v>
      </c>
      <c r="CZ17" s="28"/>
      <c r="DA17" s="9"/>
    </row>
    <row r="18" spans="1:105" x14ac:dyDescent="0.35">
      <c r="C18" s="20"/>
      <c r="D18" s="5"/>
      <c r="E18" s="5"/>
      <c r="F18" s="9"/>
      <c r="K18" s="9"/>
      <c r="L18" s="9"/>
      <c r="M18" s="9"/>
      <c r="N18" s="9"/>
      <c r="O18" s="9"/>
      <c r="P18" s="9"/>
      <c r="Q18" s="9"/>
    </row>
    <row r="19" spans="1:105" x14ac:dyDescent="0.35">
      <c r="A19" t="s">
        <v>168</v>
      </c>
      <c r="C19" s="20"/>
      <c r="D19" s="5"/>
      <c r="E19" s="5"/>
      <c r="F19" s="9">
        <v>161476790</v>
      </c>
      <c r="G19">
        <v>482</v>
      </c>
      <c r="H19">
        <f ca="1">H20+H21</f>
        <v>499</v>
      </c>
      <c r="I19">
        <f t="shared" ref="I19" ca="1" si="111">I20+I21</f>
        <v>53.164999999999992</v>
      </c>
      <c r="J19">
        <f t="shared" ref="J19" ca="1" si="112">J20+J21</f>
        <v>552</v>
      </c>
      <c r="K19" s="9">
        <v>-93381608.291536078</v>
      </c>
      <c r="L19" s="9">
        <f t="shared" ref="L19" ca="1" si="113">L20+L21</f>
        <v>-74833175.447694391</v>
      </c>
      <c r="M19" s="9">
        <f t="shared" ref="M19" ca="1" si="114">M20+M21</f>
        <v>-4668606.2606116664</v>
      </c>
      <c r="N19" s="24">
        <f ca="1">K19+L19+M19</f>
        <v>-172883389.99984211</v>
      </c>
      <c r="O19" s="24">
        <f ca="1">N19+F19</f>
        <v>-11406599.999842107</v>
      </c>
      <c r="P19" s="25">
        <f ca="1">-N19/F19</f>
        <v>1.0706392540986363</v>
      </c>
      <c r="Q19" s="25">
        <f>F19/$F$23</f>
        <v>6.0661266821277204E-2</v>
      </c>
      <c r="R19">
        <v>490</v>
      </c>
      <c r="S19">
        <v>13709000</v>
      </c>
      <c r="CW19" s="9"/>
      <c r="CX19" s="9"/>
      <c r="CY19" s="9">
        <f>K19</f>
        <v>-93381608.291536078</v>
      </c>
      <c r="DA19" s="9"/>
    </row>
    <row r="20" spans="1:105" x14ac:dyDescent="0.35">
      <c r="A20" s="21" t="s">
        <v>168</v>
      </c>
      <c r="B20" s="21" t="s">
        <v>117</v>
      </c>
      <c r="C20" s="22"/>
      <c r="D20" s="23">
        <f>143%/2</f>
        <v>0.71499999999999997</v>
      </c>
      <c r="E20" s="23">
        <f>38%/2</f>
        <v>0.19</v>
      </c>
      <c r="F20" s="24"/>
      <c r="G20" s="21"/>
      <c r="H20" s="21">
        <f t="shared" ref="H20:H21" ca="1" si="115">CM20</f>
        <v>468</v>
      </c>
      <c r="I20" s="21">
        <f t="shared" ref="I20:I21" ca="1" si="116">AF20+AN20+AV20+BD20+BL20+BT20+CB20+CJ20+CR20</f>
        <v>53.164999999999992</v>
      </c>
      <c r="J20" s="21">
        <f t="shared" ref="J20:J21" ca="1" si="117">H20+INT(I20)</f>
        <v>521</v>
      </c>
      <c r="K20" s="24"/>
      <c r="L20" s="24">
        <f t="shared" ref="L20:L21" ca="1" si="118">AB20+AJ20+AR20+AZ20+BH20+BP20+BX20+CF20+CN20</f>
        <v>-72315611.431297913</v>
      </c>
      <c r="M20" s="24">
        <f t="shared" ref="M20:M21" ca="1" si="119">AH20+AP20+AX20+BF20+BN20+BV20+CD20+CL20+CT20</f>
        <v>-4668606.2606116664</v>
      </c>
      <c r="N20" s="24"/>
      <c r="O20" s="24"/>
      <c r="P20" s="24"/>
      <c r="Q20" s="24"/>
      <c r="R20" s="21"/>
      <c r="S20" s="21"/>
      <c r="T20" s="21">
        <v>17.451465550057101</v>
      </c>
      <c r="U20" s="21"/>
      <c r="V20" s="21"/>
      <c r="W20" s="21">
        <v>17.870770915633432</v>
      </c>
      <c r="X20" s="21"/>
      <c r="Y20" s="21"/>
      <c r="Z20" s="21">
        <v>18.46352288488211</v>
      </c>
      <c r="AA20" s="21"/>
      <c r="AB20" s="24"/>
      <c r="AC20" s="21">
        <v>18.770692212112714</v>
      </c>
      <c r="AD20" s="24"/>
      <c r="AE20" s="21"/>
      <c r="AF20" s="21"/>
      <c r="AG20" s="24"/>
      <c r="AH20" s="24"/>
      <c r="AI20" s="21"/>
      <c r="AJ20" s="24"/>
      <c r="AK20" s="21">
        <f t="shared" ref="AK20:AK21" si="120">AC20</f>
        <v>18.770692212112714</v>
      </c>
      <c r="AL20" s="24"/>
      <c r="AM20" s="21"/>
      <c r="AN20" s="21"/>
      <c r="AO20" s="24"/>
      <c r="AP20" s="24"/>
      <c r="AQ20" s="21"/>
      <c r="AR20" s="24"/>
      <c r="AS20" s="21">
        <v>18.481077689321147</v>
      </c>
      <c r="AT20" s="24"/>
      <c r="AU20" s="21"/>
      <c r="AV20" s="21"/>
      <c r="AW20" s="24"/>
      <c r="AX20" s="24"/>
      <c r="AY20" s="21"/>
      <c r="AZ20" s="24"/>
      <c r="BA20" s="21">
        <v>18.500590138968207</v>
      </c>
      <c r="BB20" s="24"/>
      <c r="BC20" s="21"/>
      <c r="BD20" s="21"/>
      <c r="BE20" s="24"/>
      <c r="BF20" s="24"/>
      <c r="BG20" s="21" cm="1">
        <f t="array" aca="1" ref="BG20" ca="1">INDIRECT(ADDRESS(2,BG$1,,,B20))+INDIRECT(ADDRESS(3,BG$1,,,B20))</f>
        <v>522</v>
      </c>
      <c r="BH20" s="24" cm="1">
        <f t="array" aca="1" ref="BH20" ca="1">-INDIRECT(ADDRESS(5,BG$1,,,B20))*BI20</f>
        <v>-15294915.92313421</v>
      </c>
      <c r="BI20" s="21">
        <f t="shared" ref="BI20:BI21" si="121">BA20</f>
        <v>18.500590138968207</v>
      </c>
      <c r="BJ20" s="24">
        <f t="shared" ref="BJ20:BJ21" ca="1" si="122">BH20/BG20</f>
        <v>-29300.605216732201</v>
      </c>
      <c r="BK20" s="21" cm="1">
        <f t="array" aca="1" ref="BK20" ca="1">INDIRECT(ADDRESS(15,BG$1,,,B20))+INDIRECT(ADDRESS(16,BG$1,,,B20))</f>
        <v>0</v>
      </c>
      <c r="BL20" s="21">
        <f t="shared" ref="BL20:BL21" ca="1" si="123">BK20*(1+$D20)</f>
        <v>0</v>
      </c>
      <c r="BM20" s="24">
        <f t="shared" ref="BM20:BM21" ca="1" si="124">BJ20*(1+$E20)*BL20</f>
        <v>0</v>
      </c>
      <c r="BN20" s="24">
        <f t="shared" ref="BN20:BN21" ca="1" si="125">BM20*5</f>
        <v>0</v>
      </c>
      <c r="BO20" s="21" cm="1">
        <f t="array" aca="1" ref="BO20" ca="1">INDIRECT(ADDRESS(2,BO$1,,,B20))+INDIRECT(ADDRESS(3,BO$1,,,B20))</f>
        <v>494</v>
      </c>
      <c r="BP20" s="24" cm="1">
        <f t="array" aca="1" ref="BP20" ca="1">-INDIRECT(ADDRESS(5,BO$1,,,B20))*BQ20</f>
        <v>-14624707.254559297</v>
      </c>
      <c r="BQ20" s="21">
        <f t="shared" ref="BQ20:BQ21" si="126">BI20</f>
        <v>18.500590138968207</v>
      </c>
      <c r="BR20" s="24">
        <f t="shared" ref="BR20:BR21" ca="1" si="127">BP20/BO20</f>
        <v>-29604.670555788052</v>
      </c>
      <c r="BS20" s="21" cm="1">
        <f t="array" aca="1" ref="BS20" ca="1">INDIRECT(ADDRESS(15,BO$1,,,B20))+INDIRECT(ADDRESS(16,BO$1,,,B20))</f>
        <v>5</v>
      </c>
      <c r="BT20" s="21">
        <f t="shared" ref="BT20:BT21" ca="1" si="128">BS20*(1+$D20)</f>
        <v>8.5749999999999993</v>
      </c>
      <c r="BU20" s="24">
        <f t="shared" ref="BU20:BU21" ca="1" si="129">BR20*(1+$E20)*BT20</f>
        <v>-302093.4595189002</v>
      </c>
      <c r="BV20" s="24">
        <f ca="1">BU20*4</f>
        <v>-1208373.8380756008</v>
      </c>
      <c r="BW20" s="21" cm="1">
        <f t="array" aca="1" ref="BW20" ca="1">INDIRECT(ADDRESS(2,BW$1,,,B20))+INDIRECT(ADDRESS(3,BW$1,,,B20))</f>
        <v>482</v>
      </c>
      <c r="BX20" s="24" cm="1">
        <f t="array" aca="1" ref="BX20" ca="1">-INDIRECT(ADDRESS(5,BW$1,,,B20))*BY20</f>
        <v>-14337330.187694648</v>
      </c>
      <c r="BY20" s="21">
        <f t="shared" ref="BY20:BY21" si="130">BQ20</f>
        <v>18.500590138968207</v>
      </c>
      <c r="BZ20" s="24">
        <f t="shared" ref="BZ20:BZ21" ca="1" si="131">BX20/BW20</f>
        <v>-29745.498314719189</v>
      </c>
      <c r="CA20" s="21" cm="1">
        <f t="array" aca="1" ref="CA20" ca="1">INDIRECT(ADDRESS(15,BW$1,,,B20))+INDIRECT(ADDRESS(16,BW$1,,,B20))</f>
        <v>12</v>
      </c>
      <c r="CB20" s="21">
        <f t="shared" ref="CB20:CB21" ca="1" si="132">CA20*(1+$D20)</f>
        <v>20.58</v>
      </c>
      <c r="CC20" s="24">
        <f t="shared" ref="CC20:CC21" ca="1" si="133">BZ20*(1+$E20)*CB20</f>
        <v>-728473.20282713568</v>
      </c>
      <c r="CD20" s="24">
        <f ca="1">CC20*3</f>
        <v>-2185419.6084814072</v>
      </c>
      <c r="CE20" s="21" cm="1">
        <f t="array" aca="1" ref="CE20" ca="1">INDIRECT(ADDRESS(2,CE$1,,,B20))+INDIRECT(ADDRESS(3,CE$1,,,B20))</f>
        <v>475</v>
      </c>
      <c r="CF20" s="24" cm="1">
        <f t="array" aca="1" ref="CF20" ca="1">-INDIRECT(ADDRESS(5,CE$1,,,B20))*CG20</f>
        <v>-14119679.624992954</v>
      </c>
      <c r="CG20" s="21">
        <f t="shared" ref="CG20:CG21" si="134">BY20</f>
        <v>18.500590138968207</v>
      </c>
      <c r="CH20" s="24">
        <f t="shared" ref="CH20:CH21" ca="1" si="135">CF20/CE20</f>
        <v>-29725.641315774639</v>
      </c>
      <c r="CI20" s="21" cm="1">
        <f t="array" aca="1" ref="CI20" ca="1">INDIRECT(ADDRESS(15,CE$1,,,B20))+INDIRECT(ADDRESS(16,CE$1,,,B20))</f>
        <v>7</v>
      </c>
      <c r="CJ20" s="21">
        <f t="shared" ref="CJ20:CJ21" ca="1" si="136">CI20*(1+$D20)</f>
        <v>12.004999999999999</v>
      </c>
      <c r="CK20" s="24">
        <f t="shared" ref="CK20:CK21" ca="1" si="137">CH20*(1+$E20)*CJ20</f>
        <v>-424659.02555509063</v>
      </c>
      <c r="CL20" s="24">
        <f ca="1">CK20*2</f>
        <v>-849318.05111018126</v>
      </c>
      <c r="CM20" s="21" cm="1">
        <f t="array" aca="1" ref="CM20" ca="1">INDIRECT(ADDRESS(2,CM$1,,,B20))+INDIRECT(ADDRESS(3,CM$1,,,B20))</f>
        <v>468</v>
      </c>
      <c r="CN20" s="24" cm="1">
        <f t="array" aca="1" ref="CN20" ca="1">-INDIRECT(ADDRESS(5,CM$1,,,B20))*CO20</f>
        <v>-13938978.440916808</v>
      </c>
      <c r="CO20" s="21">
        <f t="shared" ref="CO20:CO21" si="138">CG20</f>
        <v>18.500590138968207</v>
      </c>
      <c r="CP20" s="24">
        <f t="shared" ref="CP20:CP21" ca="1" si="139">CN20/CM20</f>
        <v>-29784.141967770956</v>
      </c>
      <c r="CQ20" s="21" cm="1">
        <f t="array" aca="1" ref="CQ20" ca="1">INDIRECT(ADDRESS(15,CM$1,,,B20))+INDIRECT(ADDRESS(16,CM$1,,,B20))</f>
        <v>7</v>
      </c>
      <c r="CR20" s="21">
        <f t="shared" ref="CR20:CR21" ca="1" si="140">CQ20*(1+$D20)</f>
        <v>12.004999999999999</v>
      </c>
      <c r="CS20" s="24">
        <f t="shared" ref="CS20:CS21" ca="1" si="141">CP20*(1+$E20)*CR20</f>
        <v>-425494.76294447749</v>
      </c>
      <c r="CT20" s="24">
        <f ca="1">CS20*1</f>
        <v>-425494.76294447749</v>
      </c>
      <c r="CW20" s="9">
        <f>AZ20</f>
        <v>0</v>
      </c>
      <c r="CX20" s="9">
        <f t="shared" ref="CX20:CX21" si="142">CW20*6</f>
        <v>0</v>
      </c>
      <c r="CY20" s="9"/>
      <c r="CZ20" s="28"/>
      <c r="DA20" s="9"/>
    </row>
    <row r="21" spans="1:105" x14ac:dyDescent="0.35">
      <c r="A21" s="21" t="s">
        <v>168</v>
      </c>
      <c r="B21" s="21" t="s">
        <v>118</v>
      </c>
      <c r="C21" s="22"/>
      <c r="D21" s="23">
        <f>143%/2</f>
        <v>0.71499999999999997</v>
      </c>
      <c r="E21" s="23">
        <f>38%/2</f>
        <v>0.19</v>
      </c>
      <c r="F21" s="24"/>
      <c r="G21" s="21"/>
      <c r="H21" s="21">
        <f t="shared" ca="1" si="115"/>
        <v>31</v>
      </c>
      <c r="I21" s="21">
        <f t="shared" ca="1" si="116"/>
        <v>0</v>
      </c>
      <c r="J21" s="21">
        <f t="shared" ca="1" si="117"/>
        <v>31</v>
      </c>
      <c r="K21" s="24"/>
      <c r="L21" s="24">
        <f t="shared" ca="1" si="118"/>
        <v>-2517564.016396476</v>
      </c>
      <c r="M21" s="24">
        <f t="shared" ca="1" si="119"/>
        <v>0</v>
      </c>
      <c r="N21" s="24"/>
      <c r="O21" s="24"/>
      <c r="P21" s="24"/>
      <c r="Q21" s="24"/>
      <c r="R21" s="21"/>
      <c r="S21" s="21"/>
      <c r="T21" s="21">
        <v>0.65676752048593201</v>
      </c>
      <c r="U21" s="21"/>
      <c r="V21" s="21"/>
      <c r="W21" s="21"/>
      <c r="X21" s="21"/>
      <c r="Y21" s="21"/>
      <c r="Z21" s="21">
        <v>0.674501861685187</v>
      </c>
      <c r="AA21" s="21"/>
      <c r="AB21" s="24"/>
      <c r="AC21" s="21">
        <v>0.67136598484978804</v>
      </c>
      <c r="AD21" s="24"/>
      <c r="AE21" s="21"/>
      <c r="AF21" s="21"/>
      <c r="AG21" s="24"/>
      <c r="AH21" s="24"/>
      <c r="AI21" s="21"/>
      <c r="AJ21" s="24"/>
      <c r="AK21" s="21">
        <f t="shared" si="120"/>
        <v>0.67136598484978804</v>
      </c>
      <c r="AL21" s="24"/>
      <c r="AM21" s="21"/>
      <c r="AN21" s="21"/>
      <c r="AO21" s="24"/>
      <c r="AP21" s="24"/>
      <c r="AQ21" s="21"/>
      <c r="AR21" s="24"/>
      <c r="AS21" s="21">
        <v>0.65293728879079227</v>
      </c>
      <c r="AT21" s="24"/>
      <c r="AU21" s="21"/>
      <c r="AV21" s="21"/>
      <c r="AW21" s="24"/>
      <c r="AX21" s="24"/>
      <c r="AY21" s="21"/>
      <c r="AZ21" s="24"/>
      <c r="BA21" s="21">
        <v>0.66258142195423608</v>
      </c>
      <c r="BB21" s="24"/>
      <c r="BC21" s="21"/>
      <c r="BD21" s="21"/>
      <c r="BE21" s="24"/>
      <c r="BF21" s="24"/>
      <c r="BG21" s="21" cm="1">
        <f t="array" aca="1" ref="BG21" ca="1">INDIRECT(ADDRESS(2,BG$1,,,B21))+INDIRECT(ADDRESS(3,BG$1,,,B21))</f>
        <v>31</v>
      </c>
      <c r="BH21" s="24" cm="1">
        <f t="array" aca="1" ref="BH21" ca="1">-INDIRECT(ADDRESS(5,BG$1,,,B21))*BI21</f>
        <v>-503512.80327929521</v>
      </c>
      <c r="BI21" s="21">
        <f t="shared" si="121"/>
        <v>0.66258142195423608</v>
      </c>
      <c r="BJ21" s="24">
        <f t="shared" ca="1" si="122"/>
        <v>-16242.34849288049</v>
      </c>
      <c r="BK21" s="21" cm="1">
        <f t="array" aca="1" ref="BK21" ca="1">INDIRECT(ADDRESS(15,BG$1,,,B21))+INDIRECT(ADDRESS(16,BG$1,,,B21))</f>
        <v>0</v>
      </c>
      <c r="BL21" s="21">
        <f t="shared" ca="1" si="123"/>
        <v>0</v>
      </c>
      <c r="BM21" s="24">
        <f t="shared" ca="1" si="124"/>
        <v>0</v>
      </c>
      <c r="BN21" s="24">
        <f t="shared" ca="1" si="125"/>
        <v>0</v>
      </c>
      <c r="BO21" s="21" cm="1">
        <f t="array" aca="1" ref="BO21" ca="1">INDIRECT(ADDRESS(2,BO$1,,,B21))+INDIRECT(ADDRESS(3,BO$1,,,B21))</f>
        <v>31</v>
      </c>
      <c r="BP21" s="24" cm="1">
        <f t="array" aca="1" ref="BP21" ca="1">-INDIRECT(ADDRESS(5,BO$1,,,B21))*BQ21</f>
        <v>-503512.80327929521</v>
      </c>
      <c r="BQ21" s="21">
        <f t="shared" si="126"/>
        <v>0.66258142195423608</v>
      </c>
      <c r="BR21" s="24">
        <f t="shared" ca="1" si="127"/>
        <v>-16242.34849288049</v>
      </c>
      <c r="BS21" s="21" cm="1">
        <f t="array" aca="1" ref="BS21" ca="1">INDIRECT(ADDRESS(15,BO$1,,,B21))+INDIRECT(ADDRESS(16,BO$1,,,B21))</f>
        <v>0</v>
      </c>
      <c r="BT21" s="21">
        <f t="shared" ca="1" si="128"/>
        <v>0</v>
      </c>
      <c r="BU21" s="24">
        <f t="shared" ca="1" si="129"/>
        <v>0</v>
      </c>
      <c r="BV21" s="24">
        <f ca="1">BU21*4</f>
        <v>0</v>
      </c>
      <c r="BW21" s="21" cm="1">
        <f t="array" aca="1" ref="BW21" ca="1">INDIRECT(ADDRESS(2,BW$1,,,B21))+INDIRECT(ADDRESS(3,BW$1,,,B21))</f>
        <v>31</v>
      </c>
      <c r="BX21" s="24" cm="1">
        <f t="array" aca="1" ref="BX21" ca="1">-INDIRECT(ADDRESS(5,BW$1,,,B21))*BY21</f>
        <v>-503512.80327929521</v>
      </c>
      <c r="BY21" s="21">
        <f t="shared" si="130"/>
        <v>0.66258142195423608</v>
      </c>
      <c r="BZ21" s="24">
        <f t="shared" ca="1" si="131"/>
        <v>-16242.34849288049</v>
      </c>
      <c r="CA21" s="21" cm="1">
        <f t="array" aca="1" ref="CA21" ca="1">INDIRECT(ADDRESS(15,BW$1,,,B21))+INDIRECT(ADDRESS(16,BW$1,,,B21))</f>
        <v>0</v>
      </c>
      <c r="CB21" s="21">
        <f t="shared" ca="1" si="132"/>
        <v>0</v>
      </c>
      <c r="CC21" s="24">
        <f t="shared" ca="1" si="133"/>
        <v>0</v>
      </c>
      <c r="CD21" s="24">
        <f ca="1">CC21*3</f>
        <v>0</v>
      </c>
      <c r="CE21" s="21" cm="1">
        <f t="array" aca="1" ref="CE21" ca="1">INDIRECT(ADDRESS(2,CE$1,,,B21))+INDIRECT(ADDRESS(3,CE$1,,,B21))</f>
        <v>31</v>
      </c>
      <c r="CF21" s="24" cm="1">
        <f t="array" aca="1" ref="CF21" ca="1">-INDIRECT(ADDRESS(5,CE$1,,,B21))*CG21</f>
        <v>-503512.80327929521</v>
      </c>
      <c r="CG21" s="21">
        <f t="shared" si="134"/>
        <v>0.66258142195423608</v>
      </c>
      <c r="CH21" s="24">
        <f t="shared" ca="1" si="135"/>
        <v>-16242.34849288049</v>
      </c>
      <c r="CI21" s="21" cm="1">
        <f t="array" aca="1" ref="CI21" ca="1">INDIRECT(ADDRESS(15,CE$1,,,B21))+INDIRECT(ADDRESS(16,CE$1,,,B21))</f>
        <v>0</v>
      </c>
      <c r="CJ21" s="21">
        <f t="shared" ca="1" si="136"/>
        <v>0</v>
      </c>
      <c r="CK21" s="24">
        <f t="shared" ca="1" si="137"/>
        <v>0</v>
      </c>
      <c r="CL21" s="24">
        <f ca="1">CK21*2</f>
        <v>0</v>
      </c>
      <c r="CM21" s="21" cm="1">
        <f t="array" aca="1" ref="CM21" ca="1">INDIRECT(ADDRESS(2,CM$1,,,B21))+INDIRECT(ADDRESS(3,CM$1,,,B21))</f>
        <v>31</v>
      </c>
      <c r="CN21" s="24" cm="1">
        <f t="array" aca="1" ref="CN21" ca="1">-INDIRECT(ADDRESS(5,CM$1,,,B21))*CO21</f>
        <v>-503512.80327929521</v>
      </c>
      <c r="CO21" s="21">
        <f t="shared" si="138"/>
        <v>0.66258142195423608</v>
      </c>
      <c r="CP21" s="24">
        <f t="shared" ca="1" si="139"/>
        <v>-16242.34849288049</v>
      </c>
      <c r="CQ21" s="21" cm="1">
        <f t="array" aca="1" ref="CQ21" ca="1">INDIRECT(ADDRESS(15,CM$1,,,B21))+INDIRECT(ADDRESS(16,CM$1,,,B21))</f>
        <v>0</v>
      </c>
      <c r="CR21" s="21">
        <f t="shared" ca="1" si="140"/>
        <v>0</v>
      </c>
      <c r="CS21" s="24">
        <f t="shared" ca="1" si="141"/>
        <v>0</v>
      </c>
      <c r="CT21" s="24">
        <f ca="1">CS21*1</f>
        <v>0</v>
      </c>
      <c r="CW21" s="9">
        <f>AZ21</f>
        <v>0</v>
      </c>
      <c r="CX21" s="9">
        <f t="shared" si="142"/>
        <v>0</v>
      </c>
      <c r="CY21" s="9"/>
      <c r="CZ21" s="28"/>
      <c r="DA21" s="9"/>
    </row>
    <row r="22" spans="1:105" x14ac:dyDescent="0.35">
      <c r="D22" s="5"/>
      <c r="E22" s="5"/>
      <c r="F22" s="9"/>
      <c r="K22" s="9"/>
      <c r="L22" s="9"/>
      <c r="M22" s="9"/>
      <c r="N22" s="9"/>
      <c r="O22" s="9"/>
      <c r="P22" s="9"/>
      <c r="Q22" s="9"/>
      <c r="CL22">
        <v>2</v>
      </c>
    </row>
    <row r="23" spans="1:105" x14ac:dyDescent="0.35">
      <c r="D23" s="5"/>
      <c r="E23" s="5"/>
      <c r="F23" s="9">
        <f>SUM(F4:F21)</f>
        <v>2661942265</v>
      </c>
      <c r="K23" s="9">
        <f>-SUM(K4:K21)</f>
        <v>1342848197.3222921</v>
      </c>
      <c r="L23" s="9"/>
      <c r="M23" s="9"/>
      <c r="N23" s="9">
        <f ca="1">-SUM(N4:N21)</f>
        <v>2348489355.4501119</v>
      </c>
      <c r="O23" s="9"/>
      <c r="P23" s="9"/>
      <c r="Q23" s="11">
        <f>SUM(Q4:Q21)</f>
        <v>1</v>
      </c>
    </row>
    <row r="24" spans="1:105" x14ac:dyDescent="0.35">
      <c r="D24" s="5"/>
      <c r="E24" s="5"/>
      <c r="F24" s="11"/>
      <c r="K24" s="11">
        <f>K23/F23</f>
        <v>0.50446180406632224</v>
      </c>
      <c r="L24" s="9"/>
      <c r="M24" s="9"/>
      <c r="N24" s="11">
        <f ca="1">N23/F23</f>
        <v>0.88224654092943366</v>
      </c>
      <c r="O24" s="9"/>
      <c r="P24" s="9"/>
      <c r="Q24" s="9"/>
      <c r="CW24" s="9"/>
      <c r="CX24" s="9">
        <f>SUM(CX4:CX21)</f>
        <v>0</v>
      </c>
      <c r="CY24" s="9">
        <f>SUM(CY4:CY21)</f>
        <v>-1342848197.3222921</v>
      </c>
      <c r="CZ24" s="9">
        <f>SUM(CX24:CY24)</f>
        <v>-1342848197.3222921</v>
      </c>
      <c r="DA24" s="9"/>
    </row>
    <row r="25" spans="1:105" x14ac:dyDescent="0.35">
      <c r="D25" s="5"/>
      <c r="E25" s="5"/>
      <c r="F25" s="11"/>
      <c r="K25" s="9"/>
      <c r="L25" s="9"/>
      <c r="M25" s="9"/>
      <c r="N25" s="9"/>
      <c r="O25" s="9"/>
      <c r="P25" s="9"/>
      <c r="Q25" s="9"/>
    </row>
    <row r="26" spans="1:105" x14ac:dyDescent="0.35">
      <c r="B26" t="s">
        <v>166</v>
      </c>
      <c r="D26" s="5"/>
      <c r="E26" s="5"/>
      <c r="F26" s="9"/>
      <c r="K26" s="9">
        <f>SUM(K14:K17)</f>
        <v>-1048823423.9445586</v>
      </c>
      <c r="L26" s="9"/>
      <c r="M26" s="9"/>
      <c r="N26" s="9"/>
      <c r="O26" s="9"/>
      <c r="P26" s="9"/>
      <c r="Q26" s="9"/>
      <c r="AT26" s="9"/>
      <c r="AW26" s="28"/>
      <c r="BB26" s="9"/>
      <c r="BJ26" s="9"/>
      <c r="BR26" s="9"/>
      <c r="BZ26" s="9"/>
      <c r="CH26" s="9"/>
      <c r="CP26" s="9"/>
    </row>
    <row r="27" spans="1:105" x14ac:dyDescent="0.35">
      <c r="D27" s="5"/>
      <c r="E27" s="5"/>
      <c r="F27" s="9"/>
      <c r="K27" s="9"/>
      <c r="L27" s="9"/>
      <c r="M27" s="9"/>
      <c r="N27" s="9"/>
      <c r="O27" s="9"/>
      <c r="P27" s="9"/>
      <c r="Q27" s="9"/>
    </row>
    <row r="28" spans="1:105" x14ac:dyDescent="0.35">
      <c r="A28" t="s">
        <v>115</v>
      </c>
      <c r="B28" t="s">
        <v>115</v>
      </c>
      <c r="D28" s="5">
        <v>0.09</v>
      </c>
      <c r="E28" s="5">
        <v>0.28999999999999998</v>
      </c>
      <c r="F28" s="9"/>
      <c r="K28" s="29">
        <f>[1]Breakdown!$R$14</f>
        <v>-295896.74971668795</v>
      </c>
      <c r="L28" s="9"/>
      <c r="M28" s="9"/>
      <c r="N28" s="9"/>
      <c r="O28" s="9"/>
      <c r="P28" s="9"/>
      <c r="Q28" s="9"/>
      <c r="AT28" s="28"/>
      <c r="BB28" s="28"/>
      <c r="BJ28" s="28"/>
      <c r="BR28" s="28"/>
      <c r="BZ28" s="28"/>
      <c r="CH28" s="28"/>
      <c r="CP28" s="28"/>
    </row>
    <row r="29" spans="1:105" x14ac:dyDescent="0.35">
      <c r="K29" s="9"/>
      <c r="L29" s="9"/>
      <c r="M29" s="9"/>
      <c r="N29" s="9"/>
      <c r="O29" s="9"/>
      <c r="P29" s="9"/>
      <c r="Q29" s="9"/>
    </row>
    <row r="30" spans="1:105" x14ac:dyDescent="0.35">
      <c r="K30" s="9"/>
      <c r="L30" s="9"/>
      <c r="M30" s="9"/>
      <c r="N30" s="9"/>
      <c r="O30" s="9"/>
      <c r="P30" s="9"/>
      <c r="Q30" s="9"/>
    </row>
    <row r="31" spans="1:105" x14ac:dyDescent="0.35">
      <c r="K31" s="9"/>
      <c r="L31" s="9"/>
      <c r="M31" s="9"/>
      <c r="N31" s="9"/>
      <c r="O31" s="9"/>
      <c r="P31" s="9"/>
      <c r="Q31" s="9"/>
      <c r="AT31" s="28"/>
      <c r="BB31" s="28"/>
      <c r="BJ31" s="28"/>
      <c r="BR31" s="28"/>
      <c r="BZ31" s="28"/>
      <c r="CH31" s="28"/>
      <c r="CP31" s="28"/>
      <c r="CV31" s="28"/>
    </row>
    <row r="32" spans="1:105" x14ac:dyDescent="0.35">
      <c r="J32" s="28"/>
      <c r="K32" s="9"/>
      <c r="L32" s="9"/>
      <c r="M32" s="9"/>
      <c r="N32" s="9"/>
      <c r="O32" s="9"/>
      <c r="P32" s="9"/>
      <c r="Q32" s="9"/>
    </row>
    <row r="33" spans="11:100" x14ac:dyDescent="0.35">
      <c r="K33" s="9"/>
      <c r="L33" s="9"/>
      <c r="M33" s="9"/>
      <c r="N33" s="9"/>
      <c r="O33" s="9"/>
      <c r="P33" s="9"/>
      <c r="Q33" s="9"/>
      <c r="CV33" s="28"/>
    </row>
    <row r="34" spans="11:100" x14ac:dyDescent="0.35">
      <c r="K34" s="9"/>
      <c r="L34" s="9"/>
      <c r="M34" s="9"/>
      <c r="N34" s="9"/>
      <c r="O34" s="9"/>
      <c r="P34" s="9"/>
      <c r="Q34" s="9"/>
    </row>
    <row r="35" spans="11:100" x14ac:dyDescent="0.35">
      <c r="K35" s="9"/>
      <c r="L35" s="9"/>
      <c r="M35" s="9"/>
      <c r="N35" s="9"/>
      <c r="O35" s="9"/>
      <c r="P35" s="9"/>
      <c r="Q35" s="9"/>
    </row>
  </sheetData>
  <mergeCells count="13">
    <mergeCell ref="X2:Y2"/>
    <mergeCell ref="BG2:BN2"/>
    <mergeCell ref="BO2:BV2"/>
    <mergeCell ref="D2:E2"/>
    <mergeCell ref="R2:T2"/>
    <mergeCell ref="U2:W2"/>
    <mergeCell ref="AA2:AH2"/>
    <mergeCell ref="AI2:AP2"/>
    <mergeCell ref="BW2:CD2"/>
    <mergeCell ref="CE2:CL2"/>
    <mergeCell ref="CM2:CT2"/>
    <mergeCell ref="AQ2:AX2"/>
    <mergeCell ref="AY2:BF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5234-5BCA-4879-ACDA-3313AF444A35}">
  <dimension ref="B1:I18"/>
  <sheetViews>
    <sheetView workbookViewId="0"/>
  </sheetViews>
  <sheetFormatPr defaultRowHeight="14.5" x14ac:dyDescent="0.35"/>
  <cols>
    <col min="2" max="2" width="19.7265625" bestFit="1" customWidth="1"/>
    <col min="3" max="3" width="16.81640625" bestFit="1" customWidth="1"/>
    <col min="4" max="4" width="8.26953125" style="3" customWidth="1"/>
    <col min="5" max="5" width="13.26953125" bestFit="1" customWidth="1"/>
    <col min="9" max="9" width="9.26953125" bestFit="1" customWidth="1"/>
  </cols>
  <sheetData>
    <row r="1" spans="2:9" x14ac:dyDescent="0.35">
      <c r="C1" s="4"/>
    </row>
    <row r="2" spans="2:9" x14ac:dyDescent="0.35">
      <c r="C2" s="4" t="s">
        <v>101</v>
      </c>
      <c r="E2" t="s">
        <v>169</v>
      </c>
    </row>
    <row r="3" spans="2:9" x14ac:dyDescent="0.35">
      <c r="B3" t="s">
        <v>111</v>
      </c>
      <c r="C3" s="9">
        <f>'Central &amp; Commercial'!B5</f>
        <v>15156088.710000001</v>
      </c>
      <c r="D3" s="17">
        <f>C3/$C$7</f>
        <v>9.6223020729242312E-2</v>
      </c>
      <c r="E3" s="6">
        <f>'Central &amp; Commercial'!B2+'Central &amp; Commercial'!B3</f>
        <v>769</v>
      </c>
      <c r="F3" s="11">
        <f>E3/$E$7</f>
        <v>5.6861875184856553E-2</v>
      </c>
    </row>
    <row r="4" spans="2:9" x14ac:dyDescent="0.35">
      <c r="B4" t="s">
        <v>109</v>
      </c>
      <c r="C4" s="9">
        <f>Inland!B5</f>
        <v>103115333.48999999</v>
      </c>
      <c r="D4" s="17">
        <f t="shared" ref="D4:D6" si="0">C4/$C$7</f>
        <v>0.65465893356538707</v>
      </c>
      <c r="E4" s="6">
        <f>Inland!B2+Inland!B3</f>
        <v>9371</v>
      </c>
      <c r="F4" s="11">
        <f t="shared" ref="F4:F6" si="1">E4/$E$7</f>
        <v>0.69291629695356405</v>
      </c>
    </row>
    <row r="5" spans="2:9" x14ac:dyDescent="0.35">
      <c r="B5" t="s">
        <v>112</v>
      </c>
      <c r="C5" s="9">
        <f>Coastal!B5</f>
        <v>33842682.240000002</v>
      </c>
      <c r="D5" s="17">
        <f t="shared" si="0"/>
        <v>0.21486052087858759</v>
      </c>
      <c r="E5" s="6">
        <f>Coastal!B2+Coastal!B3</f>
        <v>3014</v>
      </c>
      <c r="F5" s="11">
        <f t="shared" si="1"/>
        <v>0.22286305826678499</v>
      </c>
    </row>
    <row r="6" spans="2:9" x14ac:dyDescent="0.35">
      <c r="B6" t="s">
        <v>113</v>
      </c>
      <c r="C6" s="9">
        <f>'Public Sector'!B5</f>
        <v>5395902.9900000002</v>
      </c>
      <c r="D6" s="17">
        <f t="shared" si="0"/>
        <v>3.4257524826783001E-2</v>
      </c>
      <c r="E6" s="6">
        <f>'Public Sector'!B2+'Public Sector'!B3</f>
        <v>370</v>
      </c>
      <c r="F6" s="11">
        <f t="shared" si="1"/>
        <v>2.7358769594794441E-2</v>
      </c>
    </row>
    <row r="7" spans="2:9" ht="15" thickBot="1" x14ac:dyDescent="0.4">
      <c r="B7" t="s">
        <v>170</v>
      </c>
      <c r="C7" s="10">
        <f>SUM(C3:C6)</f>
        <v>157510007.43000001</v>
      </c>
      <c r="E7" s="12">
        <f>SUM(E3:E6)</f>
        <v>13524</v>
      </c>
      <c r="H7">
        <v>12298</v>
      </c>
    </row>
    <row r="12" spans="2:9" x14ac:dyDescent="0.35">
      <c r="C12" s="13" t="s">
        <v>171</v>
      </c>
      <c r="E12" t="s">
        <v>172</v>
      </c>
    </row>
    <row r="13" spans="2:9" x14ac:dyDescent="0.35">
      <c r="C13" s="15">
        <f>-I13*1000</f>
        <v>1052063000</v>
      </c>
      <c r="E13" s="9">
        <v>1597188748</v>
      </c>
      <c r="I13" s="6">
        <v>-1052063</v>
      </c>
    </row>
    <row r="15" spans="2:9" x14ac:dyDescent="0.35">
      <c r="B15" t="s">
        <v>111</v>
      </c>
      <c r="C15" s="9">
        <f>$C$13*D3</f>
        <v>101232679.85746886</v>
      </c>
      <c r="E15" s="9">
        <v>124393200.61197987</v>
      </c>
    </row>
    <row r="16" spans="2:9" x14ac:dyDescent="0.35">
      <c r="B16" t="s">
        <v>109</v>
      </c>
      <c r="C16" s="9">
        <f t="shared" ref="C16:C18" si="2">$C$13*D4</f>
        <v>688742441.62360179</v>
      </c>
      <c r="E16" s="9">
        <v>1065910488.3540045</v>
      </c>
    </row>
    <row r="17" spans="2:5" x14ac:dyDescent="0.35">
      <c r="B17" t="s">
        <v>112</v>
      </c>
      <c r="C17" s="9">
        <f t="shared" si="2"/>
        <v>226046804.17708948</v>
      </c>
      <c r="E17" s="9">
        <v>357899218.67572552</v>
      </c>
    </row>
    <row r="18" spans="2:5" x14ac:dyDescent="0.35">
      <c r="B18" t="s">
        <v>113</v>
      </c>
      <c r="C18" s="9">
        <f t="shared" si="2"/>
        <v>36041074.341839805</v>
      </c>
      <c r="E18" s="9">
        <v>48985840.358290225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9A33-A2AB-4617-86F5-55E936FA0A6A}">
  <dimension ref="A1:P198"/>
  <sheetViews>
    <sheetView workbookViewId="0"/>
  </sheetViews>
  <sheetFormatPr defaultRowHeight="14.5" x14ac:dyDescent="0.35"/>
  <cols>
    <col min="1" max="1" width="13.26953125" bestFit="1" customWidth="1"/>
    <col min="2" max="2" width="12.1796875" customWidth="1"/>
    <col min="3" max="3" width="15.7265625" bestFit="1" customWidth="1"/>
    <col min="4" max="4" width="19.7265625" bestFit="1" customWidth="1"/>
    <col min="5" max="5" width="17.26953125" bestFit="1" customWidth="1"/>
    <col min="6" max="9" width="13.26953125" bestFit="1" customWidth="1"/>
    <col min="10" max="11" width="11.7265625" bestFit="1" customWidth="1"/>
    <col min="12" max="12" width="13.26953125" bestFit="1" customWidth="1"/>
    <col min="14" max="14" width="4.7265625" bestFit="1" customWidth="1"/>
    <col min="15" max="15" width="10.453125" bestFit="1" customWidth="1"/>
    <col min="16" max="16" width="7.81640625" bestFit="1" customWidth="1"/>
  </cols>
  <sheetData>
    <row r="1" spans="1:15" x14ac:dyDescent="0.35">
      <c r="A1" t="s">
        <v>173</v>
      </c>
      <c r="B1" t="s">
        <v>174</v>
      </c>
      <c r="C1" s="3" t="s">
        <v>175</v>
      </c>
      <c r="F1" t="s">
        <v>176</v>
      </c>
      <c r="G1" t="s">
        <v>176</v>
      </c>
      <c r="H1" t="s">
        <v>176</v>
      </c>
      <c r="I1" t="s">
        <v>176</v>
      </c>
      <c r="J1" s="3" t="s">
        <v>177</v>
      </c>
      <c r="K1" s="4" t="s">
        <v>177</v>
      </c>
      <c r="L1" s="4" t="s">
        <v>177</v>
      </c>
    </row>
    <row r="2" spans="1:15" x14ac:dyDescent="0.35">
      <c r="D2" s="16" t="str">
        <f>BOT!B1</f>
        <v>2025/06/06</v>
      </c>
      <c r="F2" s="7">
        <f>EOMONTH($D$2,0)</f>
        <v>45838</v>
      </c>
      <c r="G2" s="7">
        <f>EOMONTH($D$2,1)</f>
        <v>45869</v>
      </c>
      <c r="H2" s="7">
        <f>EOMONTH($D$2,2)</f>
        <v>45900</v>
      </c>
      <c r="I2" s="7" t="s">
        <v>178</v>
      </c>
      <c r="J2" s="7" t="s">
        <v>178</v>
      </c>
      <c r="K2" s="4" t="s">
        <v>171</v>
      </c>
      <c r="L2" s="4" t="s">
        <v>179</v>
      </c>
    </row>
    <row r="3" spans="1:15" x14ac:dyDescent="0.35">
      <c r="K3" s="9"/>
    </row>
    <row r="4" spans="1:15" x14ac:dyDescent="0.35">
      <c r="A4">
        <v>1.3565069737137982</v>
      </c>
      <c r="B4" s="8">
        <v>0.35</v>
      </c>
      <c r="C4" s="8">
        <v>1.05</v>
      </c>
      <c r="D4" t="s">
        <v>105</v>
      </c>
      <c r="E4" t="s">
        <v>101</v>
      </c>
      <c r="F4" s="6">
        <f>BOT!B5</f>
        <v>4962187.63</v>
      </c>
      <c r="G4" s="6">
        <f>BOT!D5</f>
        <v>4125217.54</v>
      </c>
      <c r="H4" s="6">
        <f>BOT!E5</f>
        <v>3985602.58</v>
      </c>
      <c r="I4" s="6">
        <f>SUM(F4:H4)</f>
        <v>13073007.75</v>
      </c>
      <c r="J4" s="9">
        <f>I4*$A$4</f>
        <v>17733626.180289529</v>
      </c>
      <c r="K4" s="9">
        <f>-O4*1000</f>
        <v>58350000</v>
      </c>
      <c r="L4" s="9">
        <f>J4+K4</f>
        <v>76083626.180289537</v>
      </c>
      <c r="O4" s="18">
        <v>-58350</v>
      </c>
    </row>
    <row r="5" spans="1:15" x14ac:dyDescent="0.35">
      <c r="E5" t="s">
        <v>180</v>
      </c>
      <c r="F5" s="6"/>
      <c r="G5" s="6">
        <f t="shared" ref="G5:H5" si="0">F4-G4</f>
        <v>836970.08999999985</v>
      </c>
      <c r="H5" s="6">
        <f t="shared" si="0"/>
        <v>139614.95999999996</v>
      </c>
      <c r="I5" s="6"/>
      <c r="J5" s="9"/>
      <c r="K5" s="9"/>
      <c r="L5" s="9"/>
    </row>
    <row r="6" spans="1:15" x14ac:dyDescent="0.35">
      <c r="E6" t="s">
        <v>181</v>
      </c>
      <c r="F6" s="6"/>
      <c r="G6" s="6">
        <f>SUM($G$5:G5)*$B$4*$C$4</f>
        <v>307586.50807499996</v>
      </c>
      <c r="H6" s="6">
        <f>SUM($G$5:H5)*$B$4*$C$4</f>
        <v>358895.00587499992</v>
      </c>
      <c r="I6" s="6">
        <f>SUM(F6:H6)</f>
        <v>666481.51394999982</v>
      </c>
      <c r="J6" s="9">
        <f>I6*$A$4</f>
        <v>904086.82152450492</v>
      </c>
      <c r="K6" s="9"/>
      <c r="L6" s="9"/>
    </row>
    <row r="7" spans="1:15" x14ac:dyDescent="0.35">
      <c r="E7" t="s">
        <v>182</v>
      </c>
      <c r="F7" s="6"/>
      <c r="G7" s="6"/>
      <c r="H7" s="6"/>
      <c r="I7" s="6">
        <f>I4+I6</f>
        <v>13739489.26395</v>
      </c>
      <c r="J7" s="9">
        <f>I7*$A$4</f>
        <v>18637713.001814034</v>
      </c>
      <c r="K7" s="9"/>
      <c r="L7" s="9">
        <f>J7+K4</f>
        <v>76987713.001814038</v>
      </c>
    </row>
    <row r="8" spans="1:15" x14ac:dyDescent="0.35">
      <c r="B8" s="5"/>
      <c r="C8" s="5"/>
      <c r="F8" s="6"/>
      <c r="G8" s="6"/>
      <c r="H8" s="6"/>
      <c r="I8" s="6"/>
      <c r="J8" s="9"/>
      <c r="K8" s="9"/>
    </row>
    <row r="9" spans="1:15" x14ac:dyDescent="0.35">
      <c r="E9" t="s">
        <v>102</v>
      </c>
      <c r="F9">
        <f>BOT!B2</f>
        <v>475</v>
      </c>
      <c r="G9">
        <f>BOT!D2</f>
        <v>377</v>
      </c>
      <c r="H9">
        <f>BOT!E2</f>
        <v>367</v>
      </c>
      <c r="J9" s="9"/>
      <c r="K9" s="9"/>
    </row>
    <row r="10" spans="1:15" x14ac:dyDescent="0.35">
      <c r="E10" t="s">
        <v>103</v>
      </c>
      <c r="F10">
        <f>BOT!B3</f>
        <v>24</v>
      </c>
      <c r="G10">
        <f>BOT!D3</f>
        <v>20</v>
      </c>
      <c r="H10">
        <f>BOT!E3</f>
        <v>20</v>
      </c>
      <c r="J10" s="9"/>
      <c r="K10" s="9"/>
    </row>
    <row r="11" spans="1:15" x14ac:dyDescent="0.35">
      <c r="E11" t="s">
        <v>183</v>
      </c>
      <c r="F11">
        <f>F9+F10</f>
        <v>499</v>
      </c>
      <c r="G11">
        <f t="shared" ref="G11:H11" si="1">G9+G10</f>
        <v>397</v>
      </c>
      <c r="H11">
        <f t="shared" si="1"/>
        <v>387</v>
      </c>
      <c r="J11" s="9"/>
      <c r="K11" s="9"/>
    </row>
    <row r="12" spans="1:15" x14ac:dyDescent="0.35">
      <c r="E12" t="s">
        <v>77</v>
      </c>
      <c r="G12">
        <f t="shared" ref="G12:H13" si="2">F9-G9</f>
        <v>98</v>
      </c>
      <c r="H12">
        <f t="shared" si="2"/>
        <v>10</v>
      </c>
      <c r="J12" s="9"/>
      <c r="K12" s="9"/>
    </row>
    <row r="13" spans="1:15" x14ac:dyDescent="0.35">
      <c r="E13" t="s">
        <v>78</v>
      </c>
      <c r="G13">
        <f t="shared" si="2"/>
        <v>4</v>
      </c>
      <c r="H13">
        <f t="shared" si="2"/>
        <v>0</v>
      </c>
      <c r="J13" s="9"/>
      <c r="K13" s="9"/>
    </row>
    <row r="14" spans="1:15" x14ac:dyDescent="0.35">
      <c r="E14" t="s">
        <v>155</v>
      </c>
      <c r="G14">
        <f>(G12+G13)*$B$4</f>
        <v>35.699999999999996</v>
      </c>
      <c r="H14">
        <f t="shared" ref="H14" si="3">G14+(H12+H13)*$B$4</f>
        <v>39.199999999999996</v>
      </c>
      <c r="I14">
        <f>SUM(F14:H14)</f>
        <v>74.899999999999991</v>
      </c>
      <c r="J14" s="9"/>
      <c r="K14" s="9"/>
    </row>
    <row r="15" spans="1:15" x14ac:dyDescent="0.35">
      <c r="E15" t="s">
        <v>184</v>
      </c>
      <c r="F15">
        <f>INT(F11+F14)</f>
        <v>499</v>
      </c>
      <c r="G15">
        <f>INT(G11+G14)</f>
        <v>432</v>
      </c>
      <c r="H15">
        <f t="shared" ref="H15" si="4">INT(H11+H14)</f>
        <v>426</v>
      </c>
      <c r="I15">
        <f>H15</f>
        <v>426</v>
      </c>
      <c r="J15" s="9"/>
      <c r="K15" s="9"/>
    </row>
    <row r="16" spans="1:15" x14ac:dyDescent="0.35">
      <c r="J16" s="9"/>
      <c r="K16" s="9"/>
    </row>
    <row r="17" spans="1:15" x14ac:dyDescent="0.35">
      <c r="A17">
        <v>18.544791707720805</v>
      </c>
      <c r="B17" s="8">
        <v>0</v>
      </c>
      <c r="C17" s="8">
        <v>1.05</v>
      </c>
      <c r="D17" t="s">
        <v>108</v>
      </c>
      <c r="E17" t="s">
        <v>101</v>
      </c>
      <c r="F17" s="6">
        <f>GHA!B5</f>
        <v>8735.23</v>
      </c>
      <c r="G17" s="6">
        <f>GHA!D5</f>
        <v>8735.23</v>
      </c>
      <c r="H17" s="6">
        <f>GHA!E5</f>
        <v>8340.19</v>
      </c>
      <c r="I17" s="6">
        <f>GHA!K5</f>
        <v>0</v>
      </c>
      <c r="J17" s="9">
        <f>I17*$A$17</f>
        <v>0</v>
      </c>
      <c r="K17" s="9">
        <v>0</v>
      </c>
      <c r="L17" s="9">
        <f>J17+K17</f>
        <v>0</v>
      </c>
    </row>
    <row r="18" spans="1:15" x14ac:dyDescent="0.35">
      <c r="E18" t="s">
        <v>180</v>
      </c>
      <c r="F18" s="6"/>
      <c r="G18" s="6">
        <f t="shared" ref="G18:H18" si="5">F17-G17</f>
        <v>0</v>
      </c>
      <c r="H18" s="6">
        <f t="shared" si="5"/>
        <v>395.03999999999905</v>
      </c>
      <c r="I18" s="6"/>
      <c r="J18" s="9"/>
      <c r="K18" s="9"/>
      <c r="L18" s="9"/>
    </row>
    <row r="19" spans="1:15" x14ac:dyDescent="0.35">
      <c r="E19" t="s">
        <v>181</v>
      </c>
      <c r="F19" s="6"/>
      <c r="G19" s="6">
        <f>SUM($G$18:G18)*$B$17*$C$17</f>
        <v>0</v>
      </c>
      <c r="H19" s="6">
        <f>SUM($G$18:H18)*$B$17*$C$17</f>
        <v>0</v>
      </c>
      <c r="I19" s="6">
        <f>SUM(F19:H19)</f>
        <v>0</v>
      </c>
      <c r="J19" s="9">
        <f>I19*$A$17</f>
        <v>0</v>
      </c>
      <c r="K19" s="9"/>
      <c r="L19" s="9"/>
    </row>
    <row r="20" spans="1:15" x14ac:dyDescent="0.35">
      <c r="E20" t="s">
        <v>182</v>
      </c>
      <c r="F20" s="6"/>
      <c r="G20" s="6"/>
      <c r="H20" s="6"/>
      <c r="I20" s="6">
        <f>I17+I19</f>
        <v>0</v>
      </c>
      <c r="J20" s="9">
        <f>I20*$A$17</f>
        <v>0</v>
      </c>
      <c r="K20" s="9"/>
      <c r="L20" s="9">
        <f>J20+K17</f>
        <v>0</v>
      </c>
    </row>
    <row r="21" spans="1:15" x14ac:dyDescent="0.35">
      <c r="F21" s="6"/>
      <c r="G21" s="6"/>
      <c r="H21" s="6"/>
      <c r="I21" s="6"/>
      <c r="J21" s="9"/>
      <c r="K21" s="9"/>
    </row>
    <row r="22" spans="1:15" x14ac:dyDescent="0.35">
      <c r="E22" t="s">
        <v>102</v>
      </c>
      <c r="F22">
        <f>GHA!B2</f>
        <v>11</v>
      </c>
      <c r="G22">
        <f>GHA!D2</f>
        <v>11</v>
      </c>
      <c r="H22">
        <f>GHA!E2</f>
        <v>10</v>
      </c>
      <c r="J22" s="9"/>
      <c r="K22" s="9"/>
    </row>
    <row r="23" spans="1:15" x14ac:dyDescent="0.35">
      <c r="E23" t="s">
        <v>103</v>
      </c>
      <c r="F23">
        <f>GHA!B3</f>
        <v>0</v>
      </c>
      <c r="G23">
        <f>GHA!D3</f>
        <v>0</v>
      </c>
      <c r="H23">
        <f>GHA!E3</f>
        <v>0</v>
      </c>
      <c r="J23" s="9"/>
      <c r="K23" s="9"/>
    </row>
    <row r="24" spans="1:15" x14ac:dyDescent="0.35">
      <c r="E24" t="s">
        <v>183</v>
      </c>
      <c r="F24">
        <f>F22+F23</f>
        <v>11</v>
      </c>
      <c r="G24">
        <f>G22+G23</f>
        <v>11</v>
      </c>
      <c r="H24">
        <f t="shared" ref="H24" si="6">H22+H23</f>
        <v>10</v>
      </c>
      <c r="J24" s="9"/>
      <c r="K24" s="9"/>
    </row>
    <row r="25" spans="1:15" x14ac:dyDescent="0.35">
      <c r="E25" t="s">
        <v>77</v>
      </c>
      <c r="G25">
        <f t="shared" ref="G25:H26" si="7">F22-G22</f>
        <v>0</v>
      </c>
      <c r="H25">
        <f t="shared" si="7"/>
        <v>1</v>
      </c>
      <c r="J25" s="9"/>
      <c r="K25" s="9"/>
    </row>
    <row r="26" spans="1:15" x14ac:dyDescent="0.35">
      <c r="E26" t="s">
        <v>78</v>
      </c>
      <c r="G26">
        <f t="shared" si="7"/>
        <v>0</v>
      </c>
      <c r="H26">
        <f t="shared" si="7"/>
        <v>0</v>
      </c>
      <c r="J26" s="9"/>
      <c r="K26" s="9"/>
    </row>
    <row r="27" spans="1:15" x14ac:dyDescent="0.35">
      <c r="E27" t="s">
        <v>155</v>
      </c>
      <c r="G27">
        <f>(G25+G26)*$B$17</f>
        <v>0</v>
      </c>
      <c r="H27">
        <f>G27+(H25+H26)*$B$17</f>
        <v>0</v>
      </c>
      <c r="I27">
        <f>SUM(F27:H27)</f>
        <v>0</v>
      </c>
      <c r="J27" s="9"/>
      <c r="K27" s="9"/>
    </row>
    <row r="28" spans="1:15" x14ac:dyDescent="0.35">
      <c r="E28" t="s">
        <v>184</v>
      </c>
      <c r="F28">
        <f>INT(F24+F27)</f>
        <v>11</v>
      </c>
      <c r="G28">
        <f>INT(G24+G27)</f>
        <v>11</v>
      </c>
      <c r="H28">
        <f t="shared" ref="H28" si="8">INT(H24+H27)</f>
        <v>10</v>
      </c>
      <c r="I28">
        <f>H28</f>
        <v>10</v>
      </c>
      <c r="J28" s="9"/>
      <c r="K28" s="9"/>
    </row>
    <row r="29" spans="1:15" x14ac:dyDescent="0.35">
      <c r="J29" s="9"/>
      <c r="K29" s="9"/>
    </row>
    <row r="30" spans="1:15" x14ac:dyDescent="0.35">
      <c r="A30">
        <v>1.2343443405630581</v>
      </c>
      <c r="B30" s="8">
        <v>0.1</v>
      </c>
      <c r="C30" s="8">
        <v>1.05</v>
      </c>
      <c r="D30" t="s">
        <v>100</v>
      </c>
      <c r="E30" t="s">
        <v>101</v>
      </c>
      <c r="F30" s="6">
        <f>GHC!B5</f>
        <v>2648488.9700000002</v>
      </c>
      <c r="G30" s="6">
        <f>GHC!D5</f>
        <v>2456677.19</v>
      </c>
      <c r="H30" s="6">
        <f>GHC!E5</f>
        <v>2450630.2599999998</v>
      </c>
      <c r="I30" s="6">
        <f>SUM(F30:H30)</f>
        <v>7555796.4199999999</v>
      </c>
      <c r="J30" s="9">
        <f>I30*$A$30</f>
        <v>9326454.5494736154</v>
      </c>
      <c r="K30" s="9">
        <f>-O30*1000</f>
        <v>24821223.768520113</v>
      </c>
      <c r="L30" s="9">
        <f>J30+K30</f>
        <v>34147678.31799373</v>
      </c>
      <c r="O30" s="18">
        <v>-24821.223768520114</v>
      </c>
    </row>
    <row r="31" spans="1:15" x14ac:dyDescent="0.35">
      <c r="E31" t="s">
        <v>180</v>
      </c>
      <c r="F31" s="6"/>
      <c r="G31" s="6">
        <f t="shared" ref="G31:H31" si="9">F30-G30</f>
        <v>191811.78000000026</v>
      </c>
      <c r="H31" s="6">
        <f t="shared" si="9"/>
        <v>6046.9300000001676</v>
      </c>
      <c r="I31" s="6"/>
      <c r="J31" s="9"/>
      <c r="K31" s="9"/>
      <c r="L31" s="9"/>
    </row>
    <row r="32" spans="1:15" x14ac:dyDescent="0.35">
      <c r="E32" t="s">
        <v>181</v>
      </c>
      <c r="F32" s="6"/>
      <c r="G32" s="6">
        <f>SUM($G31:G31)*$B$30*$C$30</f>
        <v>20140.236900000029</v>
      </c>
      <c r="H32" s="6">
        <f>SUM($G31:H31)*$B$30*$C$30</f>
        <v>20775.164550000045</v>
      </c>
      <c r="I32" s="6">
        <f>SUM(F32:H32)</f>
        <v>40915.401450000078</v>
      </c>
      <c r="J32" s="9">
        <f>I32*$A$30</f>
        <v>50503.694221673133</v>
      </c>
      <c r="K32" s="9"/>
      <c r="L32" s="9"/>
    </row>
    <row r="33" spans="1:16" x14ac:dyDescent="0.35">
      <c r="E33" t="s">
        <v>182</v>
      </c>
      <c r="F33" s="6"/>
      <c r="G33" s="6"/>
      <c r="H33" s="6"/>
      <c r="I33" s="6">
        <f>I30+I32</f>
        <v>7596711.8214499997</v>
      </c>
      <c r="J33" s="9">
        <f>I33*$A$30</f>
        <v>9376958.243695287</v>
      </c>
      <c r="K33" s="9"/>
      <c r="L33" s="9">
        <f>J33+K30</f>
        <v>34198182.012215398</v>
      </c>
    </row>
    <row r="34" spans="1:16" x14ac:dyDescent="0.35">
      <c r="F34" s="6"/>
      <c r="G34" s="6"/>
      <c r="H34" s="6"/>
      <c r="I34" s="6"/>
      <c r="J34" s="9"/>
      <c r="K34" s="9"/>
    </row>
    <row r="35" spans="1:16" x14ac:dyDescent="0.35">
      <c r="E35" t="s">
        <v>102</v>
      </c>
      <c r="F35">
        <f>GHC!B2</f>
        <v>163</v>
      </c>
      <c r="G35">
        <f>GHC!D2</f>
        <v>137</v>
      </c>
      <c r="H35">
        <f>GHC!E2</f>
        <v>136</v>
      </c>
      <c r="J35" s="9"/>
      <c r="K35" s="9"/>
      <c r="N35">
        <v>169</v>
      </c>
    </row>
    <row r="36" spans="1:16" x14ac:dyDescent="0.35">
      <c r="E36" t="s">
        <v>103</v>
      </c>
      <c r="F36">
        <f>GHC!B3</f>
        <v>0</v>
      </c>
      <c r="G36">
        <f>GHC!D3</f>
        <v>0</v>
      </c>
      <c r="H36">
        <f>GHC!E3</f>
        <v>0</v>
      </c>
      <c r="J36" s="9"/>
      <c r="K36" s="9"/>
    </row>
    <row r="37" spans="1:16" x14ac:dyDescent="0.35">
      <c r="E37" t="s">
        <v>183</v>
      </c>
      <c r="F37">
        <f>F35+F36</f>
        <v>163</v>
      </c>
      <c r="G37">
        <f t="shared" ref="G37" si="10">G35+G36</f>
        <v>137</v>
      </c>
      <c r="H37">
        <f t="shared" ref="H37" si="11">H35+H36</f>
        <v>136</v>
      </c>
      <c r="J37" s="9"/>
      <c r="K37" s="9"/>
    </row>
    <row r="38" spans="1:16" x14ac:dyDescent="0.35">
      <c r="E38" t="s">
        <v>77</v>
      </c>
      <c r="G38">
        <f t="shared" ref="G38:H39" si="12">F35-G35</f>
        <v>26</v>
      </c>
      <c r="H38">
        <f t="shared" si="12"/>
        <v>1</v>
      </c>
      <c r="J38" s="9"/>
      <c r="K38" s="9"/>
    </row>
    <row r="39" spans="1:16" x14ac:dyDescent="0.35">
      <c r="E39" t="s">
        <v>78</v>
      </c>
      <c r="G39">
        <f t="shared" si="12"/>
        <v>0</v>
      </c>
      <c r="H39">
        <f t="shared" si="12"/>
        <v>0</v>
      </c>
      <c r="J39" s="9"/>
      <c r="K39" s="9"/>
    </row>
    <row r="40" spans="1:16" x14ac:dyDescent="0.35">
      <c r="E40" t="s">
        <v>155</v>
      </c>
      <c r="G40">
        <f>(G38+G39)*$B$30</f>
        <v>2.6</v>
      </c>
      <c r="H40">
        <f>G40+(H38+H39)*$B$30</f>
        <v>2.7</v>
      </c>
      <c r="I40">
        <f>SUM(F40:H40)</f>
        <v>5.3000000000000007</v>
      </c>
      <c r="J40" s="9"/>
      <c r="K40" s="9"/>
    </row>
    <row r="41" spans="1:16" x14ac:dyDescent="0.35">
      <c r="E41" t="s">
        <v>184</v>
      </c>
      <c r="F41">
        <f>INT(F37+F40)</f>
        <v>163</v>
      </c>
      <c r="G41">
        <f>INT(G37+G40)</f>
        <v>139</v>
      </c>
      <c r="H41">
        <f t="shared" ref="H41" si="13">INT(H37+H40)</f>
        <v>138</v>
      </c>
      <c r="I41">
        <f>H41</f>
        <v>138</v>
      </c>
      <c r="J41" s="9"/>
      <c r="K41" s="9"/>
    </row>
    <row r="42" spans="1:16" x14ac:dyDescent="0.35">
      <c r="J42" s="9"/>
      <c r="K42" s="9"/>
    </row>
    <row r="43" spans="1:16" x14ac:dyDescent="0.35">
      <c r="A43">
        <v>0.29098823708389016</v>
      </c>
      <c r="B43" s="8">
        <v>0.16</v>
      </c>
      <c r="C43" s="8">
        <v>1.05</v>
      </c>
      <c r="D43" t="s">
        <v>106</v>
      </c>
      <c r="E43" t="s">
        <v>101</v>
      </c>
      <c r="F43" s="6">
        <f>MOZ!B5</f>
        <v>22289796.670000002</v>
      </c>
      <c r="G43" s="6">
        <f>MOZ!D5</f>
        <v>20052083.77</v>
      </c>
      <c r="H43" s="6">
        <f>MOZ!E5</f>
        <v>19951198.210000001</v>
      </c>
      <c r="I43" s="6">
        <f>SUM(F43:H43)</f>
        <v>62293078.649999999</v>
      </c>
      <c r="J43" s="9">
        <f>I43*$A$43</f>
        <v>18126553.138891615</v>
      </c>
      <c r="K43" s="9">
        <f>-P43*1000</f>
        <v>59458000</v>
      </c>
      <c r="L43" s="9">
        <f>J43+K43</f>
        <v>77584553.138891608</v>
      </c>
      <c r="P43" s="18">
        <v>-59458</v>
      </c>
    </row>
    <row r="44" spans="1:16" x14ac:dyDescent="0.35">
      <c r="E44" t="s">
        <v>180</v>
      </c>
      <c r="F44" s="6"/>
      <c r="G44" s="6">
        <f t="shared" ref="G44" si="14">F43-G43</f>
        <v>2237712.9000000022</v>
      </c>
      <c r="H44" s="6">
        <f t="shared" ref="H44" si="15">G43-H43</f>
        <v>100885.55999999866</v>
      </c>
      <c r="I44" s="6"/>
      <c r="J44" s="9"/>
      <c r="K44" s="9"/>
      <c r="L44" s="9"/>
    </row>
    <row r="45" spans="1:16" x14ac:dyDescent="0.35">
      <c r="E45" t="s">
        <v>181</v>
      </c>
      <c r="F45" s="6"/>
      <c r="G45" s="6">
        <f>SUM($G44:G44)*$B$43*$C$43</f>
        <v>375935.76720000041</v>
      </c>
      <c r="H45" s="6">
        <f>SUM($G44:H44)*$B$43*$C$43</f>
        <v>392884.54128000018</v>
      </c>
      <c r="I45" s="6">
        <f>SUM(F45:H45)</f>
        <v>768820.30848000059</v>
      </c>
      <c r="J45" s="9">
        <f>I45*$A$43</f>
        <v>223717.66619888798</v>
      </c>
      <c r="K45" s="9"/>
      <c r="L45" s="9"/>
    </row>
    <row r="46" spans="1:16" x14ac:dyDescent="0.35">
      <c r="E46" t="s">
        <v>182</v>
      </c>
      <c r="F46" s="6"/>
      <c r="G46" s="6"/>
      <c r="H46" s="6"/>
      <c r="I46" s="6">
        <f>I43+I45</f>
        <v>63061898.95848</v>
      </c>
      <c r="J46" s="9">
        <f>I46*$A$43</f>
        <v>18350270.805090506</v>
      </c>
      <c r="K46" s="9"/>
      <c r="L46" s="9">
        <f>J46+K43</f>
        <v>77808270.805090502</v>
      </c>
    </row>
    <row r="47" spans="1:16" x14ac:dyDescent="0.35">
      <c r="F47" s="6"/>
      <c r="G47" s="6"/>
      <c r="H47" s="6"/>
      <c r="I47" s="6"/>
      <c r="J47" s="9"/>
      <c r="K47" s="9"/>
    </row>
    <row r="48" spans="1:16" x14ac:dyDescent="0.35">
      <c r="E48" t="s">
        <v>102</v>
      </c>
      <c r="F48">
        <f>MOZ!B2</f>
        <v>259</v>
      </c>
      <c r="G48">
        <f>MOZ!D2</f>
        <v>222</v>
      </c>
      <c r="H48">
        <f>MOZ!E2</f>
        <v>222</v>
      </c>
      <c r="J48" s="9"/>
      <c r="K48" s="9"/>
    </row>
    <row r="49" spans="1:16" x14ac:dyDescent="0.35">
      <c r="E49" t="s">
        <v>103</v>
      </c>
      <c r="F49">
        <f>MOZ!B3</f>
        <v>43</v>
      </c>
      <c r="G49">
        <f>MOZ!D3</f>
        <v>41</v>
      </c>
      <c r="H49">
        <f>MOZ!E3</f>
        <v>40</v>
      </c>
      <c r="J49" s="9"/>
      <c r="K49" s="9"/>
    </row>
    <row r="50" spans="1:16" x14ac:dyDescent="0.35">
      <c r="E50" t="s">
        <v>183</v>
      </c>
      <c r="F50">
        <f>F48+F49</f>
        <v>302</v>
      </c>
      <c r="G50">
        <f t="shared" ref="G50" si="16">G48+G49</f>
        <v>263</v>
      </c>
      <c r="H50">
        <f t="shared" ref="H50" si="17">H48+H49</f>
        <v>262</v>
      </c>
      <c r="J50" s="9"/>
      <c r="K50" s="9"/>
      <c r="N50">
        <v>347</v>
      </c>
    </row>
    <row r="51" spans="1:16" x14ac:dyDescent="0.35">
      <c r="E51" t="s">
        <v>77</v>
      </c>
      <c r="G51">
        <f t="shared" ref="G51:H52" si="18">F48-G48</f>
        <v>37</v>
      </c>
      <c r="H51">
        <f t="shared" si="18"/>
        <v>0</v>
      </c>
      <c r="J51" s="9"/>
      <c r="K51" s="9"/>
    </row>
    <row r="52" spans="1:16" x14ac:dyDescent="0.35">
      <c r="E52" t="s">
        <v>78</v>
      </c>
      <c r="G52">
        <f t="shared" si="18"/>
        <v>2</v>
      </c>
      <c r="H52">
        <f t="shared" si="18"/>
        <v>1</v>
      </c>
      <c r="J52" s="9"/>
      <c r="K52" s="9"/>
    </row>
    <row r="53" spans="1:16" x14ac:dyDescent="0.35">
      <c r="E53" t="s">
        <v>155</v>
      </c>
      <c r="G53">
        <f>(G51+G52)*$B$43</f>
        <v>6.24</v>
      </c>
      <c r="H53">
        <f>G53+(H51+H52)*$B$43</f>
        <v>6.4</v>
      </c>
      <c r="I53">
        <f>SUM(F53:H53)</f>
        <v>12.64</v>
      </c>
      <c r="J53" s="9"/>
      <c r="K53" s="9"/>
    </row>
    <row r="54" spans="1:16" x14ac:dyDescent="0.35">
      <c r="E54" t="s">
        <v>184</v>
      </c>
      <c r="F54">
        <f>INT(F50+F53)</f>
        <v>302</v>
      </c>
      <c r="G54">
        <f>INT(G50+G53)</f>
        <v>269</v>
      </c>
      <c r="H54">
        <f t="shared" ref="H54" si="19">INT(H50+H53)</f>
        <v>268</v>
      </c>
      <c r="I54">
        <f>H54</f>
        <v>268</v>
      </c>
      <c r="J54" s="9"/>
      <c r="K54" s="9"/>
    </row>
    <row r="55" spans="1:16" x14ac:dyDescent="0.35">
      <c r="J55" s="9"/>
      <c r="K55" s="9"/>
    </row>
    <row r="56" spans="1:16" x14ac:dyDescent="0.35">
      <c r="A56">
        <v>1</v>
      </c>
      <c r="B56" s="8">
        <v>0.35</v>
      </c>
      <c r="C56" s="8">
        <v>1.05</v>
      </c>
      <c r="D56" t="s">
        <v>107</v>
      </c>
      <c r="E56" t="s">
        <v>101</v>
      </c>
      <c r="F56" s="6">
        <f>NAM!B5</f>
        <v>16127039.58</v>
      </c>
      <c r="G56" s="6">
        <f>NAM!D5</f>
        <v>14717656.82</v>
      </c>
      <c r="H56" s="6">
        <f>NAM!E5</f>
        <v>14505774.890000001</v>
      </c>
      <c r="I56" s="6">
        <f>SUM(F56:H56)</f>
        <v>45350471.289999999</v>
      </c>
      <c r="J56" s="9">
        <f>I56*$A$56</f>
        <v>45350471.289999999</v>
      </c>
      <c r="K56" s="9">
        <f>-P56*1000</f>
        <v>129436000</v>
      </c>
      <c r="L56" s="9">
        <f>J56+K56</f>
        <v>174786471.28999999</v>
      </c>
      <c r="P56" s="18">
        <v>-129436</v>
      </c>
    </row>
    <row r="57" spans="1:16" x14ac:dyDescent="0.35">
      <c r="E57" t="s">
        <v>180</v>
      </c>
      <c r="F57" s="6"/>
      <c r="G57" s="6">
        <f t="shared" ref="G57" si="20">F56-G56</f>
        <v>1409382.7599999998</v>
      </c>
      <c r="H57" s="6">
        <f t="shared" ref="H57" si="21">G56-H56</f>
        <v>211881.9299999997</v>
      </c>
      <c r="I57" s="6"/>
      <c r="J57" s="9"/>
      <c r="K57" s="9"/>
      <c r="L57" s="9"/>
    </row>
    <row r="58" spans="1:16" x14ac:dyDescent="0.35">
      <c r="E58" t="s">
        <v>181</v>
      </c>
      <c r="F58" s="6"/>
      <c r="G58" s="6">
        <f>SUM($G57:G57)*$B$56*$C$56</f>
        <v>517948.16429999989</v>
      </c>
      <c r="H58" s="6">
        <f>SUM($G57:H57)*$B$56*$C$56</f>
        <v>595814.77357499977</v>
      </c>
      <c r="I58" s="6">
        <f>SUM(F58:H58)</f>
        <v>1113762.9378749996</v>
      </c>
      <c r="J58" s="9">
        <f>I58*$A$56</f>
        <v>1113762.9378749996</v>
      </c>
      <c r="K58" s="9"/>
      <c r="L58" s="9"/>
    </row>
    <row r="59" spans="1:16" x14ac:dyDescent="0.35">
      <c r="E59" t="s">
        <v>182</v>
      </c>
      <c r="F59" s="6"/>
      <c r="G59" s="6"/>
      <c r="H59" s="6"/>
      <c r="I59" s="6">
        <f>I56+I58</f>
        <v>46464234.227875002</v>
      </c>
      <c r="J59" s="9">
        <f>I59*$A$56</f>
        <v>46464234.227875002</v>
      </c>
      <c r="K59" s="9"/>
      <c r="L59" s="9">
        <f>J59+K56</f>
        <v>175900234.22787499</v>
      </c>
    </row>
    <row r="60" spans="1:16" x14ac:dyDescent="0.35">
      <c r="F60" s="6"/>
      <c r="G60" s="6"/>
      <c r="H60" s="6"/>
      <c r="I60" s="6"/>
      <c r="J60" s="9"/>
      <c r="K60" s="9"/>
    </row>
    <row r="61" spans="1:16" x14ac:dyDescent="0.35">
      <c r="E61" t="s">
        <v>102</v>
      </c>
      <c r="F61">
        <f>NAM!B2</f>
        <v>1042</v>
      </c>
      <c r="G61">
        <f>NAM!D2</f>
        <v>893</v>
      </c>
      <c r="H61">
        <f>NAM!E2</f>
        <v>875</v>
      </c>
      <c r="J61" s="9"/>
      <c r="K61" s="9"/>
    </row>
    <row r="62" spans="1:16" x14ac:dyDescent="0.35">
      <c r="E62" t="s">
        <v>103</v>
      </c>
      <c r="F62">
        <f>NAM!B3</f>
        <v>270</v>
      </c>
      <c r="G62">
        <f>NAM!D3</f>
        <v>261</v>
      </c>
      <c r="H62">
        <f>NAM!E3</f>
        <v>259</v>
      </c>
      <c r="J62" s="9"/>
      <c r="K62" s="9"/>
    </row>
    <row r="63" spans="1:16" x14ac:dyDescent="0.35">
      <c r="E63" t="s">
        <v>183</v>
      </c>
      <c r="F63">
        <f>F61+F62</f>
        <v>1312</v>
      </c>
      <c r="G63">
        <f t="shared" ref="G63" si="22">G61+G62</f>
        <v>1154</v>
      </c>
      <c r="H63">
        <f t="shared" ref="H63" si="23">H61+H62</f>
        <v>1134</v>
      </c>
      <c r="J63" s="9"/>
      <c r="K63" s="9"/>
      <c r="N63">
        <v>1333</v>
      </c>
    </row>
    <row r="64" spans="1:16" x14ac:dyDescent="0.35">
      <c r="E64" t="s">
        <v>77</v>
      </c>
      <c r="G64">
        <f t="shared" ref="G64:H65" si="24">F61-G61</f>
        <v>149</v>
      </c>
      <c r="H64">
        <f t="shared" si="24"/>
        <v>18</v>
      </c>
      <c r="J64" s="9"/>
      <c r="K64" s="9"/>
    </row>
    <row r="65" spans="1:16" x14ac:dyDescent="0.35">
      <c r="E65" t="s">
        <v>78</v>
      </c>
      <c r="G65">
        <f t="shared" si="24"/>
        <v>9</v>
      </c>
      <c r="H65">
        <f t="shared" si="24"/>
        <v>2</v>
      </c>
      <c r="J65" s="9"/>
      <c r="K65" s="9"/>
    </row>
    <row r="66" spans="1:16" x14ac:dyDescent="0.35">
      <c r="E66" t="s">
        <v>155</v>
      </c>
      <c r="G66">
        <f>(G64+G65)*$B$56</f>
        <v>55.3</v>
      </c>
      <c r="H66">
        <f>G66+(H64+H65)*$B$56</f>
        <v>62.3</v>
      </c>
      <c r="I66">
        <f>SUM(F66:H66)</f>
        <v>117.6</v>
      </c>
      <c r="J66" s="9"/>
      <c r="K66" s="9"/>
    </row>
    <row r="67" spans="1:16" x14ac:dyDescent="0.35">
      <c r="E67" t="s">
        <v>184</v>
      </c>
      <c r="F67">
        <f>INT(F63+F66)</f>
        <v>1312</v>
      </c>
      <c r="G67">
        <f>INT(G63+G66)</f>
        <v>1209</v>
      </c>
      <c r="H67">
        <f t="shared" ref="H67" si="25">INT(H63+H66)</f>
        <v>1196</v>
      </c>
      <c r="I67">
        <f>H67</f>
        <v>1196</v>
      </c>
      <c r="J67" s="9"/>
      <c r="K67" s="9"/>
    </row>
    <row r="68" spans="1:16" x14ac:dyDescent="0.35">
      <c r="J68" s="9"/>
      <c r="K68" s="9"/>
    </row>
    <row r="69" spans="1:16" x14ac:dyDescent="0.35">
      <c r="A69">
        <v>1</v>
      </c>
      <c r="B69" s="14">
        <v>0.35</v>
      </c>
      <c r="C69" s="8">
        <v>1.05</v>
      </c>
      <c r="D69" t="s">
        <v>110</v>
      </c>
      <c r="E69" t="s">
        <v>101</v>
      </c>
      <c r="F69" s="6">
        <f>LES!B5</f>
        <v>2832160.03</v>
      </c>
      <c r="G69" s="6">
        <f>LES!D5</f>
        <v>2759874.59</v>
      </c>
      <c r="H69" s="6">
        <f>LES!E5</f>
        <v>2709688.8</v>
      </c>
      <c r="I69" s="6">
        <f>SUM(F69:H69)</f>
        <v>8301723.419999999</v>
      </c>
      <c r="J69" s="9">
        <f>I69*$A$69</f>
        <v>8301723.419999999</v>
      </c>
      <c r="K69" s="9">
        <f>-P69*1000</f>
        <v>13226000</v>
      </c>
      <c r="L69" s="9">
        <f>J69+K69</f>
        <v>21527723.419999998</v>
      </c>
      <c r="O69" s="6"/>
      <c r="P69" s="18">
        <v>-13226</v>
      </c>
    </row>
    <row r="70" spans="1:16" x14ac:dyDescent="0.35">
      <c r="E70" t="s">
        <v>180</v>
      </c>
      <c r="F70" s="6"/>
      <c r="G70" s="6">
        <f t="shared" ref="G70" si="26">F69-G69</f>
        <v>72285.439999999944</v>
      </c>
      <c r="H70" s="6">
        <f t="shared" ref="H70" si="27">G69-H69</f>
        <v>50185.790000000037</v>
      </c>
      <c r="I70" s="6"/>
      <c r="J70" s="9"/>
      <c r="K70" s="9"/>
      <c r="L70" s="9"/>
    </row>
    <row r="71" spans="1:16" x14ac:dyDescent="0.35">
      <c r="E71" t="s">
        <v>181</v>
      </c>
      <c r="F71" s="6"/>
      <c r="G71" s="6">
        <f>SUM($G70:G70)*$B$69*$C$69</f>
        <v>26564.899199999982</v>
      </c>
      <c r="H71" s="6">
        <f>SUM($G70:H70)*$B$69*$C$69</f>
        <v>45008.17702499999</v>
      </c>
      <c r="I71" s="6">
        <f>SUM(F71:H71)</f>
        <v>71573.076224999968</v>
      </c>
      <c r="J71" s="9">
        <f>I71*$A$69</f>
        <v>71573.076224999968</v>
      </c>
      <c r="K71" s="9"/>
      <c r="L71" s="9"/>
    </row>
    <row r="72" spans="1:16" x14ac:dyDescent="0.35">
      <c r="E72" t="s">
        <v>182</v>
      </c>
      <c r="F72" s="6"/>
      <c r="G72" s="6"/>
      <c r="H72" s="6"/>
      <c r="I72" s="6">
        <f>I69+I71</f>
        <v>8373296.4962249994</v>
      </c>
      <c r="J72" s="9">
        <f>I72*$A$69</f>
        <v>8373296.4962249994</v>
      </c>
      <c r="K72" s="9"/>
      <c r="L72" s="9">
        <f>J72+K69</f>
        <v>21599296.496224999</v>
      </c>
    </row>
    <row r="73" spans="1:16" x14ac:dyDescent="0.35">
      <c r="F73" s="6"/>
      <c r="G73" s="6"/>
      <c r="H73" s="6"/>
      <c r="I73" s="6"/>
      <c r="J73" s="9"/>
      <c r="K73" s="9"/>
    </row>
    <row r="74" spans="1:16" x14ac:dyDescent="0.35">
      <c r="E74" t="s">
        <v>102</v>
      </c>
      <c r="F74">
        <f>LES!B2</f>
        <v>178</v>
      </c>
      <c r="G74">
        <f>LES!D2</f>
        <v>169</v>
      </c>
      <c r="H74">
        <f>LES!E2</f>
        <v>162</v>
      </c>
      <c r="J74" s="9"/>
      <c r="K74" s="9"/>
    </row>
    <row r="75" spans="1:16" x14ac:dyDescent="0.35">
      <c r="E75" t="s">
        <v>103</v>
      </c>
      <c r="F75">
        <f>LES!B3</f>
        <v>9</v>
      </c>
      <c r="G75">
        <f>LES!D3</f>
        <v>9</v>
      </c>
      <c r="H75">
        <f>LES!E3</f>
        <v>9</v>
      </c>
      <c r="J75" s="9"/>
      <c r="K75" s="9"/>
    </row>
    <row r="76" spans="1:16" x14ac:dyDescent="0.35">
      <c r="E76" t="s">
        <v>183</v>
      </c>
      <c r="F76">
        <f>F74+F75</f>
        <v>187</v>
      </c>
      <c r="G76">
        <f t="shared" ref="G76" si="28">G74+G75</f>
        <v>178</v>
      </c>
      <c r="H76">
        <f t="shared" ref="H76" si="29">H74+H75</f>
        <v>171</v>
      </c>
      <c r="J76" s="9"/>
      <c r="K76" s="9"/>
      <c r="N76">
        <v>152</v>
      </c>
    </row>
    <row r="77" spans="1:16" x14ac:dyDescent="0.35">
      <c r="E77" t="s">
        <v>77</v>
      </c>
      <c r="G77">
        <f t="shared" ref="G77:H78" si="30">F74-G74</f>
        <v>9</v>
      </c>
      <c r="H77">
        <f t="shared" si="30"/>
        <v>7</v>
      </c>
      <c r="J77" s="9"/>
      <c r="K77" s="9"/>
    </row>
    <row r="78" spans="1:16" x14ac:dyDescent="0.35">
      <c r="E78" t="s">
        <v>78</v>
      </c>
      <c r="G78">
        <f t="shared" si="30"/>
        <v>0</v>
      </c>
      <c r="H78">
        <f t="shared" si="30"/>
        <v>0</v>
      </c>
      <c r="J78" s="9"/>
      <c r="K78" s="9"/>
    </row>
    <row r="79" spans="1:16" x14ac:dyDescent="0.35">
      <c r="E79" t="s">
        <v>155</v>
      </c>
      <c r="G79">
        <f>(G77+G78)*$B$69</f>
        <v>3.15</v>
      </c>
      <c r="H79">
        <f>G79+(H77+H78)*$B$69</f>
        <v>5.6</v>
      </c>
      <c r="I79">
        <f>SUM(F79:H79)</f>
        <v>8.75</v>
      </c>
      <c r="J79" s="9"/>
      <c r="K79" s="9"/>
    </row>
    <row r="80" spans="1:16" x14ac:dyDescent="0.35">
      <c r="E80" t="s">
        <v>184</v>
      </c>
      <c r="F80">
        <f>INT(F76+F79)</f>
        <v>187</v>
      </c>
      <c r="G80">
        <f>INT(G76+G79)</f>
        <v>181</v>
      </c>
      <c r="H80">
        <f t="shared" ref="H80" si="31">INT(H76+H79)</f>
        <v>176</v>
      </c>
      <c r="I80">
        <f>H80</f>
        <v>176</v>
      </c>
      <c r="J80" s="9"/>
      <c r="K80" s="9"/>
    </row>
    <row r="81" spans="1:12" x14ac:dyDescent="0.35">
      <c r="J81" s="9"/>
      <c r="K81" s="9"/>
    </row>
    <row r="82" spans="1:12" x14ac:dyDescent="0.35">
      <c r="A82">
        <v>1</v>
      </c>
      <c r="B82" s="14">
        <v>0.35</v>
      </c>
      <c r="C82" s="8">
        <v>1.05</v>
      </c>
      <c r="D82" t="s">
        <v>111</v>
      </c>
      <c r="E82" t="s">
        <v>101</v>
      </c>
      <c r="F82" s="6">
        <f>'Central &amp; Commercial'!B5</f>
        <v>15156088.710000001</v>
      </c>
      <c r="G82" s="6">
        <f>'Central &amp; Commercial'!D5</f>
        <v>14601697.380000001</v>
      </c>
      <c r="H82" s="6">
        <f>'Central &amp; Commercial'!E5</f>
        <v>14485619.1</v>
      </c>
      <c r="I82" s="6">
        <f>SUM(F82:H82)</f>
        <v>44243405.190000005</v>
      </c>
      <c r="J82" s="9">
        <f>I82*$A$82</f>
        <v>44243405.190000005</v>
      </c>
      <c r="K82" s="9">
        <f>'RSA Split'!C15</f>
        <v>101232679.85746886</v>
      </c>
      <c r="L82" s="9">
        <f>J82+K82</f>
        <v>145476085.04746887</v>
      </c>
    </row>
    <row r="83" spans="1:12" x14ac:dyDescent="0.35">
      <c r="E83" t="s">
        <v>180</v>
      </c>
      <c r="F83" s="6"/>
      <c r="G83" s="6">
        <f t="shared" ref="G83" si="32">F82-G82</f>
        <v>554391.33000000007</v>
      </c>
      <c r="H83" s="6">
        <f t="shared" ref="H83" si="33">G82-H82</f>
        <v>116078.28000000119</v>
      </c>
      <c r="I83" s="6"/>
      <c r="J83" s="9"/>
      <c r="K83" s="9"/>
      <c r="L83" s="9"/>
    </row>
    <row r="84" spans="1:12" x14ac:dyDescent="0.35">
      <c r="E84" t="s">
        <v>181</v>
      </c>
      <c r="F84" s="6"/>
      <c r="G84" s="6">
        <f>SUM($G83:G83)*$B$82*$C$82</f>
        <v>203738.81377500002</v>
      </c>
      <c r="H84" s="6">
        <f>SUM($G83:H83)*$B$82*$C$82</f>
        <v>246397.58167500046</v>
      </c>
      <c r="I84" s="6">
        <f>SUM(F84:H84)</f>
        <v>450136.39545000048</v>
      </c>
      <c r="J84" s="9">
        <f>I84*$A$82</f>
        <v>450136.39545000048</v>
      </c>
      <c r="K84" s="9"/>
      <c r="L84" s="9"/>
    </row>
    <row r="85" spans="1:12" x14ac:dyDescent="0.35">
      <c r="E85" t="s">
        <v>182</v>
      </c>
      <c r="F85" s="6"/>
      <c r="G85" s="6"/>
      <c r="H85" s="6"/>
      <c r="I85" s="6">
        <f>I82+I84</f>
        <v>44693541.585450009</v>
      </c>
      <c r="J85" s="9">
        <f>I85*$A$82</f>
        <v>44693541.585450009</v>
      </c>
      <c r="K85" s="9"/>
      <c r="L85" s="9">
        <f>J85+K82</f>
        <v>145926221.44291887</v>
      </c>
    </row>
    <row r="86" spans="1:12" x14ac:dyDescent="0.35">
      <c r="F86" s="6"/>
      <c r="G86" s="6"/>
      <c r="H86" s="6"/>
      <c r="I86" s="6"/>
      <c r="J86" s="9"/>
      <c r="K86" s="9"/>
    </row>
    <row r="87" spans="1:12" x14ac:dyDescent="0.35">
      <c r="E87" t="s">
        <v>102</v>
      </c>
      <c r="F87">
        <f>'Central &amp; Commercial'!B2</f>
        <v>489</v>
      </c>
      <c r="G87">
        <f>'Central &amp; Commercial'!D2</f>
        <v>446</v>
      </c>
      <c r="H87">
        <f>'Central &amp; Commercial'!E2</f>
        <v>438</v>
      </c>
      <c r="J87" s="9"/>
      <c r="K87" s="9"/>
    </row>
    <row r="88" spans="1:12" x14ac:dyDescent="0.35">
      <c r="E88" t="s">
        <v>103</v>
      </c>
      <c r="F88">
        <f>'Central &amp; Commercial'!B3</f>
        <v>280</v>
      </c>
      <c r="G88">
        <f>'Central &amp; Commercial'!D3</f>
        <v>280</v>
      </c>
      <c r="H88">
        <f>'Central &amp; Commercial'!E3</f>
        <v>279</v>
      </c>
      <c r="J88" s="9"/>
      <c r="K88" s="9"/>
    </row>
    <row r="89" spans="1:12" x14ac:dyDescent="0.35">
      <c r="E89" t="s">
        <v>183</v>
      </c>
      <c r="F89">
        <f>F87+F88</f>
        <v>769</v>
      </c>
      <c r="G89">
        <f t="shared" ref="G89" si="34">G87+G88</f>
        <v>726</v>
      </c>
      <c r="H89">
        <f t="shared" ref="H89" si="35">H87+H88</f>
        <v>717</v>
      </c>
      <c r="J89" s="9"/>
      <c r="K89" s="9"/>
    </row>
    <row r="90" spans="1:12" x14ac:dyDescent="0.35">
      <c r="E90" t="s">
        <v>77</v>
      </c>
      <c r="G90">
        <f t="shared" ref="G90:H91" si="36">F87-G87</f>
        <v>43</v>
      </c>
      <c r="H90">
        <f t="shared" si="36"/>
        <v>8</v>
      </c>
      <c r="J90" s="9"/>
      <c r="K90" s="9"/>
    </row>
    <row r="91" spans="1:12" x14ac:dyDescent="0.35">
      <c r="E91" t="s">
        <v>78</v>
      </c>
      <c r="G91">
        <f t="shared" si="36"/>
        <v>0</v>
      </c>
      <c r="H91">
        <f t="shared" si="36"/>
        <v>1</v>
      </c>
      <c r="J91" s="9"/>
      <c r="K91" s="9"/>
    </row>
    <row r="92" spans="1:12" x14ac:dyDescent="0.35">
      <c r="E92" t="s">
        <v>155</v>
      </c>
      <c r="G92">
        <f>(G90+G91)*$B$82</f>
        <v>15.049999999999999</v>
      </c>
      <c r="H92">
        <f>G92+(H90+H91)*$B$82</f>
        <v>18.2</v>
      </c>
      <c r="I92">
        <f>SUM(F92:H92)</f>
        <v>33.25</v>
      </c>
      <c r="J92" s="9"/>
      <c r="K92" s="9"/>
    </row>
    <row r="93" spans="1:12" x14ac:dyDescent="0.35">
      <c r="E93" t="s">
        <v>184</v>
      </c>
      <c r="F93">
        <f>INT(F89+F92)</f>
        <v>769</v>
      </c>
      <c r="G93">
        <f>INT(G89+G92)</f>
        <v>741</v>
      </c>
      <c r="H93">
        <f t="shared" ref="H93" si="37">INT(H89+H92)</f>
        <v>735</v>
      </c>
      <c r="I93">
        <f>H93</f>
        <v>735</v>
      </c>
      <c r="J93" s="9"/>
      <c r="K93" s="9"/>
    </row>
    <row r="94" spans="1:12" x14ac:dyDescent="0.35">
      <c r="J94" s="9"/>
      <c r="K94" s="9"/>
    </row>
    <row r="95" spans="1:12" x14ac:dyDescent="0.35">
      <c r="A95">
        <v>1</v>
      </c>
      <c r="B95" s="14">
        <v>0.35</v>
      </c>
      <c r="C95" s="8">
        <v>1.05</v>
      </c>
      <c r="D95" t="s">
        <v>109</v>
      </c>
      <c r="E95" t="s">
        <v>101</v>
      </c>
      <c r="F95" s="6">
        <f>Inland!B5</f>
        <v>103115333.48999999</v>
      </c>
      <c r="G95" s="6">
        <f>Inland!D5</f>
        <v>92614010.180000007</v>
      </c>
      <c r="H95" s="6">
        <f>Inland!E5</f>
        <v>90561599.280000001</v>
      </c>
      <c r="I95" s="6">
        <f>SUM(F95:H95)</f>
        <v>286290942.95000005</v>
      </c>
      <c r="J95" s="9">
        <f>I95*$A$95</f>
        <v>286290942.95000005</v>
      </c>
      <c r="K95" s="9">
        <f>'RSA Split'!C16</f>
        <v>688742441.62360179</v>
      </c>
      <c r="L95" s="9">
        <f>J95+K95</f>
        <v>975033384.57360184</v>
      </c>
    </row>
    <row r="96" spans="1:12" x14ac:dyDescent="0.35">
      <c r="E96" t="s">
        <v>180</v>
      </c>
      <c r="F96" s="6"/>
      <c r="G96" s="6">
        <f t="shared" ref="G96" si="38">F95-G95</f>
        <v>10501323.309999987</v>
      </c>
      <c r="H96" s="6">
        <f t="shared" ref="H96" si="39">G95-H95</f>
        <v>2052410.900000006</v>
      </c>
      <c r="I96" s="6"/>
      <c r="J96" s="9"/>
      <c r="K96" s="9"/>
      <c r="L96" s="9"/>
    </row>
    <row r="97" spans="1:12" x14ac:dyDescent="0.35">
      <c r="E97" t="s">
        <v>181</v>
      </c>
      <c r="F97" s="6"/>
      <c r="G97" s="6">
        <f>SUM($G96:G96)*$B$95*$C$95</f>
        <v>3859236.3164249952</v>
      </c>
      <c r="H97" s="6">
        <f>SUM($G96:H96)*$B$95*$C$95</f>
        <v>4613497.322174998</v>
      </c>
      <c r="I97" s="6">
        <f>SUM(F97:H97)</f>
        <v>8472733.6385999937</v>
      </c>
      <c r="J97" s="9">
        <f>I97*$A$95</f>
        <v>8472733.6385999937</v>
      </c>
      <c r="K97" s="9"/>
      <c r="L97" s="9"/>
    </row>
    <row r="98" spans="1:12" x14ac:dyDescent="0.35">
      <c r="E98" t="s">
        <v>182</v>
      </c>
      <c r="F98" s="6"/>
      <c r="G98" s="6"/>
      <c r="H98" s="6"/>
      <c r="I98" s="6">
        <f>I95+I97</f>
        <v>294763676.58860004</v>
      </c>
      <c r="J98" s="9">
        <f>I98*$A$95</f>
        <v>294763676.58860004</v>
      </c>
      <c r="K98" s="9"/>
      <c r="L98" s="9">
        <f>J98+K95</f>
        <v>983506118.21220183</v>
      </c>
    </row>
    <row r="99" spans="1:12" x14ac:dyDescent="0.35">
      <c r="F99" s="6"/>
      <c r="G99" s="6"/>
      <c r="H99" s="6"/>
      <c r="I99" s="6"/>
      <c r="J99" s="9"/>
      <c r="K99" s="9"/>
    </row>
    <row r="100" spans="1:12" x14ac:dyDescent="0.35">
      <c r="E100" t="s">
        <v>102</v>
      </c>
      <c r="F100">
        <f>Inland!B2</f>
        <v>7588</v>
      </c>
      <c r="G100">
        <f>Inland!D2</f>
        <v>6625</v>
      </c>
      <c r="H100">
        <f>Inland!E2</f>
        <v>6401</v>
      </c>
      <c r="J100" s="9"/>
      <c r="K100" s="9"/>
    </row>
    <row r="101" spans="1:12" x14ac:dyDescent="0.35">
      <c r="E101" t="s">
        <v>103</v>
      </c>
      <c r="F101">
        <f>Inland!B3</f>
        <v>1783</v>
      </c>
      <c r="G101">
        <f>Inland!D3</f>
        <v>1729</v>
      </c>
      <c r="H101">
        <f>Inland!E3</f>
        <v>1725</v>
      </c>
      <c r="J101" s="9"/>
      <c r="K101" s="9"/>
    </row>
    <row r="102" spans="1:12" x14ac:dyDescent="0.35">
      <c r="E102" t="s">
        <v>183</v>
      </c>
      <c r="F102">
        <f>F100+F101</f>
        <v>9371</v>
      </c>
      <c r="G102">
        <f t="shared" ref="G102" si="40">G100+G101</f>
        <v>8354</v>
      </c>
      <c r="H102">
        <f t="shared" ref="H102" si="41">H100+H101</f>
        <v>8126</v>
      </c>
      <c r="J102" s="9"/>
      <c r="K102" s="9"/>
    </row>
    <row r="103" spans="1:12" x14ac:dyDescent="0.35">
      <c r="E103" t="s">
        <v>77</v>
      </c>
      <c r="G103">
        <f t="shared" ref="G103:H104" si="42">F100-G100</f>
        <v>963</v>
      </c>
      <c r="H103">
        <f t="shared" si="42"/>
        <v>224</v>
      </c>
      <c r="J103" s="9"/>
      <c r="K103" s="9"/>
    </row>
    <row r="104" spans="1:12" x14ac:dyDescent="0.35">
      <c r="E104" t="s">
        <v>78</v>
      </c>
      <c r="G104">
        <f t="shared" si="42"/>
        <v>54</v>
      </c>
      <c r="H104">
        <f t="shared" si="42"/>
        <v>4</v>
      </c>
      <c r="J104" s="9"/>
      <c r="K104" s="9"/>
    </row>
    <row r="105" spans="1:12" x14ac:dyDescent="0.35">
      <c r="E105" t="s">
        <v>155</v>
      </c>
      <c r="G105">
        <f>(G103+G104)*$B$95</f>
        <v>355.95</v>
      </c>
      <c r="H105">
        <f>G105+(H103+H104)*$B$95</f>
        <v>435.75</v>
      </c>
      <c r="I105">
        <f>SUM(F105:H105)</f>
        <v>791.7</v>
      </c>
      <c r="J105" s="9"/>
      <c r="K105" s="9"/>
    </row>
    <row r="106" spans="1:12" x14ac:dyDescent="0.35">
      <c r="E106" t="s">
        <v>184</v>
      </c>
      <c r="F106">
        <f>INT(F102+F105)</f>
        <v>9371</v>
      </c>
      <c r="G106">
        <f>INT(G102+G105)</f>
        <v>8709</v>
      </c>
      <c r="H106">
        <f t="shared" ref="H106" si="43">INT(H102+H105)</f>
        <v>8561</v>
      </c>
      <c r="I106">
        <f>H106</f>
        <v>8561</v>
      </c>
      <c r="J106" s="9"/>
      <c r="K106" s="9"/>
    </row>
    <row r="107" spans="1:12" x14ac:dyDescent="0.35">
      <c r="J107" s="9"/>
      <c r="K107" s="9"/>
    </row>
    <row r="108" spans="1:12" x14ac:dyDescent="0.35">
      <c r="A108">
        <v>1</v>
      </c>
      <c r="B108" s="14">
        <v>0.35</v>
      </c>
      <c r="C108" s="8">
        <v>1.05</v>
      </c>
      <c r="D108" t="s">
        <v>112</v>
      </c>
      <c r="E108" t="s">
        <v>101</v>
      </c>
      <c r="F108" s="6">
        <f>Coastal!B5</f>
        <v>33842682.240000002</v>
      </c>
      <c r="G108" s="6">
        <f>Coastal!D5</f>
        <v>30678030</v>
      </c>
      <c r="H108" s="6">
        <f>Coastal!E5</f>
        <v>29823683.57</v>
      </c>
      <c r="I108" s="6">
        <f>SUM(F108:H108)</f>
        <v>94344395.810000002</v>
      </c>
      <c r="J108" s="9">
        <f>I108*$A$108</f>
        <v>94344395.810000002</v>
      </c>
      <c r="K108" s="9">
        <f>'RSA Split'!C17</f>
        <v>226046804.17708948</v>
      </c>
      <c r="L108" s="9">
        <f>J108+K108</f>
        <v>320391199.98708951</v>
      </c>
    </row>
    <row r="109" spans="1:12" x14ac:dyDescent="0.35">
      <c r="E109" t="s">
        <v>180</v>
      </c>
      <c r="F109" s="6"/>
      <c r="G109" s="6">
        <f t="shared" ref="G109" si="44">F108-G108</f>
        <v>3164652.2400000021</v>
      </c>
      <c r="H109" s="6">
        <f t="shared" ref="H109" si="45">G108-H108</f>
        <v>854346.4299999997</v>
      </c>
      <c r="I109" s="6"/>
      <c r="J109" s="9"/>
      <c r="K109" s="9"/>
      <c r="L109" s="9"/>
    </row>
    <row r="110" spans="1:12" x14ac:dyDescent="0.35">
      <c r="E110" t="s">
        <v>181</v>
      </c>
      <c r="F110" s="6"/>
      <c r="G110" s="6">
        <f>SUM($G109:G109)*$B108*$C$108</f>
        <v>1163009.6982000007</v>
      </c>
      <c r="H110" s="6">
        <f>SUM($G109:H109)*$B108*$C$108</f>
        <v>1476982.0112250007</v>
      </c>
      <c r="I110" s="6">
        <f>SUM(F110:H110)</f>
        <v>2639991.7094250014</v>
      </c>
      <c r="J110" s="9">
        <f>I110*$A$108</f>
        <v>2639991.7094250014</v>
      </c>
      <c r="K110" s="9"/>
      <c r="L110" s="9"/>
    </row>
    <row r="111" spans="1:12" x14ac:dyDescent="0.35">
      <c r="E111" t="s">
        <v>182</v>
      </c>
      <c r="F111" s="6"/>
      <c r="G111" s="6"/>
      <c r="H111" s="6"/>
      <c r="I111" s="6">
        <f>I108+I110</f>
        <v>96984387.519425005</v>
      </c>
      <c r="J111" s="9">
        <f>I111*$A$108</f>
        <v>96984387.519425005</v>
      </c>
      <c r="K111" s="9"/>
      <c r="L111" s="9">
        <f>J111+K108</f>
        <v>323031191.69651449</v>
      </c>
    </row>
    <row r="112" spans="1:12" x14ac:dyDescent="0.35">
      <c r="F112" s="6"/>
      <c r="G112" s="6"/>
      <c r="H112" s="6"/>
      <c r="I112" s="6"/>
      <c r="J112" s="9"/>
      <c r="K112" s="9"/>
    </row>
    <row r="113" spans="1:12" x14ac:dyDescent="0.35">
      <c r="E113" t="s">
        <v>102</v>
      </c>
      <c r="F113">
        <f>Coastal!B2</f>
        <v>2760</v>
      </c>
      <c r="G113">
        <f>Coastal!D2</f>
        <v>2416</v>
      </c>
      <c r="H113">
        <f>Coastal!E2</f>
        <v>2355</v>
      </c>
      <c r="J113" s="9"/>
      <c r="K113" s="9"/>
    </row>
    <row r="114" spans="1:12" x14ac:dyDescent="0.35">
      <c r="E114" t="s">
        <v>103</v>
      </c>
      <c r="F114">
        <f>Coastal!B3</f>
        <v>254</v>
      </c>
      <c r="G114">
        <f>Coastal!D3</f>
        <v>241</v>
      </c>
      <c r="H114">
        <f>Coastal!E3</f>
        <v>224</v>
      </c>
      <c r="J114" s="9"/>
      <c r="K114" s="9"/>
    </row>
    <row r="115" spans="1:12" x14ac:dyDescent="0.35">
      <c r="E115" t="s">
        <v>183</v>
      </c>
      <c r="F115">
        <f>F113+F114</f>
        <v>3014</v>
      </c>
      <c r="G115">
        <f t="shared" ref="G115" si="46">G113+G114</f>
        <v>2657</v>
      </c>
      <c r="H115">
        <f t="shared" ref="H115" si="47">H113+H114</f>
        <v>2579</v>
      </c>
      <c r="J115" s="9"/>
      <c r="K115" s="9"/>
    </row>
    <row r="116" spans="1:12" x14ac:dyDescent="0.35">
      <c r="E116" t="s">
        <v>77</v>
      </c>
      <c r="G116">
        <f t="shared" ref="G116:H117" si="48">F113-G113</f>
        <v>344</v>
      </c>
      <c r="H116">
        <f t="shared" si="48"/>
        <v>61</v>
      </c>
      <c r="J116" s="9"/>
      <c r="K116" s="9"/>
    </row>
    <row r="117" spans="1:12" x14ac:dyDescent="0.35">
      <c r="E117" t="s">
        <v>78</v>
      </c>
      <c r="G117">
        <f t="shared" si="48"/>
        <v>13</v>
      </c>
      <c r="H117">
        <f t="shared" si="48"/>
        <v>17</v>
      </c>
      <c r="J117" s="9"/>
      <c r="K117" s="9"/>
    </row>
    <row r="118" spans="1:12" x14ac:dyDescent="0.35">
      <c r="E118" t="s">
        <v>155</v>
      </c>
      <c r="G118">
        <f>(G116+G117)*$B$108</f>
        <v>124.94999999999999</v>
      </c>
      <c r="H118">
        <f>G118+(H116+H117)*$B$108</f>
        <v>152.25</v>
      </c>
      <c r="I118">
        <f>SUM(F118:H118)</f>
        <v>277.2</v>
      </c>
      <c r="J118" s="9"/>
      <c r="K118" s="9"/>
    </row>
    <row r="119" spans="1:12" x14ac:dyDescent="0.35">
      <c r="E119" t="s">
        <v>184</v>
      </c>
      <c r="F119">
        <f>INT(F115+F118)</f>
        <v>3014</v>
      </c>
      <c r="G119">
        <f>INT(G115+G118)</f>
        <v>2781</v>
      </c>
      <c r="H119">
        <f t="shared" ref="H119" si="49">INT(H115+H118)</f>
        <v>2731</v>
      </c>
      <c r="I119">
        <f>H119</f>
        <v>2731</v>
      </c>
      <c r="J119" s="9"/>
      <c r="K119" s="9"/>
    </row>
    <row r="120" spans="1:12" x14ac:dyDescent="0.35">
      <c r="J120" s="9"/>
      <c r="K120" s="9"/>
    </row>
    <row r="121" spans="1:12" x14ac:dyDescent="0.35">
      <c r="A121">
        <v>1</v>
      </c>
      <c r="B121" s="8">
        <v>0.3</v>
      </c>
      <c r="C121" s="8">
        <v>1.05</v>
      </c>
      <c r="D121" t="s">
        <v>113</v>
      </c>
      <c r="E121" t="s">
        <v>101</v>
      </c>
      <c r="F121" s="6">
        <f>'Public Sector'!B5</f>
        <v>5395902.9900000002</v>
      </c>
      <c r="G121" s="6">
        <f>'Public Sector'!D5</f>
        <v>5204253.3100000015</v>
      </c>
      <c r="H121" s="6">
        <f>'Public Sector'!E5</f>
        <v>5204253.3100000015</v>
      </c>
      <c r="I121" s="6">
        <f>SUM(F121:H121)</f>
        <v>15804409.610000003</v>
      </c>
      <c r="J121" s="9">
        <f>I121*$A$121</f>
        <v>15804409.610000003</v>
      </c>
      <c r="K121" s="9">
        <f>'RSA Split'!C18</f>
        <v>36041074.341839805</v>
      </c>
      <c r="L121" s="9">
        <f>J121+K121</f>
        <v>51845483.951839805</v>
      </c>
    </row>
    <row r="122" spans="1:12" x14ac:dyDescent="0.35">
      <c r="E122" t="s">
        <v>180</v>
      </c>
      <c r="F122" s="6"/>
      <c r="G122" s="6">
        <f t="shared" ref="G122" si="50">F121-G121</f>
        <v>191649.67999999877</v>
      </c>
      <c r="H122" s="6">
        <f t="shared" ref="H122" si="51">G121-H121</f>
        <v>0</v>
      </c>
      <c r="I122" s="6"/>
      <c r="J122" s="9"/>
      <c r="K122" s="9"/>
      <c r="L122" s="9"/>
    </row>
    <row r="123" spans="1:12" x14ac:dyDescent="0.35">
      <c r="E123" t="s">
        <v>181</v>
      </c>
      <c r="F123" s="6"/>
      <c r="G123" s="6">
        <f>SUM($G122:G122)*$B$121*$C$121</f>
        <v>60369.649199999614</v>
      </c>
      <c r="H123" s="6">
        <f>SUM($G122:H122)*$B$121*$C$121</f>
        <v>60369.649199999614</v>
      </c>
      <c r="I123" s="6">
        <f>SUM(F123:H123)</f>
        <v>120739.29839999923</v>
      </c>
      <c r="J123" s="9">
        <f>I123*$A$121</f>
        <v>120739.29839999923</v>
      </c>
      <c r="K123" s="9"/>
      <c r="L123" s="9"/>
    </row>
    <row r="124" spans="1:12" x14ac:dyDescent="0.35">
      <c r="E124" t="s">
        <v>182</v>
      </c>
      <c r="F124" s="6"/>
      <c r="G124" s="6"/>
      <c r="H124" s="6"/>
      <c r="I124" s="6">
        <f>I121+I123</f>
        <v>15925148.908400003</v>
      </c>
      <c r="J124" s="9">
        <f>I124*$A$121</f>
        <v>15925148.908400003</v>
      </c>
      <c r="K124" s="9"/>
      <c r="L124" s="9">
        <f>J124+K121</f>
        <v>51966223.250239804</v>
      </c>
    </row>
    <row r="125" spans="1:12" x14ac:dyDescent="0.35">
      <c r="F125" s="6"/>
      <c r="G125" s="6"/>
      <c r="H125" s="6"/>
      <c r="I125" s="6"/>
      <c r="J125" s="9"/>
      <c r="K125" s="9"/>
    </row>
    <row r="126" spans="1:12" x14ac:dyDescent="0.35">
      <c r="E126" t="s">
        <v>102</v>
      </c>
      <c r="F126">
        <f>'Public Sector'!B2</f>
        <v>277</v>
      </c>
      <c r="G126">
        <f>'Public Sector'!D2</f>
        <v>252</v>
      </c>
      <c r="H126">
        <f>'Public Sector'!E2</f>
        <v>252</v>
      </c>
      <c r="J126" s="9"/>
      <c r="K126" s="9"/>
    </row>
    <row r="127" spans="1:12" x14ac:dyDescent="0.35">
      <c r="E127" t="s">
        <v>103</v>
      </c>
      <c r="F127">
        <f>'Public Sector'!B3</f>
        <v>93</v>
      </c>
      <c r="G127">
        <f>'Public Sector'!D3</f>
        <v>93</v>
      </c>
      <c r="H127">
        <f>'Public Sector'!E3</f>
        <v>93</v>
      </c>
      <c r="J127" s="9"/>
      <c r="K127" s="9"/>
    </row>
    <row r="128" spans="1:12" x14ac:dyDescent="0.35">
      <c r="E128" t="s">
        <v>183</v>
      </c>
      <c r="F128">
        <f>F126+F127</f>
        <v>370</v>
      </c>
      <c r="G128">
        <f t="shared" ref="G128" si="52">G126+G127</f>
        <v>345</v>
      </c>
      <c r="H128">
        <f t="shared" ref="H128" si="53">H126+H127</f>
        <v>345</v>
      </c>
      <c r="J128" s="9"/>
      <c r="K128" s="9"/>
    </row>
    <row r="129" spans="1:15" x14ac:dyDescent="0.35">
      <c r="E129" t="s">
        <v>77</v>
      </c>
      <c r="G129">
        <f t="shared" ref="G129:H130" si="54">F126-G126</f>
        <v>25</v>
      </c>
      <c r="H129">
        <f t="shared" si="54"/>
        <v>0</v>
      </c>
      <c r="J129" s="9"/>
      <c r="K129" s="9"/>
    </row>
    <row r="130" spans="1:15" x14ac:dyDescent="0.35">
      <c r="E130" t="s">
        <v>78</v>
      </c>
      <c r="G130">
        <f t="shared" si="54"/>
        <v>0</v>
      </c>
      <c r="H130">
        <f t="shared" si="54"/>
        <v>0</v>
      </c>
      <c r="J130" s="9"/>
      <c r="K130" s="9"/>
    </row>
    <row r="131" spans="1:15" x14ac:dyDescent="0.35">
      <c r="E131" t="s">
        <v>155</v>
      </c>
      <c r="G131">
        <f>(G129+G130)*$B$121</f>
        <v>7.5</v>
      </c>
      <c r="H131">
        <f>G131+(H129+H130)*$B$121</f>
        <v>7.5</v>
      </c>
      <c r="I131">
        <f>SUM(F131:H131)</f>
        <v>15</v>
      </c>
      <c r="J131" s="9"/>
      <c r="K131" s="9"/>
    </row>
    <row r="132" spans="1:15" x14ac:dyDescent="0.35">
      <c r="E132" t="s">
        <v>184</v>
      </c>
      <c r="F132">
        <f>INT(F128+F131)</f>
        <v>370</v>
      </c>
      <c r="G132">
        <f>INT(G128+G131)</f>
        <v>352</v>
      </c>
      <c r="H132">
        <f t="shared" ref="H132" si="55">INT(H128+H131)</f>
        <v>352</v>
      </c>
      <c r="I132">
        <f>H132</f>
        <v>352</v>
      </c>
      <c r="J132" s="9"/>
      <c r="K132" s="9"/>
    </row>
    <row r="133" spans="1:15" x14ac:dyDescent="0.35">
      <c r="J133" s="9"/>
      <c r="K133" s="9"/>
    </row>
    <row r="134" spans="1:15" x14ac:dyDescent="0.35">
      <c r="A134">
        <v>1</v>
      </c>
      <c r="B134" s="8">
        <v>0</v>
      </c>
      <c r="C134" s="8">
        <v>1.05</v>
      </c>
      <c r="D134" t="s">
        <v>185</v>
      </c>
      <c r="E134" t="s">
        <v>101</v>
      </c>
      <c r="F134" s="6" t="e">
        <f>#REF!</f>
        <v>#REF!</v>
      </c>
      <c r="G134" s="6" t="e">
        <f>#REF!</f>
        <v>#REF!</v>
      </c>
      <c r="H134" s="6" t="e">
        <f>#REF!</f>
        <v>#REF!</v>
      </c>
      <c r="I134" s="6" t="e">
        <f>SUM(F134:H134)</f>
        <v>#REF!</v>
      </c>
      <c r="J134" s="9" t="e">
        <f>I134*$A$134</f>
        <v>#REF!</v>
      </c>
      <c r="K134" s="9">
        <f>-O134*1000</f>
        <v>820148.07</v>
      </c>
      <c r="L134" s="9" t="e">
        <f>J134+K134</f>
        <v>#REF!</v>
      </c>
      <c r="O134" s="19">
        <v>-820.14806999999996</v>
      </c>
    </row>
    <row r="135" spans="1:15" x14ac:dyDescent="0.35">
      <c r="E135" t="s">
        <v>180</v>
      </c>
      <c r="F135" s="6"/>
      <c r="G135" s="6" t="e">
        <f t="shared" ref="G135" si="56">F134-G134</f>
        <v>#REF!</v>
      </c>
      <c r="H135" s="6" t="e">
        <f t="shared" ref="H135" si="57">G134-H134</f>
        <v>#REF!</v>
      </c>
      <c r="I135" s="6"/>
      <c r="J135" s="9"/>
      <c r="K135" s="9"/>
      <c r="L135" s="9"/>
    </row>
    <row r="136" spans="1:15" x14ac:dyDescent="0.35">
      <c r="E136" t="s">
        <v>181</v>
      </c>
      <c r="F136" s="6"/>
      <c r="G136" s="6" t="e">
        <f>SUM($G135:G135)*$B$134*$C$134</f>
        <v>#REF!</v>
      </c>
      <c r="H136" s="6" t="e">
        <f>SUM($G135:H135)*$B$134*$C$134</f>
        <v>#REF!</v>
      </c>
      <c r="I136" s="6" t="e">
        <f>SUM(F136:H136)</f>
        <v>#REF!</v>
      </c>
      <c r="J136" s="9" t="e">
        <f>I136*$A$134</f>
        <v>#REF!</v>
      </c>
      <c r="K136" s="9"/>
      <c r="L136" s="9"/>
    </row>
    <row r="137" spans="1:15" x14ac:dyDescent="0.35">
      <c r="E137" t="s">
        <v>182</v>
      </c>
      <c r="F137" s="6"/>
      <c r="G137" s="6"/>
      <c r="H137" s="6"/>
      <c r="I137" s="6" t="e">
        <f>I134+I136</f>
        <v>#REF!</v>
      </c>
      <c r="J137" s="9" t="e">
        <f>I137*$A$134</f>
        <v>#REF!</v>
      </c>
      <c r="K137" s="9"/>
      <c r="L137" s="9" t="e">
        <f>J137+K134</f>
        <v>#REF!</v>
      </c>
    </row>
    <row r="138" spans="1:15" x14ac:dyDescent="0.35">
      <c r="F138" s="6"/>
      <c r="G138" s="6"/>
      <c r="H138" s="6"/>
      <c r="I138" s="6"/>
      <c r="J138" s="9"/>
      <c r="K138" s="9"/>
    </row>
    <row r="139" spans="1:15" x14ac:dyDescent="0.35">
      <c r="E139" t="s">
        <v>102</v>
      </c>
      <c r="F139" t="e">
        <f>#REF!</f>
        <v>#REF!</v>
      </c>
      <c r="G139" t="e">
        <f>#REF!</f>
        <v>#REF!</v>
      </c>
      <c r="H139">
        <f>'Public Sector'!E15</f>
        <v>0</v>
      </c>
      <c r="J139" s="9"/>
      <c r="K139" s="9"/>
    </row>
    <row r="140" spans="1:15" x14ac:dyDescent="0.35">
      <c r="E140" t="s">
        <v>103</v>
      </c>
      <c r="F140" t="e">
        <f>#REF!</f>
        <v>#REF!</v>
      </c>
      <c r="G140" t="e">
        <f>#REF!</f>
        <v>#REF!</v>
      </c>
      <c r="H140">
        <f>'Public Sector'!E16</f>
        <v>0</v>
      </c>
      <c r="J140" s="9"/>
      <c r="K140" s="9"/>
    </row>
    <row r="141" spans="1:15" x14ac:dyDescent="0.35">
      <c r="E141" t="s">
        <v>183</v>
      </c>
      <c r="F141" t="e">
        <f>F139+F140</f>
        <v>#REF!</v>
      </c>
      <c r="G141" t="e">
        <f t="shared" ref="G141" si="58">G139+G140</f>
        <v>#REF!</v>
      </c>
      <c r="H141">
        <f t="shared" ref="H141" si="59">H139+H140</f>
        <v>0</v>
      </c>
      <c r="J141" s="9"/>
      <c r="K141" s="9"/>
      <c r="N141">
        <v>12</v>
      </c>
    </row>
    <row r="142" spans="1:15" x14ac:dyDescent="0.35">
      <c r="E142" t="s">
        <v>77</v>
      </c>
      <c r="G142" t="e">
        <f t="shared" ref="G142:H143" si="60">F139-G139</f>
        <v>#REF!</v>
      </c>
      <c r="H142" t="e">
        <f t="shared" si="60"/>
        <v>#REF!</v>
      </c>
      <c r="J142" s="9"/>
      <c r="K142" s="9"/>
    </row>
    <row r="143" spans="1:15" x14ac:dyDescent="0.35">
      <c r="E143" t="s">
        <v>78</v>
      </c>
      <c r="G143" t="e">
        <f t="shared" si="60"/>
        <v>#REF!</v>
      </c>
      <c r="H143" t="e">
        <f t="shared" si="60"/>
        <v>#REF!</v>
      </c>
      <c r="J143" s="9"/>
      <c r="K143" s="9"/>
    </row>
    <row r="144" spans="1:15" x14ac:dyDescent="0.35">
      <c r="E144" t="s">
        <v>155</v>
      </c>
      <c r="G144" t="e">
        <f>(G142+G143)*$B$134</f>
        <v>#REF!</v>
      </c>
      <c r="H144" t="e">
        <f>G144+(H142+H143)*$B$134</f>
        <v>#REF!</v>
      </c>
      <c r="I144" t="e">
        <f>SUM(F144:H144)</f>
        <v>#REF!</v>
      </c>
      <c r="J144" s="9"/>
      <c r="K144" s="9"/>
    </row>
    <row r="145" spans="1:15" x14ac:dyDescent="0.35">
      <c r="E145" t="s">
        <v>184</v>
      </c>
      <c r="F145" t="e">
        <f>INT(F141+F144)</f>
        <v>#REF!</v>
      </c>
      <c r="G145" t="e">
        <f>INT(G141+G144)</f>
        <v>#REF!</v>
      </c>
      <c r="H145" t="e">
        <f t="shared" ref="H145" si="61">INT(H141+H144)</f>
        <v>#REF!</v>
      </c>
      <c r="I145" t="e">
        <f>H145</f>
        <v>#REF!</v>
      </c>
      <c r="J145" s="9"/>
      <c r="K145" s="9"/>
    </row>
    <row r="146" spans="1:15" x14ac:dyDescent="0.35">
      <c r="J146" s="9"/>
      <c r="K146" s="9"/>
    </row>
    <row r="147" spans="1:15" x14ac:dyDescent="0.35">
      <c r="A147">
        <v>18.544791707720805</v>
      </c>
      <c r="B147" s="8">
        <v>0.3</v>
      </c>
      <c r="C147" s="8">
        <v>1.05</v>
      </c>
      <c r="D147" t="s">
        <v>117</v>
      </c>
      <c r="E147" t="s">
        <v>101</v>
      </c>
      <c r="F147" s="6">
        <f>ZAM!B5</f>
        <v>826725.84000000008</v>
      </c>
      <c r="G147" s="6">
        <f>ZAM!D5</f>
        <v>790499.5</v>
      </c>
      <c r="H147" s="6">
        <f>ZAM!E5</f>
        <v>774966.1</v>
      </c>
      <c r="I147" s="6">
        <f>SUM(F147:H147)</f>
        <v>2392191.44</v>
      </c>
      <c r="J147" s="9">
        <f>I147*$A$147</f>
        <v>44362691.979792692</v>
      </c>
      <c r="K147" s="9">
        <f>-O147*1000</f>
        <v>96513000</v>
      </c>
      <c r="L147" s="9">
        <f>J147+K147</f>
        <v>140875691.97979268</v>
      </c>
      <c r="O147" s="18">
        <v>-96513</v>
      </c>
    </row>
    <row r="148" spans="1:15" x14ac:dyDescent="0.35">
      <c r="E148" t="s">
        <v>180</v>
      </c>
      <c r="F148" s="6"/>
      <c r="G148" s="6">
        <f t="shared" ref="G148" si="62">F147-G147</f>
        <v>36226.340000000084</v>
      </c>
      <c r="H148" s="6">
        <f t="shared" ref="H148" si="63">G147-H147</f>
        <v>15533.400000000023</v>
      </c>
      <c r="I148" s="6"/>
      <c r="J148" s="9"/>
      <c r="K148" s="9"/>
      <c r="L148" s="9"/>
    </row>
    <row r="149" spans="1:15" x14ac:dyDescent="0.35">
      <c r="E149" t="s">
        <v>181</v>
      </c>
      <c r="F149" s="6"/>
      <c r="G149" s="6">
        <f>SUM($G148:G148)*$B$147*$C$147</f>
        <v>11411.297100000027</v>
      </c>
      <c r="H149" s="6">
        <f>SUM($G148:H148)*$B$147*$C$147</f>
        <v>16304.318100000033</v>
      </c>
      <c r="I149" s="6">
        <f>SUM(F149:H149)</f>
        <v>27715.615200000058</v>
      </c>
      <c r="J149" s="9">
        <f>I149*$A$147</f>
        <v>513980.31093534175</v>
      </c>
      <c r="K149" s="9"/>
      <c r="L149" s="9"/>
    </row>
    <row r="150" spans="1:15" x14ac:dyDescent="0.35">
      <c r="E150" t="s">
        <v>182</v>
      </c>
      <c r="F150" s="6"/>
      <c r="G150" s="6"/>
      <c r="H150" s="6"/>
      <c r="I150" s="6">
        <f>I147+I149</f>
        <v>2419907.0551999998</v>
      </c>
      <c r="J150" s="9">
        <f>I150*$A$147</f>
        <v>44876672.290728025</v>
      </c>
      <c r="K150" s="9"/>
      <c r="L150" s="9">
        <f>J150+K147</f>
        <v>141389672.29072803</v>
      </c>
    </row>
    <row r="151" spans="1:15" x14ac:dyDescent="0.35">
      <c r="F151" s="6"/>
      <c r="G151" s="6"/>
      <c r="H151" s="6"/>
      <c r="I151" s="6"/>
      <c r="J151" s="9"/>
      <c r="K151" s="9"/>
    </row>
    <row r="152" spans="1:15" x14ac:dyDescent="0.35">
      <c r="E152" t="s">
        <v>102</v>
      </c>
      <c r="F152">
        <f>ZAM!B2</f>
        <v>497</v>
      </c>
      <c r="G152">
        <f>ZAM!D2</f>
        <v>469</v>
      </c>
      <c r="H152">
        <f>ZAM!E2</f>
        <v>457</v>
      </c>
      <c r="J152" s="9"/>
      <c r="K152" s="9"/>
    </row>
    <row r="153" spans="1:15" x14ac:dyDescent="0.35">
      <c r="E153" t="s">
        <v>103</v>
      </c>
      <c r="F153">
        <f>ZAM!B3</f>
        <v>25</v>
      </c>
      <c r="G153">
        <f>ZAM!D3</f>
        <v>25</v>
      </c>
      <c r="H153">
        <f>ZAM!E3</f>
        <v>25</v>
      </c>
      <c r="J153" s="9"/>
      <c r="K153" s="9"/>
    </row>
    <row r="154" spans="1:15" x14ac:dyDescent="0.35">
      <c r="E154" t="s">
        <v>183</v>
      </c>
      <c r="F154">
        <f>F152+F153</f>
        <v>522</v>
      </c>
      <c r="G154">
        <f t="shared" ref="G154" si="64">G152+G153</f>
        <v>494</v>
      </c>
      <c r="H154">
        <f t="shared" ref="H154" si="65">H152+H153</f>
        <v>482</v>
      </c>
      <c r="J154" s="9"/>
      <c r="K154" s="9"/>
      <c r="N154">
        <v>399</v>
      </c>
    </row>
    <row r="155" spans="1:15" x14ac:dyDescent="0.35">
      <c r="E155" t="s">
        <v>77</v>
      </c>
      <c r="G155">
        <f t="shared" ref="G155:H156" si="66">F152-G152</f>
        <v>28</v>
      </c>
      <c r="H155">
        <f t="shared" si="66"/>
        <v>12</v>
      </c>
      <c r="J155" s="9"/>
      <c r="K155" s="9"/>
    </row>
    <row r="156" spans="1:15" x14ac:dyDescent="0.35">
      <c r="E156" t="s">
        <v>78</v>
      </c>
      <c r="G156">
        <f t="shared" si="66"/>
        <v>0</v>
      </c>
      <c r="H156">
        <f t="shared" si="66"/>
        <v>0</v>
      </c>
      <c r="J156" s="9"/>
      <c r="K156" s="9"/>
    </row>
    <row r="157" spans="1:15" x14ac:dyDescent="0.35">
      <c r="E157" t="s">
        <v>155</v>
      </c>
      <c r="G157">
        <f>(G155+G156)*$B$147</f>
        <v>8.4</v>
      </c>
      <c r="H157">
        <f>G157+(H155+H156)*$B$147</f>
        <v>12</v>
      </c>
      <c r="I157">
        <f>SUM(F157:H157)</f>
        <v>20.399999999999999</v>
      </c>
      <c r="J157" s="9"/>
      <c r="K157" s="9"/>
    </row>
    <row r="158" spans="1:15" x14ac:dyDescent="0.35">
      <c r="E158" t="s">
        <v>184</v>
      </c>
      <c r="F158">
        <f>INT(F154+F157)</f>
        <v>522</v>
      </c>
      <c r="G158">
        <f>INT(G154+G157)</f>
        <v>502</v>
      </c>
      <c r="H158">
        <f t="shared" ref="H158" si="67">INT(H154+H157)</f>
        <v>494</v>
      </c>
      <c r="I158">
        <f>H158</f>
        <v>494</v>
      </c>
      <c r="J158" s="9"/>
      <c r="K158" s="9"/>
    </row>
    <row r="159" spans="1:15" x14ac:dyDescent="0.35">
      <c r="J159" s="9"/>
      <c r="K159" s="9"/>
    </row>
    <row r="160" spans="1:15" x14ac:dyDescent="0.35">
      <c r="A160">
        <v>1</v>
      </c>
      <c r="B160" s="8">
        <v>0.5</v>
      </c>
      <c r="C160" s="8">
        <v>1.05</v>
      </c>
      <c r="D160" t="s">
        <v>115</v>
      </c>
      <c r="E160" t="s">
        <v>101</v>
      </c>
      <c r="F160" s="6">
        <f>iLease!B5</f>
        <v>150718.92000000001</v>
      </c>
      <c r="G160" s="6">
        <f>iLease!D5</f>
        <v>150718.92000000001</v>
      </c>
      <c r="H160" s="6">
        <f>iLease!E5</f>
        <v>150718.92000000001</v>
      </c>
      <c r="I160" s="6">
        <f>SUM(F160:H160)</f>
        <v>452156.76</v>
      </c>
      <c r="J160" s="9">
        <f>I160*$A$160</f>
        <v>452156.76</v>
      </c>
      <c r="K160" s="9">
        <v>74458</v>
      </c>
      <c r="L160" s="9">
        <f>J160+K160</f>
        <v>526614.76</v>
      </c>
    </row>
    <row r="161" spans="4:12" x14ac:dyDescent="0.35">
      <c r="E161" t="s">
        <v>180</v>
      </c>
      <c r="F161" s="6"/>
      <c r="G161" s="6">
        <f t="shared" ref="G161" si="68">F160-G160</f>
        <v>0</v>
      </c>
      <c r="H161" s="6">
        <f t="shared" ref="H161" si="69">G160-H160</f>
        <v>0</v>
      </c>
      <c r="I161" s="6"/>
      <c r="J161" s="9"/>
      <c r="K161" s="9"/>
      <c r="L161" s="9"/>
    </row>
    <row r="162" spans="4:12" x14ac:dyDescent="0.35">
      <c r="E162" t="s">
        <v>181</v>
      </c>
      <c r="F162" s="6"/>
      <c r="G162" s="6">
        <f>SUM($G161:G161)*$B$160*$C$160</f>
        <v>0</v>
      </c>
      <c r="H162" s="6">
        <f>SUM($G161:H161)*$B$160*$C$160</f>
        <v>0</v>
      </c>
      <c r="I162" s="6">
        <f>SUM(F162:H162)</f>
        <v>0</v>
      </c>
      <c r="J162" s="9">
        <f>I162*$A$160</f>
        <v>0</v>
      </c>
      <c r="K162" s="9"/>
      <c r="L162" s="9"/>
    </row>
    <row r="163" spans="4:12" x14ac:dyDescent="0.35">
      <c r="E163" t="s">
        <v>182</v>
      </c>
      <c r="F163" s="6"/>
      <c r="G163" s="6"/>
      <c r="H163" s="6"/>
      <c r="I163" s="6">
        <f>I160+I162</f>
        <v>452156.76</v>
      </c>
      <c r="J163" s="9">
        <f>I163*$A$160</f>
        <v>452156.76</v>
      </c>
      <c r="K163" s="9"/>
      <c r="L163" s="9">
        <v>573685</v>
      </c>
    </row>
    <row r="164" spans="4:12" x14ac:dyDescent="0.35">
      <c r="J164" s="9"/>
      <c r="K164" s="9"/>
    </row>
    <row r="165" spans="4:12" x14ac:dyDescent="0.35">
      <c r="E165" t="s">
        <v>104</v>
      </c>
      <c r="F165">
        <f>iLease!B4</f>
        <v>9</v>
      </c>
      <c r="G165">
        <f>iLease!D4</f>
        <v>9</v>
      </c>
      <c r="H165">
        <f>iLease!E4</f>
        <v>9</v>
      </c>
      <c r="I165">
        <f>iLease!J4</f>
        <v>9</v>
      </c>
      <c r="J165" s="9"/>
      <c r="K165" s="9"/>
    </row>
    <row r="166" spans="4:12" x14ac:dyDescent="0.35">
      <c r="E166" t="s">
        <v>183</v>
      </c>
      <c r="F166">
        <f>F165</f>
        <v>9</v>
      </c>
      <c r="G166">
        <f t="shared" ref="G166:H166" si="70">G165</f>
        <v>9</v>
      </c>
      <c r="H166">
        <f t="shared" si="70"/>
        <v>9</v>
      </c>
      <c r="I166">
        <f t="shared" ref="I166" si="71">I165</f>
        <v>9</v>
      </c>
      <c r="J166" s="9"/>
      <c r="K166" s="9"/>
      <c r="L166">
        <f>I166</f>
        <v>9</v>
      </c>
    </row>
    <row r="167" spans="4:12" x14ac:dyDescent="0.35">
      <c r="E167" t="s">
        <v>186</v>
      </c>
      <c r="G167">
        <f>F165-G165</f>
        <v>0</v>
      </c>
      <c r="H167">
        <f t="shared" ref="H167" si="72">G165-H165</f>
        <v>0</v>
      </c>
      <c r="J167" s="9"/>
      <c r="K167" s="9"/>
    </row>
    <row r="168" spans="4:12" x14ac:dyDescent="0.35">
      <c r="E168" t="s">
        <v>155</v>
      </c>
      <c r="G168">
        <f>(G167)*$B$147</f>
        <v>0</v>
      </c>
      <c r="H168">
        <f>G168+(H167)*$B$147</f>
        <v>0</v>
      </c>
      <c r="I168">
        <f>SUM(F168:H168)</f>
        <v>0</v>
      </c>
      <c r="J168" s="9"/>
      <c r="K168" s="9"/>
    </row>
    <row r="169" spans="4:12" x14ac:dyDescent="0.35">
      <c r="E169" t="s">
        <v>184</v>
      </c>
      <c r="F169">
        <f>INT(F165+F168)</f>
        <v>9</v>
      </c>
      <c r="G169">
        <f t="shared" ref="G169:I169" si="73">INT(G165+G168)</f>
        <v>9</v>
      </c>
      <c r="H169">
        <f t="shared" si="73"/>
        <v>9</v>
      </c>
      <c r="I169">
        <f t="shared" si="73"/>
        <v>9</v>
      </c>
      <c r="J169" s="9"/>
      <c r="K169" s="9"/>
      <c r="L169">
        <f>I169</f>
        <v>9</v>
      </c>
    </row>
    <row r="170" spans="4:12" x14ac:dyDescent="0.35">
      <c r="J170" s="9"/>
      <c r="K170" s="9"/>
    </row>
    <row r="171" spans="4:12" x14ac:dyDescent="0.35">
      <c r="J171" s="9"/>
      <c r="K171" s="9"/>
    </row>
    <row r="172" spans="4:12" x14ac:dyDescent="0.35">
      <c r="D172" t="s">
        <v>114</v>
      </c>
      <c r="E172" t="s">
        <v>101</v>
      </c>
      <c r="J172" s="9"/>
      <c r="K172" s="9"/>
    </row>
    <row r="173" spans="4:12" x14ac:dyDescent="0.35">
      <c r="E173" t="s">
        <v>102</v>
      </c>
      <c r="J173" s="9"/>
      <c r="K173" s="9"/>
    </row>
    <row r="174" spans="4:12" x14ac:dyDescent="0.35">
      <c r="E174" t="s">
        <v>103</v>
      </c>
      <c r="J174" s="9"/>
      <c r="K174" s="9"/>
    </row>
    <row r="175" spans="4:12" x14ac:dyDescent="0.35">
      <c r="J175" s="9"/>
      <c r="K175" s="9"/>
    </row>
    <row r="176" spans="4:12" x14ac:dyDescent="0.35">
      <c r="D176" t="s">
        <v>116</v>
      </c>
      <c r="E176" t="s">
        <v>101</v>
      </c>
      <c r="J176" s="9"/>
      <c r="K176" s="9"/>
    </row>
    <row r="177" spans="5:11" x14ac:dyDescent="0.35">
      <c r="E177" t="s">
        <v>102</v>
      </c>
      <c r="J177" s="9"/>
      <c r="K177" s="9"/>
    </row>
    <row r="178" spans="5:11" x14ac:dyDescent="0.35">
      <c r="E178" t="s">
        <v>103</v>
      </c>
      <c r="J178" s="9"/>
      <c r="K178" s="9"/>
    </row>
    <row r="179" spans="5:11" x14ac:dyDescent="0.35">
      <c r="J179" s="9"/>
      <c r="K179" s="9"/>
    </row>
    <row r="180" spans="5:11" x14ac:dyDescent="0.35">
      <c r="J180" s="9"/>
      <c r="K180" s="9"/>
    </row>
    <row r="181" spans="5:11" x14ac:dyDescent="0.35">
      <c r="J181" s="9"/>
      <c r="K181" s="9"/>
    </row>
    <row r="182" spans="5:11" x14ac:dyDescent="0.35">
      <c r="J182" s="9"/>
      <c r="K182" s="9"/>
    </row>
    <row r="183" spans="5:11" x14ac:dyDescent="0.35">
      <c r="J183" s="9"/>
      <c r="K183" s="9"/>
    </row>
    <row r="184" spans="5:11" x14ac:dyDescent="0.35">
      <c r="J184" s="9"/>
      <c r="K184" s="9"/>
    </row>
    <row r="185" spans="5:11" x14ac:dyDescent="0.35">
      <c r="J185" s="9"/>
      <c r="K185" s="9"/>
    </row>
    <row r="186" spans="5:11" x14ac:dyDescent="0.35">
      <c r="J186" s="9"/>
    </row>
    <row r="187" spans="5:11" x14ac:dyDescent="0.35">
      <c r="J187" s="9"/>
    </row>
    <row r="188" spans="5:11" x14ac:dyDescent="0.35">
      <c r="J188" s="9"/>
    </row>
    <row r="189" spans="5:11" x14ac:dyDescent="0.35">
      <c r="J189" s="9"/>
    </row>
    <row r="190" spans="5:11" x14ac:dyDescent="0.35">
      <c r="J190" s="9"/>
    </row>
    <row r="191" spans="5:11" x14ac:dyDescent="0.35">
      <c r="J191" s="9"/>
    </row>
    <row r="192" spans="5:11" x14ac:dyDescent="0.35">
      <c r="J192" s="9"/>
    </row>
    <row r="193" spans="10:10" x14ac:dyDescent="0.35">
      <c r="J193" s="9"/>
    </row>
    <row r="194" spans="10:10" x14ac:dyDescent="0.35">
      <c r="J194" s="9"/>
    </row>
    <row r="195" spans="10:10" x14ac:dyDescent="0.35">
      <c r="J195" s="9"/>
    </row>
    <row r="196" spans="10:10" x14ac:dyDescent="0.35">
      <c r="J196" s="9"/>
    </row>
    <row r="197" spans="10:10" x14ac:dyDescent="0.35">
      <c r="J197" s="9"/>
    </row>
    <row r="198" spans="10:10" x14ac:dyDescent="0.35">
      <c r="J198" s="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3C67-A427-489C-B546-EFD30C84683C}">
  <dimension ref="C2:N4"/>
  <sheetViews>
    <sheetView topLeftCell="C4" workbookViewId="0">
      <selection activeCell="G3" sqref="G3"/>
    </sheetView>
  </sheetViews>
  <sheetFormatPr defaultRowHeight="14.5" x14ac:dyDescent="0.35"/>
  <cols>
    <col min="3" max="3" width="10.1796875" bestFit="1" customWidth="1"/>
    <col min="4" max="4" width="13.26953125" bestFit="1" customWidth="1"/>
    <col min="5" max="5" width="19.7265625" bestFit="1" customWidth="1"/>
    <col min="6" max="6" width="16.453125" customWidth="1"/>
    <col min="7" max="7" width="11.7265625" bestFit="1" customWidth="1"/>
    <col min="8" max="8" width="10.7265625" bestFit="1" customWidth="1"/>
    <col min="9" max="10" width="11.7265625" bestFit="1" customWidth="1"/>
    <col min="11" max="11" width="12" bestFit="1" customWidth="1"/>
    <col min="12" max="12" width="11.7265625" bestFit="1" customWidth="1"/>
    <col min="13" max="13" width="10.7265625" bestFit="1" customWidth="1"/>
    <col min="14" max="14" width="10.7265625" customWidth="1"/>
    <col min="15" max="15" width="10.7265625" bestFit="1" customWidth="1"/>
  </cols>
  <sheetData>
    <row r="2" spans="3:14" x14ac:dyDescent="0.35">
      <c r="D2" s="3" t="s">
        <v>109</v>
      </c>
      <c r="E2" s="3" t="s">
        <v>111</v>
      </c>
      <c r="F2" s="3" t="s">
        <v>112</v>
      </c>
      <c r="G2" s="3" t="s">
        <v>167</v>
      </c>
      <c r="H2" s="3" t="s">
        <v>161</v>
      </c>
      <c r="I2" s="3" t="s">
        <v>164</v>
      </c>
      <c r="J2" s="3" t="s">
        <v>168</v>
      </c>
      <c r="K2" s="3" t="s">
        <v>163</v>
      </c>
      <c r="L2" s="3" t="s">
        <v>162</v>
      </c>
      <c r="M2" s="3" t="s">
        <v>165</v>
      </c>
      <c r="N2" s="3" t="s">
        <v>187</v>
      </c>
    </row>
    <row r="3" spans="3:14" x14ac:dyDescent="0.35">
      <c r="C3" s="3" t="s">
        <v>148</v>
      </c>
      <c r="D3" s="5">
        <f ca="1">Calculations!P15</f>
        <v>0.91465246007572065</v>
      </c>
      <c r="E3" s="5">
        <f ca="1">Calculations!P14</f>
        <v>0.96855565585240133</v>
      </c>
      <c r="F3" s="5">
        <f ca="1">Calculations!P16</f>
        <v>0.91251758367694646</v>
      </c>
      <c r="G3" s="5">
        <f ca="1">Calculations!P17</f>
        <v>0.7429223803103473</v>
      </c>
      <c r="H3" s="5">
        <f ca="1">Calculations!P4</f>
        <v>0.65713525162277708</v>
      </c>
      <c r="I3" s="5">
        <f ca="1">Calculations!P11</f>
        <v>0.84324951948617166</v>
      </c>
      <c r="J3" s="5">
        <f ca="1">Calculations!P19</f>
        <v>1.0706392540986363</v>
      </c>
      <c r="K3" s="5">
        <f ca="1">Calculations!P10</f>
        <v>0.65383969553486254</v>
      </c>
      <c r="L3" s="5">
        <f ca="1">Calculations!P6</f>
        <v>0.43393243529190595</v>
      </c>
      <c r="M3" s="5">
        <f ca="1">Calculations!P12</f>
        <v>1.1601287849833648</v>
      </c>
      <c r="N3" s="5">
        <f ca="1">Calculations!N24</f>
        <v>0.88224654092943366</v>
      </c>
    </row>
    <row r="4" spans="3:14" x14ac:dyDescent="0.35">
      <c r="C4" s="3" t="s">
        <v>149</v>
      </c>
      <c r="D4" s="5">
        <f>Calculations!Q15</f>
        <v>0.47738618553396761</v>
      </c>
      <c r="E4" s="5">
        <f>Calculations!Q14</f>
        <v>6.4075731184199819E-2</v>
      </c>
      <c r="F4" s="5">
        <f>Calculations!Q16</f>
        <v>0.15932424552416052</v>
      </c>
      <c r="G4" s="5">
        <f>Calculations!Q17</f>
        <v>4.6452811402353987E-2</v>
      </c>
      <c r="H4" s="5">
        <f>Calculations!Q4</f>
        <v>3.8700631998868688E-2</v>
      </c>
      <c r="I4" s="5">
        <f>Calculations!Q11</f>
        <v>7.4848943051738198E-2</v>
      </c>
      <c r="J4" s="5">
        <f>Calculations!Q19</f>
        <v>6.0661266821277204E-2</v>
      </c>
      <c r="K4" s="5">
        <f>Calculations!Q10</f>
        <v>4.2723161014914045E-2</v>
      </c>
      <c r="L4" s="5">
        <f>Calculations!Q6</f>
        <v>2.6640324973389307E-2</v>
      </c>
      <c r="M4" s="5">
        <f>Calculations!Q12</f>
        <v>9.1866984951305842E-3</v>
      </c>
      <c r="N4" s="5">
        <f>D4+0.1</f>
        <v>0.57738618553396759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A497-1F92-4EBC-B9C0-0D502B58E3E6}">
  <dimension ref="B1:I16"/>
  <sheetViews>
    <sheetView workbookViewId="0">
      <selection activeCell="C5" sqref="C5"/>
    </sheetView>
  </sheetViews>
  <sheetFormatPr defaultRowHeight="14.5" x14ac:dyDescent="0.35"/>
  <cols>
    <col min="2" max="2" width="28.453125" bestFit="1" customWidth="1"/>
    <col min="3" max="3" width="12" bestFit="1" customWidth="1"/>
    <col min="5" max="6" width="12" bestFit="1" customWidth="1"/>
    <col min="8" max="8" width="12" bestFit="1" customWidth="1"/>
    <col min="9" max="9" width="12.7265625" bestFit="1" customWidth="1"/>
  </cols>
  <sheetData>
    <row r="1" spans="2:9" x14ac:dyDescent="0.35">
      <c r="C1" t="s">
        <v>161</v>
      </c>
    </row>
    <row r="2" spans="2:9" x14ac:dyDescent="0.35">
      <c r="B2" t="s">
        <v>101</v>
      </c>
    </row>
    <row r="3" spans="2:9" x14ac:dyDescent="0.35">
      <c r="E3" t="s">
        <v>188</v>
      </c>
      <c r="F3" t="s">
        <v>189</v>
      </c>
      <c r="H3" t="s">
        <v>190</v>
      </c>
      <c r="I3" t="s">
        <v>191</v>
      </c>
    </row>
    <row r="4" spans="2:9" x14ac:dyDescent="0.35">
      <c r="B4" t="s">
        <v>171</v>
      </c>
      <c r="C4" s="9">
        <f>Calculations!K4</f>
        <v>-38757901.296493031</v>
      </c>
      <c r="E4" s="27">
        <v>0</v>
      </c>
      <c r="F4" s="27">
        <f>-C4</f>
        <v>38757901.296493031</v>
      </c>
      <c r="H4" s="9">
        <f>E4</f>
        <v>0</v>
      </c>
      <c r="I4" s="9">
        <f>F4</f>
        <v>38757901.296493031</v>
      </c>
    </row>
    <row r="5" spans="2:9" x14ac:dyDescent="0.35">
      <c r="B5" t="s">
        <v>192</v>
      </c>
      <c r="C5" s="9">
        <f ca="1">Calculations!L4</f>
        <v>-28138700.057777476</v>
      </c>
      <c r="E5" s="27">
        <f>F4</f>
        <v>38757901.296493031</v>
      </c>
      <c r="F5" s="27">
        <f ca="1">-C5+E5</f>
        <v>66896601.354270503</v>
      </c>
      <c r="H5" s="9">
        <f>E5</f>
        <v>38757901.296493031</v>
      </c>
      <c r="I5" s="9">
        <f ca="1">-C5</f>
        <v>28138700.057777476</v>
      </c>
    </row>
    <row r="6" spans="2:9" x14ac:dyDescent="0.35">
      <c r="B6" t="s">
        <v>193</v>
      </c>
      <c r="C6" s="9">
        <f ca="1">Calculations!M4</f>
        <v>-800715.24809811334</v>
      </c>
      <c r="E6" s="27">
        <f ca="1">F5</f>
        <v>66896601.354270503</v>
      </c>
      <c r="F6" s="27">
        <f ca="1">-C6+E6</f>
        <v>67697316.602368623</v>
      </c>
      <c r="H6" s="9">
        <f t="shared" ref="H6:H8" ca="1" si="0">E6</f>
        <v>66896601.354270503</v>
      </c>
      <c r="I6" s="9">
        <f t="shared" ref="I6" ca="1" si="1">-C6</f>
        <v>800715.24809811334</v>
      </c>
    </row>
    <row r="7" spans="2:9" x14ac:dyDescent="0.35">
      <c r="B7" t="s">
        <v>194</v>
      </c>
      <c r="C7" s="9">
        <f ca="1">SUM(C4:C6)</f>
        <v>-67697316.602368623</v>
      </c>
      <c r="E7" s="27">
        <f ca="1">F6</f>
        <v>67697316.602368623</v>
      </c>
      <c r="F7" s="27">
        <f>F8</f>
        <v>103018848</v>
      </c>
      <c r="H7" s="9">
        <f t="shared" ca="1" si="0"/>
        <v>67697316.602368623</v>
      </c>
      <c r="I7" s="9">
        <f ca="1">I8-H7</f>
        <v>35321531.397631377</v>
      </c>
    </row>
    <row r="8" spans="2:9" x14ac:dyDescent="0.35">
      <c r="B8" t="s">
        <v>195</v>
      </c>
      <c r="C8" s="9">
        <f>Calculations!F4</f>
        <v>103018848</v>
      </c>
      <c r="E8" s="27">
        <v>0</v>
      </c>
      <c r="F8" s="27">
        <f>C8</f>
        <v>103018848</v>
      </c>
      <c r="H8" s="9">
        <f t="shared" si="0"/>
        <v>0</v>
      </c>
      <c r="I8" s="9">
        <f>C8</f>
        <v>103018848</v>
      </c>
    </row>
    <row r="10" spans="2:9" x14ac:dyDescent="0.35">
      <c r="B10" t="s">
        <v>150</v>
      </c>
    </row>
    <row r="12" spans="2:9" x14ac:dyDescent="0.35">
      <c r="E12" t="s">
        <v>188</v>
      </c>
      <c r="F12" t="s">
        <v>189</v>
      </c>
      <c r="H12" t="s">
        <v>190</v>
      </c>
      <c r="I12" t="s">
        <v>191</v>
      </c>
    </row>
    <row r="13" spans="2:9" x14ac:dyDescent="0.35">
      <c r="B13" t="s">
        <v>192</v>
      </c>
      <c r="C13">
        <f ca="1">Calculations!H4</f>
        <v>379</v>
      </c>
      <c r="E13">
        <v>0</v>
      </c>
      <c r="F13">
        <f ca="1">C13</f>
        <v>379</v>
      </c>
      <c r="H13">
        <f t="shared" ref="H13:I16" si="2">E13</f>
        <v>0</v>
      </c>
      <c r="I13">
        <f t="shared" ca="1" si="2"/>
        <v>379</v>
      </c>
    </row>
    <row r="14" spans="2:9" x14ac:dyDescent="0.35">
      <c r="B14" t="s">
        <v>193</v>
      </c>
      <c r="C14">
        <f ca="1">INT(Calculations!I4)</f>
        <v>17</v>
      </c>
      <c r="E14">
        <f ca="1">F13</f>
        <v>379</v>
      </c>
      <c r="F14">
        <f ca="1">C14</f>
        <v>17</v>
      </c>
      <c r="H14">
        <f t="shared" ca="1" si="2"/>
        <v>379</v>
      </c>
      <c r="I14">
        <f t="shared" ca="1" si="2"/>
        <v>17</v>
      </c>
    </row>
    <row r="15" spans="2:9" x14ac:dyDescent="0.35">
      <c r="B15" t="s">
        <v>194</v>
      </c>
      <c r="C15">
        <f ca="1">C13+C14-C16</f>
        <v>-199</v>
      </c>
      <c r="E15">
        <f ca="1">E14+F14</f>
        <v>396</v>
      </c>
      <c r="F15">
        <f ca="1">-C15</f>
        <v>199</v>
      </c>
      <c r="H15">
        <f t="shared" ca="1" si="2"/>
        <v>396</v>
      </c>
      <c r="I15">
        <f t="shared" ca="1" si="2"/>
        <v>199</v>
      </c>
    </row>
    <row r="16" spans="2:9" x14ac:dyDescent="0.35">
      <c r="B16" t="s">
        <v>195</v>
      </c>
      <c r="C16">
        <f>Calculations!G4</f>
        <v>595</v>
      </c>
      <c r="E16">
        <v>0</v>
      </c>
      <c r="F16">
        <f>C16</f>
        <v>595</v>
      </c>
      <c r="H16">
        <f t="shared" si="2"/>
        <v>0</v>
      </c>
      <c r="I16">
        <f t="shared" si="2"/>
        <v>595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CAE09-10E2-41CF-A322-F02A9A761477}">
  <dimension ref="B1:I16"/>
  <sheetViews>
    <sheetView topLeftCell="C13" workbookViewId="0"/>
  </sheetViews>
  <sheetFormatPr defaultRowHeight="14.5" x14ac:dyDescent="0.35"/>
  <cols>
    <col min="2" max="2" width="28.453125" bestFit="1" customWidth="1"/>
    <col min="3" max="3" width="12" bestFit="1" customWidth="1"/>
    <col min="5" max="6" width="12" bestFit="1" customWidth="1"/>
    <col min="8" max="8" width="12" bestFit="1" customWidth="1"/>
    <col min="9" max="9" width="12.7265625" bestFit="1" customWidth="1"/>
  </cols>
  <sheetData>
    <row r="1" spans="2:9" x14ac:dyDescent="0.35">
      <c r="C1" t="s">
        <v>162</v>
      </c>
    </row>
    <row r="2" spans="2:9" x14ac:dyDescent="0.35">
      <c r="B2" t="s">
        <v>101</v>
      </c>
    </row>
    <row r="3" spans="2:9" x14ac:dyDescent="0.35">
      <c r="E3" t="s">
        <v>188</v>
      </c>
      <c r="F3" t="s">
        <v>189</v>
      </c>
      <c r="H3" t="s">
        <v>190</v>
      </c>
      <c r="I3" t="s">
        <v>191</v>
      </c>
    </row>
    <row r="4" spans="2:9" x14ac:dyDescent="0.35">
      <c r="B4" t="s">
        <v>171</v>
      </c>
      <c r="C4" s="9">
        <f>Calculations!K6</f>
        <v>-14671768.094382832</v>
      </c>
      <c r="E4" s="27">
        <v>0</v>
      </c>
      <c r="F4" s="27">
        <f>-C4</f>
        <v>14671768.094382832</v>
      </c>
      <c r="H4" s="9">
        <f>E4</f>
        <v>0</v>
      </c>
      <c r="I4" s="9">
        <f>F4</f>
        <v>14671768.094382832</v>
      </c>
    </row>
    <row r="5" spans="2:9" x14ac:dyDescent="0.35">
      <c r="B5" t="s">
        <v>192</v>
      </c>
      <c r="C5" s="9">
        <f ca="1">Calculations!L6</f>
        <v>-16100553.591869725</v>
      </c>
      <c r="E5" s="27">
        <f>F4</f>
        <v>14671768.094382832</v>
      </c>
      <c r="F5" s="27">
        <f ca="1">-C5+E5</f>
        <v>30772321.686252557</v>
      </c>
      <c r="H5" s="9">
        <f>E5</f>
        <v>14671768.094382832</v>
      </c>
      <c r="I5" s="9">
        <f ca="1">-C5</f>
        <v>16100553.591869725</v>
      </c>
    </row>
    <row r="6" spans="2:9" x14ac:dyDescent="0.35">
      <c r="B6" t="s">
        <v>193</v>
      </c>
      <c r="C6" s="9">
        <f ca="1">Calculations!M6</f>
        <v>0</v>
      </c>
      <c r="E6" s="27">
        <f ca="1">F5</f>
        <v>30772321.686252557</v>
      </c>
      <c r="F6" s="27">
        <f ca="1">-C6+E6</f>
        <v>30772321.686252557</v>
      </c>
      <c r="H6" s="9">
        <f t="shared" ref="H6:H8" ca="1" si="0">E6</f>
        <v>30772321.686252557</v>
      </c>
      <c r="I6" s="9">
        <f t="shared" ref="I6" ca="1" si="1">-C6</f>
        <v>0</v>
      </c>
    </row>
    <row r="7" spans="2:9" x14ac:dyDescent="0.35">
      <c r="B7" t="s">
        <v>194</v>
      </c>
      <c r="C7" s="9">
        <f ca="1">SUM(C4:C6)</f>
        <v>-30772321.686252557</v>
      </c>
      <c r="E7" s="27">
        <f ca="1">F6</f>
        <v>30772321.686252557</v>
      </c>
      <c r="F7" s="27">
        <f>F8</f>
        <v>70915007</v>
      </c>
      <c r="H7" s="9">
        <f t="shared" ca="1" si="0"/>
        <v>30772321.686252557</v>
      </c>
      <c r="I7" s="9">
        <f ca="1">I8-H7</f>
        <v>40142685.313747443</v>
      </c>
    </row>
    <row r="8" spans="2:9" x14ac:dyDescent="0.35">
      <c r="B8" t="s">
        <v>195</v>
      </c>
      <c r="C8" s="9">
        <f>Calculations!F6</f>
        <v>70915007</v>
      </c>
      <c r="E8" s="27">
        <v>0</v>
      </c>
      <c r="F8" s="27">
        <f>C8</f>
        <v>70915007</v>
      </c>
      <c r="H8" s="9">
        <f t="shared" si="0"/>
        <v>0</v>
      </c>
      <c r="I8" s="9">
        <f>C8</f>
        <v>70915007</v>
      </c>
    </row>
    <row r="10" spans="2:9" x14ac:dyDescent="0.35">
      <c r="B10" t="s">
        <v>150</v>
      </c>
    </row>
    <row r="12" spans="2:9" x14ac:dyDescent="0.35">
      <c r="E12" t="s">
        <v>188</v>
      </c>
      <c r="F12" t="s">
        <v>189</v>
      </c>
      <c r="H12" t="s">
        <v>190</v>
      </c>
      <c r="I12" t="s">
        <v>191</v>
      </c>
    </row>
    <row r="13" spans="2:9" x14ac:dyDescent="0.35">
      <c r="B13" t="s">
        <v>192</v>
      </c>
      <c r="C13">
        <f ca="1">Calculations!H6</f>
        <v>139</v>
      </c>
      <c r="E13">
        <v>0</v>
      </c>
      <c r="F13">
        <f ca="1">C13</f>
        <v>139</v>
      </c>
      <c r="H13">
        <f t="shared" ref="H13:I16" si="2">E13</f>
        <v>0</v>
      </c>
      <c r="I13">
        <f t="shared" ca="1" si="2"/>
        <v>139</v>
      </c>
    </row>
    <row r="14" spans="2:9" x14ac:dyDescent="0.35">
      <c r="B14" t="s">
        <v>193</v>
      </c>
      <c r="C14">
        <f ca="1">INT(Calculations!I6)</f>
        <v>0</v>
      </c>
      <c r="E14">
        <f ca="1">F13</f>
        <v>139</v>
      </c>
      <c r="F14">
        <f ca="1">C14</f>
        <v>0</v>
      </c>
      <c r="H14">
        <f t="shared" ca="1" si="2"/>
        <v>139</v>
      </c>
      <c r="I14">
        <f t="shared" ca="1" si="2"/>
        <v>0</v>
      </c>
    </row>
    <row r="15" spans="2:9" x14ac:dyDescent="0.35">
      <c r="B15" t="s">
        <v>194</v>
      </c>
      <c r="C15">
        <f ca="1">C13+C14-C16</f>
        <v>-141</v>
      </c>
      <c r="E15">
        <f ca="1">E14+F14</f>
        <v>139</v>
      </c>
      <c r="F15">
        <f ca="1">-C15</f>
        <v>141</v>
      </c>
      <c r="H15">
        <f t="shared" ca="1" si="2"/>
        <v>139</v>
      </c>
      <c r="I15">
        <f t="shared" ca="1" si="2"/>
        <v>141</v>
      </c>
    </row>
    <row r="16" spans="2:9" x14ac:dyDescent="0.35">
      <c r="B16" t="s">
        <v>195</v>
      </c>
      <c r="C16">
        <f>Calculations!G6</f>
        <v>280</v>
      </c>
      <c r="E16">
        <v>0</v>
      </c>
      <c r="F16">
        <f>C16</f>
        <v>280</v>
      </c>
      <c r="H16">
        <f t="shared" si="2"/>
        <v>0</v>
      </c>
      <c r="I16">
        <f t="shared" si="2"/>
        <v>280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868D-2D1B-4D7F-B58F-2BE7CE96B860}">
  <dimension ref="B1:I16"/>
  <sheetViews>
    <sheetView topLeftCell="C1" workbookViewId="0"/>
  </sheetViews>
  <sheetFormatPr defaultRowHeight="14.5" x14ac:dyDescent="0.35"/>
  <cols>
    <col min="2" max="2" width="28.453125" bestFit="1" customWidth="1"/>
    <col min="3" max="3" width="12" bestFit="1" customWidth="1"/>
    <col min="5" max="6" width="12" bestFit="1" customWidth="1"/>
    <col min="8" max="8" width="12" bestFit="1" customWidth="1"/>
    <col min="9" max="9" width="12.7265625" bestFit="1" customWidth="1"/>
  </cols>
  <sheetData>
    <row r="1" spans="2:9" x14ac:dyDescent="0.35">
      <c r="C1" t="s">
        <v>163</v>
      </c>
    </row>
    <row r="2" spans="2:9" x14ac:dyDescent="0.35">
      <c r="B2" t="s">
        <v>101</v>
      </c>
    </row>
    <row r="3" spans="2:9" x14ac:dyDescent="0.35">
      <c r="E3" t="s">
        <v>188</v>
      </c>
      <c r="F3" t="s">
        <v>189</v>
      </c>
      <c r="H3" t="s">
        <v>190</v>
      </c>
      <c r="I3" t="s">
        <v>191</v>
      </c>
    </row>
    <row r="4" spans="2:9" x14ac:dyDescent="0.35">
      <c r="B4" t="s">
        <v>171</v>
      </c>
      <c r="C4" s="9">
        <f>Calculations!K10</f>
        <v>-44528051.175321355</v>
      </c>
      <c r="E4" s="27">
        <v>0</v>
      </c>
      <c r="F4" s="27">
        <f>-C4</f>
        <v>44528051.175321355</v>
      </c>
      <c r="H4" s="9">
        <f>E4</f>
        <v>0</v>
      </c>
      <c r="I4" s="9">
        <f>F4</f>
        <v>44528051.175321355</v>
      </c>
    </row>
    <row r="5" spans="2:9" x14ac:dyDescent="0.35">
      <c r="B5" t="s">
        <v>192</v>
      </c>
      <c r="C5" s="9">
        <f ca="1">Calculations!L10</f>
        <v>-29373105.130010545</v>
      </c>
      <c r="E5" s="27">
        <f>F4</f>
        <v>44528051.175321355</v>
      </c>
      <c r="F5" s="27">
        <f ca="1">-C5+E5</f>
        <v>73901156.305331901</v>
      </c>
      <c r="H5" s="9">
        <f>E5</f>
        <v>44528051.175321355</v>
      </c>
      <c r="I5" s="9">
        <f ca="1">-C5</f>
        <v>29373105.130010545</v>
      </c>
    </row>
    <row r="6" spans="2:9" x14ac:dyDescent="0.35">
      <c r="B6" t="s">
        <v>193</v>
      </c>
      <c r="C6" s="9">
        <f ca="1">Calculations!M10</f>
        <v>-457801.36680684885</v>
      </c>
      <c r="E6" s="27">
        <f ca="1">F5</f>
        <v>73901156.305331901</v>
      </c>
      <c r="F6" s="27">
        <f ca="1">-C6+E6</f>
        <v>74358957.672138751</v>
      </c>
      <c r="H6" s="9">
        <f t="shared" ref="H6:H8" ca="1" si="0">E6</f>
        <v>73901156.305331901</v>
      </c>
      <c r="I6" s="9">
        <f t="shared" ref="I6" ca="1" si="1">-C6</f>
        <v>457801.36680684885</v>
      </c>
    </row>
    <row r="7" spans="2:9" x14ac:dyDescent="0.35">
      <c r="B7" t="s">
        <v>194</v>
      </c>
      <c r="C7" s="9">
        <f ca="1">SUM(C4:C6)</f>
        <v>-74358957.672138751</v>
      </c>
      <c r="E7" s="27">
        <f ca="1">F6</f>
        <v>74358957.672138751</v>
      </c>
      <c r="F7" s="27">
        <f>F8</f>
        <v>113726588</v>
      </c>
      <c r="H7" s="9">
        <f t="shared" ca="1" si="0"/>
        <v>74358957.672138751</v>
      </c>
      <c r="I7" s="9">
        <f ca="1">I8-H7</f>
        <v>39367630.327861249</v>
      </c>
    </row>
    <row r="8" spans="2:9" x14ac:dyDescent="0.35">
      <c r="B8" t="s">
        <v>195</v>
      </c>
      <c r="C8" s="9">
        <f>Calculations!F10</f>
        <v>113726588</v>
      </c>
      <c r="E8" s="27">
        <v>0</v>
      </c>
      <c r="F8" s="27">
        <f>C8</f>
        <v>113726588</v>
      </c>
      <c r="H8" s="9">
        <f t="shared" si="0"/>
        <v>0</v>
      </c>
      <c r="I8" s="9">
        <f>C8</f>
        <v>113726588</v>
      </c>
    </row>
    <row r="10" spans="2:9" x14ac:dyDescent="0.35">
      <c r="B10" t="s">
        <v>150</v>
      </c>
    </row>
    <row r="12" spans="2:9" x14ac:dyDescent="0.35">
      <c r="E12" t="s">
        <v>188</v>
      </c>
      <c r="F12" t="s">
        <v>189</v>
      </c>
      <c r="H12" t="s">
        <v>190</v>
      </c>
      <c r="I12" t="s">
        <v>191</v>
      </c>
    </row>
    <row r="13" spans="2:9" x14ac:dyDescent="0.35">
      <c r="B13" t="s">
        <v>192</v>
      </c>
      <c r="C13">
        <f ca="1">Calculations!H10</f>
        <v>255</v>
      </c>
      <c r="E13">
        <v>0</v>
      </c>
      <c r="F13">
        <f ca="1">C13</f>
        <v>255</v>
      </c>
      <c r="H13">
        <f t="shared" ref="H13:I16" si="2">E13</f>
        <v>0</v>
      </c>
      <c r="I13">
        <f t="shared" ca="1" si="2"/>
        <v>255</v>
      </c>
    </row>
    <row r="14" spans="2:9" x14ac:dyDescent="0.35">
      <c r="B14" t="s">
        <v>193</v>
      </c>
      <c r="C14">
        <f ca="1">INT(Calculations!I10)</f>
        <v>10</v>
      </c>
      <c r="E14">
        <f ca="1">F13</f>
        <v>255</v>
      </c>
      <c r="F14">
        <f ca="1">C14</f>
        <v>10</v>
      </c>
      <c r="H14">
        <f t="shared" ca="1" si="2"/>
        <v>255</v>
      </c>
      <c r="I14">
        <f t="shared" ca="1" si="2"/>
        <v>10</v>
      </c>
    </row>
    <row r="15" spans="2:9" x14ac:dyDescent="0.35">
      <c r="B15" t="s">
        <v>194</v>
      </c>
      <c r="C15">
        <f ca="1">C13+C14-C16</f>
        <v>-143</v>
      </c>
      <c r="E15">
        <f ca="1">E14+F14</f>
        <v>265</v>
      </c>
      <c r="F15">
        <f ca="1">-C15</f>
        <v>143</v>
      </c>
      <c r="H15">
        <f t="shared" ca="1" si="2"/>
        <v>265</v>
      </c>
      <c r="I15">
        <f t="shared" ca="1" si="2"/>
        <v>143</v>
      </c>
    </row>
    <row r="16" spans="2:9" x14ac:dyDescent="0.35">
      <c r="B16" t="s">
        <v>195</v>
      </c>
      <c r="C16">
        <f>Calculations!G10</f>
        <v>408</v>
      </c>
      <c r="E16">
        <v>0</v>
      </c>
      <c r="F16">
        <f>C16</f>
        <v>408</v>
      </c>
      <c r="H16">
        <f t="shared" si="2"/>
        <v>0</v>
      </c>
      <c r="I16">
        <f t="shared" si="2"/>
        <v>408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90C2B-3DFB-4D0A-980C-DD7931CB9E47}">
  <dimension ref="B1:I16"/>
  <sheetViews>
    <sheetView topLeftCell="B1" workbookViewId="0">
      <selection activeCell="T14" sqref="T14"/>
    </sheetView>
  </sheetViews>
  <sheetFormatPr defaultRowHeight="14.5" x14ac:dyDescent="0.35"/>
  <cols>
    <col min="2" max="2" width="28.453125" bestFit="1" customWidth="1"/>
    <col min="3" max="3" width="12.7265625" bestFit="1" customWidth="1"/>
    <col min="5" max="6" width="12" bestFit="1" customWidth="1"/>
    <col min="8" max="8" width="12" bestFit="1" customWidth="1"/>
    <col min="9" max="9" width="12.7265625" bestFit="1" customWidth="1"/>
  </cols>
  <sheetData>
    <row r="1" spans="2:9" x14ac:dyDescent="0.35">
      <c r="C1" t="s">
        <v>164</v>
      </c>
    </row>
    <row r="2" spans="2:9" x14ac:dyDescent="0.35">
      <c r="B2" t="s">
        <v>101</v>
      </c>
    </row>
    <row r="3" spans="2:9" x14ac:dyDescent="0.35">
      <c r="E3" t="s">
        <v>188</v>
      </c>
      <c r="F3" t="s">
        <v>189</v>
      </c>
      <c r="H3" t="s">
        <v>190</v>
      </c>
      <c r="I3" t="s">
        <v>191</v>
      </c>
    </row>
    <row r="4" spans="2:9" x14ac:dyDescent="0.35">
      <c r="B4" t="s">
        <v>171</v>
      </c>
      <c r="C4" s="9">
        <f>Calculations!K11</f>
        <v>-88937123.660000026</v>
      </c>
      <c r="E4" s="27">
        <v>0</v>
      </c>
      <c r="F4" s="27">
        <f>-C4</f>
        <v>88937123.660000026</v>
      </c>
      <c r="H4" s="9">
        <f>E4</f>
        <v>0</v>
      </c>
      <c r="I4" s="9">
        <f>F4</f>
        <v>88937123.660000026</v>
      </c>
    </row>
    <row r="5" spans="2:9" x14ac:dyDescent="0.35">
      <c r="B5" t="s">
        <v>192</v>
      </c>
      <c r="C5" s="9">
        <f ca="1">Calculations!L11</f>
        <v>-73444450.739999995</v>
      </c>
      <c r="E5" s="27">
        <f>F4</f>
        <v>88937123.660000026</v>
      </c>
      <c r="F5" s="27">
        <f ca="1">-C5+E5</f>
        <v>162381574.40000004</v>
      </c>
      <c r="H5" s="9">
        <f>E5</f>
        <v>88937123.660000026</v>
      </c>
      <c r="I5" s="9">
        <f ca="1">-C5</f>
        <v>73444450.739999995</v>
      </c>
    </row>
    <row r="6" spans="2:9" x14ac:dyDescent="0.35">
      <c r="B6" t="s">
        <v>193</v>
      </c>
      <c r="C6" s="9">
        <f ca="1">Calculations!M11</f>
        <v>-5630466.0469617965</v>
      </c>
      <c r="E6" s="27">
        <f ca="1">F5</f>
        <v>162381574.40000004</v>
      </c>
      <c r="F6" s="27">
        <f ca="1">-C6+E6</f>
        <v>168012040.44696182</v>
      </c>
      <c r="H6" s="9">
        <f t="shared" ref="H6:H8" ca="1" si="0">E6</f>
        <v>162381574.40000004</v>
      </c>
      <c r="I6" s="9">
        <f t="shared" ref="I6" ca="1" si="1">-C6</f>
        <v>5630466.0469617965</v>
      </c>
    </row>
    <row r="7" spans="2:9" x14ac:dyDescent="0.35">
      <c r="B7" t="s">
        <v>194</v>
      </c>
      <c r="C7" s="9">
        <f ca="1">SUM(C4:C6)</f>
        <v>-168012040.44696182</v>
      </c>
      <c r="E7" s="27">
        <f ca="1">F6</f>
        <v>168012040.44696182</v>
      </c>
      <c r="F7" s="27">
        <f>F8</f>
        <v>199243565</v>
      </c>
      <c r="H7" s="9">
        <f t="shared" ca="1" si="0"/>
        <v>168012040.44696182</v>
      </c>
      <c r="I7" s="9">
        <f ca="1">I8-H7</f>
        <v>31231524.55303818</v>
      </c>
    </row>
    <row r="8" spans="2:9" x14ac:dyDescent="0.35">
      <c r="B8" t="s">
        <v>195</v>
      </c>
      <c r="C8" s="9">
        <f>Calculations!F11</f>
        <v>199243565</v>
      </c>
      <c r="E8" s="27">
        <v>0</v>
      </c>
      <c r="F8" s="27">
        <f>C8</f>
        <v>199243565</v>
      </c>
      <c r="H8" s="9">
        <f t="shared" si="0"/>
        <v>0</v>
      </c>
      <c r="I8" s="9">
        <f>C8</f>
        <v>199243565</v>
      </c>
    </row>
    <row r="10" spans="2:9" x14ac:dyDescent="0.35">
      <c r="B10" t="s">
        <v>150</v>
      </c>
    </row>
    <row r="12" spans="2:9" x14ac:dyDescent="0.35">
      <c r="E12" t="s">
        <v>188</v>
      </c>
      <c r="F12" t="s">
        <v>189</v>
      </c>
      <c r="H12" t="s">
        <v>190</v>
      </c>
      <c r="I12" t="s">
        <v>191</v>
      </c>
    </row>
    <row r="13" spans="2:9" x14ac:dyDescent="0.35">
      <c r="B13" t="s">
        <v>192</v>
      </c>
      <c r="C13">
        <f ca="1">Calculations!H11</f>
        <v>1057</v>
      </c>
      <c r="E13">
        <v>0</v>
      </c>
      <c r="F13">
        <f ca="1">C13</f>
        <v>1057</v>
      </c>
      <c r="H13">
        <f t="shared" ref="H13:I16" si="2">E13</f>
        <v>0</v>
      </c>
      <c r="I13">
        <f t="shared" ca="1" si="2"/>
        <v>1057</v>
      </c>
    </row>
    <row r="14" spans="2:9" x14ac:dyDescent="0.35">
      <c r="B14" t="s">
        <v>193</v>
      </c>
      <c r="C14">
        <f ca="1">INT(Calculations!I11)</f>
        <v>152</v>
      </c>
      <c r="E14">
        <f ca="1">F13</f>
        <v>1057</v>
      </c>
      <c r="F14">
        <f ca="1">C14</f>
        <v>152</v>
      </c>
      <c r="H14">
        <f t="shared" ca="1" si="2"/>
        <v>1057</v>
      </c>
      <c r="I14">
        <f t="shared" ca="1" si="2"/>
        <v>152</v>
      </c>
    </row>
    <row r="15" spans="2:9" x14ac:dyDescent="0.35">
      <c r="B15" t="s">
        <v>194</v>
      </c>
      <c r="C15">
        <f ca="1">C13+C14-C16</f>
        <v>-262</v>
      </c>
      <c r="E15">
        <f ca="1">E14+F14</f>
        <v>1209</v>
      </c>
      <c r="F15">
        <f ca="1">-C15</f>
        <v>262</v>
      </c>
      <c r="H15">
        <f t="shared" ca="1" si="2"/>
        <v>1209</v>
      </c>
      <c r="I15">
        <f t="shared" ca="1" si="2"/>
        <v>262</v>
      </c>
    </row>
    <row r="16" spans="2:9" x14ac:dyDescent="0.35">
      <c r="B16" t="s">
        <v>195</v>
      </c>
      <c r="C16">
        <f>Calculations!G11</f>
        <v>1471</v>
      </c>
      <c r="E16">
        <v>0</v>
      </c>
      <c r="F16">
        <f>C16</f>
        <v>1471</v>
      </c>
      <c r="H16">
        <f t="shared" si="2"/>
        <v>0</v>
      </c>
      <c r="I16">
        <f t="shared" si="2"/>
        <v>1471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F945-E69A-4B89-99E1-A9F86EDD85DB}">
  <dimension ref="B1:I16"/>
  <sheetViews>
    <sheetView topLeftCell="C1" workbookViewId="0"/>
  </sheetViews>
  <sheetFormatPr defaultRowHeight="14.5" x14ac:dyDescent="0.35"/>
  <cols>
    <col min="2" max="2" width="28.453125" bestFit="1" customWidth="1"/>
    <col min="3" max="3" width="12.7265625" bestFit="1" customWidth="1"/>
    <col min="5" max="6" width="12" bestFit="1" customWidth="1"/>
    <col min="8" max="8" width="12" bestFit="1" customWidth="1"/>
    <col min="9" max="9" width="12.7265625" bestFit="1" customWidth="1"/>
  </cols>
  <sheetData>
    <row r="1" spans="2:9" x14ac:dyDescent="0.35">
      <c r="C1" t="s">
        <v>165</v>
      </c>
    </row>
    <row r="2" spans="2:9" x14ac:dyDescent="0.35">
      <c r="B2" t="s">
        <v>101</v>
      </c>
    </row>
    <row r="3" spans="2:9" x14ac:dyDescent="0.35">
      <c r="E3" t="s">
        <v>188</v>
      </c>
      <c r="F3" t="s">
        <v>189</v>
      </c>
      <c r="H3" t="s">
        <v>190</v>
      </c>
      <c r="I3" t="s">
        <v>191</v>
      </c>
    </row>
    <row r="4" spans="2:9" x14ac:dyDescent="0.35">
      <c r="B4" t="s">
        <v>171</v>
      </c>
      <c r="C4" s="9">
        <f>Calculations!K12</f>
        <v>-13748320.859999998</v>
      </c>
      <c r="E4" s="27">
        <v>0</v>
      </c>
      <c r="F4" s="27">
        <f>-C4</f>
        <v>13748320.859999998</v>
      </c>
      <c r="H4" s="9">
        <f>E4</f>
        <v>0</v>
      </c>
      <c r="I4" s="9">
        <f>F4</f>
        <v>13748320.859999998</v>
      </c>
    </row>
    <row r="5" spans="2:9" x14ac:dyDescent="0.35">
      <c r="B5" t="s">
        <v>192</v>
      </c>
      <c r="C5" s="9">
        <f ca="1">Calculations!L12</f>
        <v>-13538863.919999998</v>
      </c>
      <c r="E5" s="27">
        <f>F4</f>
        <v>13748320.859999998</v>
      </c>
      <c r="F5" s="27">
        <f ca="1">-C5+E5</f>
        <v>27287184.779999994</v>
      </c>
      <c r="H5" s="9">
        <f>E5</f>
        <v>13748320.859999998</v>
      </c>
      <c r="I5" s="9">
        <f ca="1">-C5</f>
        <v>13538863.919999998</v>
      </c>
    </row>
    <row r="6" spans="2:9" x14ac:dyDescent="0.35">
      <c r="B6" t="s">
        <v>193</v>
      </c>
      <c r="C6" s="9">
        <f ca="1">Calculations!M12</f>
        <v>-1083139.3473530849</v>
      </c>
      <c r="E6" s="27">
        <f ca="1">F5</f>
        <v>27287184.779999994</v>
      </c>
      <c r="F6" s="27">
        <f ca="1">-C6+E6</f>
        <v>28370324.12735308</v>
      </c>
      <c r="H6" s="9">
        <f t="shared" ref="H6:H8" ca="1" si="0">E6</f>
        <v>27287184.779999994</v>
      </c>
      <c r="I6" s="9">
        <f t="shared" ref="I6" ca="1" si="1">-C6</f>
        <v>1083139.3473530849</v>
      </c>
    </row>
    <row r="7" spans="2:9" x14ac:dyDescent="0.35">
      <c r="B7" t="s">
        <v>194</v>
      </c>
      <c r="C7" s="9">
        <f ca="1">SUM(C4:C6)</f>
        <v>-28370324.12735308</v>
      </c>
      <c r="E7" s="27">
        <f ca="1">F6</f>
        <v>28370324.12735308</v>
      </c>
      <c r="F7" s="27">
        <f>F8</f>
        <v>24454461</v>
      </c>
      <c r="H7" s="9">
        <f t="shared" ca="1" si="0"/>
        <v>28370324.12735308</v>
      </c>
      <c r="I7" s="9">
        <f ca="1">I8-H7</f>
        <v>-3915863.1273530796</v>
      </c>
    </row>
    <row r="8" spans="2:9" x14ac:dyDescent="0.35">
      <c r="B8" t="s">
        <v>195</v>
      </c>
      <c r="C8" s="9">
        <f>Calculations!F12</f>
        <v>24454461</v>
      </c>
      <c r="E8" s="27">
        <v>0</v>
      </c>
      <c r="F8" s="27">
        <f>C8</f>
        <v>24454461</v>
      </c>
      <c r="H8" s="9">
        <f t="shared" si="0"/>
        <v>0</v>
      </c>
      <c r="I8" s="9">
        <f>C8</f>
        <v>24454461</v>
      </c>
    </row>
    <row r="10" spans="2:9" x14ac:dyDescent="0.35">
      <c r="B10" t="s">
        <v>150</v>
      </c>
    </row>
    <row r="12" spans="2:9" x14ac:dyDescent="0.35">
      <c r="E12" t="s">
        <v>188</v>
      </c>
      <c r="F12" t="s">
        <v>189</v>
      </c>
      <c r="H12" t="s">
        <v>190</v>
      </c>
      <c r="I12" t="s">
        <v>191</v>
      </c>
    </row>
    <row r="13" spans="2:9" x14ac:dyDescent="0.35">
      <c r="B13" t="s">
        <v>192</v>
      </c>
      <c r="C13">
        <f ca="1">Calculations!H12</f>
        <v>161</v>
      </c>
      <c r="E13">
        <v>0</v>
      </c>
      <c r="F13">
        <f ca="1">C13</f>
        <v>161</v>
      </c>
      <c r="H13">
        <f t="shared" ref="H13:I16" si="2">E13</f>
        <v>0</v>
      </c>
      <c r="I13">
        <f t="shared" ca="1" si="2"/>
        <v>161</v>
      </c>
    </row>
    <row r="14" spans="2:9" x14ac:dyDescent="0.35">
      <c r="B14" t="s">
        <v>193</v>
      </c>
      <c r="C14">
        <f ca="1">INT(Calculations!I12)</f>
        <v>19</v>
      </c>
      <c r="E14">
        <f ca="1">F13</f>
        <v>161</v>
      </c>
      <c r="F14">
        <f ca="1">C14</f>
        <v>19</v>
      </c>
      <c r="H14">
        <f t="shared" ca="1" si="2"/>
        <v>161</v>
      </c>
      <c r="I14">
        <f t="shared" ca="1" si="2"/>
        <v>19</v>
      </c>
    </row>
    <row r="15" spans="2:9" x14ac:dyDescent="0.35">
      <c r="B15" t="s">
        <v>194</v>
      </c>
      <c r="C15">
        <f ca="1">C13+C14-C16</f>
        <v>1</v>
      </c>
      <c r="E15">
        <f ca="1">E14+F14</f>
        <v>180</v>
      </c>
      <c r="F15">
        <f ca="1">-C15</f>
        <v>-1</v>
      </c>
      <c r="H15">
        <f t="shared" ca="1" si="2"/>
        <v>180</v>
      </c>
      <c r="I15">
        <f t="shared" ca="1" si="2"/>
        <v>-1</v>
      </c>
    </row>
    <row r="16" spans="2:9" x14ac:dyDescent="0.35">
      <c r="B16" t="s">
        <v>195</v>
      </c>
      <c r="C16">
        <f>Calculations!G12</f>
        <v>179</v>
      </c>
      <c r="E16">
        <v>0</v>
      </c>
      <c r="F16">
        <f>C16</f>
        <v>179</v>
      </c>
      <c r="H16">
        <f t="shared" si="2"/>
        <v>0</v>
      </c>
      <c r="I16">
        <f t="shared" si="2"/>
        <v>179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105D-4FA7-4017-BB42-10E683FF9A18}">
  <dimension ref="B1:I16"/>
  <sheetViews>
    <sheetView topLeftCell="C1" workbookViewId="0">
      <selection activeCell="U17" sqref="U17"/>
    </sheetView>
  </sheetViews>
  <sheetFormatPr defaultRowHeight="14.5" x14ac:dyDescent="0.35"/>
  <cols>
    <col min="2" max="2" width="28.453125" bestFit="1" customWidth="1"/>
    <col min="3" max="3" width="12.7265625" bestFit="1" customWidth="1"/>
    <col min="5" max="6" width="12" bestFit="1" customWidth="1"/>
    <col min="8" max="8" width="12" bestFit="1" customWidth="1"/>
    <col min="9" max="9" width="12.7265625" bestFit="1" customWidth="1"/>
  </cols>
  <sheetData>
    <row r="1" spans="2:9" x14ac:dyDescent="0.35">
      <c r="C1" s="21" t="s">
        <v>111</v>
      </c>
    </row>
    <row r="2" spans="2:9" x14ac:dyDescent="0.35">
      <c r="B2" t="s">
        <v>101</v>
      </c>
    </row>
    <row r="3" spans="2:9" x14ac:dyDescent="0.35">
      <c r="E3" t="s">
        <v>188</v>
      </c>
      <c r="F3" t="s">
        <v>189</v>
      </c>
      <c r="H3" t="s">
        <v>190</v>
      </c>
      <c r="I3" t="s">
        <v>191</v>
      </c>
    </row>
    <row r="4" spans="2:9" x14ac:dyDescent="0.35">
      <c r="B4" t="s">
        <v>171</v>
      </c>
      <c r="C4" s="9">
        <f>Calculations!K14</f>
        <v>-89936593.436197951</v>
      </c>
      <c r="E4" s="27">
        <v>0</v>
      </c>
      <c r="F4" s="27">
        <f>-C4</f>
        <v>89936593.436197951</v>
      </c>
      <c r="H4" s="9">
        <f>E4</f>
        <v>0</v>
      </c>
      <c r="I4" s="9">
        <f>F4</f>
        <v>89936593.436197951</v>
      </c>
    </row>
    <row r="5" spans="2:9" x14ac:dyDescent="0.35">
      <c r="B5" t="s">
        <v>192</v>
      </c>
      <c r="C5" s="9">
        <f ca="1">Calculations!L14</f>
        <v>-72840659.110000014</v>
      </c>
      <c r="E5" s="27">
        <f>F4</f>
        <v>89936593.436197951</v>
      </c>
      <c r="F5" s="27">
        <f ca="1">-C5+E5</f>
        <v>162777252.54619795</v>
      </c>
      <c r="H5" s="9">
        <f>E5</f>
        <v>89936593.436197951</v>
      </c>
      <c r="I5" s="9">
        <f ca="1">-C5</f>
        <v>72840659.110000014</v>
      </c>
    </row>
    <row r="6" spans="2:9" x14ac:dyDescent="0.35">
      <c r="B6" t="s">
        <v>193</v>
      </c>
      <c r="C6" s="9">
        <f ca="1">Calculations!M14</f>
        <v>-2425311.6886901734</v>
      </c>
      <c r="E6" s="27">
        <f ca="1">F5</f>
        <v>162777252.54619795</v>
      </c>
      <c r="F6" s="27">
        <f ca="1">-C6+E6</f>
        <v>165202564.23488814</v>
      </c>
      <c r="H6" s="9">
        <f t="shared" ref="H6:H8" ca="1" si="0">E6</f>
        <v>162777252.54619795</v>
      </c>
      <c r="I6" s="9">
        <f t="shared" ref="I6" ca="1" si="1">-C6</f>
        <v>2425311.6886901734</v>
      </c>
    </row>
    <row r="7" spans="2:9" x14ac:dyDescent="0.35">
      <c r="B7" t="s">
        <v>194</v>
      </c>
      <c r="C7" s="9">
        <f ca="1">SUM(C4:C6)</f>
        <v>-165202564.23488814</v>
      </c>
      <c r="E7" s="27">
        <f ca="1">F6</f>
        <v>165202564.23488814</v>
      </c>
      <c r="F7" s="27">
        <f>F8</f>
        <v>170565897</v>
      </c>
      <c r="H7" s="9">
        <f t="shared" ca="1" si="0"/>
        <v>165202564.23488814</v>
      </c>
      <c r="I7" s="9">
        <f ca="1">I8-H7</f>
        <v>5363332.7651118636</v>
      </c>
    </row>
    <row r="8" spans="2:9" x14ac:dyDescent="0.35">
      <c r="B8" t="s">
        <v>195</v>
      </c>
      <c r="C8" s="9">
        <f>Calculations!F14</f>
        <v>170565897</v>
      </c>
      <c r="E8" s="27">
        <v>0</v>
      </c>
      <c r="F8" s="27">
        <f>C8</f>
        <v>170565897</v>
      </c>
      <c r="H8" s="9">
        <f t="shared" si="0"/>
        <v>0</v>
      </c>
      <c r="I8" s="9">
        <f>C8</f>
        <v>170565897</v>
      </c>
    </row>
    <row r="10" spans="2:9" x14ac:dyDescent="0.35">
      <c r="B10" t="s">
        <v>150</v>
      </c>
    </row>
    <row r="12" spans="2:9" x14ac:dyDescent="0.35">
      <c r="E12" t="s">
        <v>188</v>
      </c>
      <c r="F12" t="s">
        <v>189</v>
      </c>
      <c r="H12" t="s">
        <v>190</v>
      </c>
      <c r="I12" t="s">
        <v>191</v>
      </c>
    </row>
    <row r="13" spans="2:9" x14ac:dyDescent="0.35">
      <c r="B13" t="s">
        <v>192</v>
      </c>
      <c r="C13">
        <f ca="1">Calculations!H14</f>
        <v>692</v>
      </c>
      <c r="E13">
        <v>0</v>
      </c>
      <c r="F13">
        <f ca="1">C13</f>
        <v>692</v>
      </c>
      <c r="H13">
        <f t="shared" ref="H13:I16" si="2">E13</f>
        <v>0</v>
      </c>
      <c r="I13">
        <f t="shared" ca="1" si="2"/>
        <v>692</v>
      </c>
    </row>
    <row r="14" spans="2:9" x14ac:dyDescent="0.35">
      <c r="B14" t="s">
        <v>193</v>
      </c>
      <c r="C14">
        <f ca="1">INT(Calculations!I14)</f>
        <v>46</v>
      </c>
      <c r="E14">
        <f ca="1">F13</f>
        <v>692</v>
      </c>
      <c r="F14">
        <f ca="1">C14</f>
        <v>46</v>
      </c>
      <c r="H14">
        <f t="shared" ca="1" si="2"/>
        <v>692</v>
      </c>
      <c r="I14">
        <f t="shared" ca="1" si="2"/>
        <v>46</v>
      </c>
    </row>
    <row r="15" spans="2:9" x14ac:dyDescent="0.35">
      <c r="B15" t="s">
        <v>194</v>
      </c>
      <c r="C15">
        <f ca="1">C13+C14-C16</f>
        <v>69</v>
      </c>
      <c r="E15">
        <f ca="1">E14+F14</f>
        <v>738</v>
      </c>
      <c r="F15">
        <f ca="1">-C15</f>
        <v>-69</v>
      </c>
      <c r="H15">
        <f t="shared" ca="1" si="2"/>
        <v>738</v>
      </c>
      <c r="I15">
        <f t="shared" ca="1" si="2"/>
        <v>-69</v>
      </c>
    </row>
    <row r="16" spans="2:9" x14ac:dyDescent="0.35">
      <c r="B16" t="s">
        <v>195</v>
      </c>
      <c r="C16">
        <f>Calculations!G14</f>
        <v>669</v>
      </c>
      <c r="E16">
        <v>0</v>
      </c>
      <c r="F16">
        <f>C16</f>
        <v>669</v>
      </c>
      <c r="H16">
        <f t="shared" si="2"/>
        <v>0</v>
      </c>
      <c r="I16">
        <f t="shared" si="2"/>
        <v>669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86C4-35B4-413C-9EF3-11D9A7DF5CFD}">
  <dimension ref="B1:I16"/>
  <sheetViews>
    <sheetView topLeftCell="B1" workbookViewId="0">
      <selection activeCell="U9" sqref="U9"/>
    </sheetView>
  </sheetViews>
  <sheetFormatPr defaultRowHeight="14.5" x14ac:dyDescent="0.35"/>
  <cols>
    <col min="2" max="2" width="28.453125" bestFit="1" customWidth="1"/>
    <col min="3" max="3" width="13.54296875" bestFit="1" customWidth="1"/>
    <col min="5" max="6" width="13.26953125" bestFit="1" customWidth="1"/>
    <col min="8" max="8" width="12" bestFit="1" customWidth="1"/>
    <col min="9" max="9" width="12.7265625" bestFit="1" customWidth="1"/>
  </cols>
  <sheetData>
    <row r="1" spans="2:9" x14ac:dyDescent="0.35">
      <c r="C1" s="21" t="s">
        <v>112</v>
      </c>
    </row>
    <row r="2" spans="2:9" x14ac:dyDescent="0.35">
      <c r="B2" t="s">
        <v>101</v>
      </c>
    </row>
    <row r="3" spans="2:9" x14ac:dyDescent="0.35">
      <c r="E3" t="s">
        <v>188</v>
      </c>
      <c r="F3" t="s">
        <v>189</v>
      </c>
      <c r="H3" t="s">
        <v>190</v>
      </c>
      <c r="I3" t="s">
        <v>191</v>
      </c>
    </row>
    <row r="4" spans="2:9" x14ac:dyDescent="0.35">
      <c r="B4" t="s">
        <v>171</v>
      </c>
      <c r="C4" s="9">
        <f>Calculations!K16</f>
        <v>-223627255.27147406</v>
      </c>
      <c r="E4" s="27">
        <v>0</v>
      </c>
      <c r="F4" s="27">
        <f>-C4</f>
        <v>223627255.27147406</v>
      </c>
      <c r="H4" s="9">
        <f>E4</f>
        <v>0</v>
      </c>
      <c r="I4" s="9">
        <f>F4</f>
        <v>223627255.27147406</v>
      </c>
    </row>
    <row r="5" spans="2:9" x14ac:dyDescent="0.35">
      <c r="B5" t="s">
        <v>192</v>
      </c>
      <c r="C5" s="9">
        <f ca="1">Calculations!L16</f>
        <v>-151485201.13999999</v>
      </c>
      <c r="E5" s="27">
        <f>F4</f>
        <v>223627255.27147406</v>
      </c>
      <c r="F5" s="27">
        <f ca="1">-C5+E5</f>
        <v>375112456.41147405</v>
      </c>
      <c r="H5" s="9">
        <f>E5</f>
        <v>223627255.27147406</v>
      </c>
      <c r="I5" s="9">
        <f ca="1">-C5</f>
        <v>151485201.13999999</v>
      </c>
    </row>
    <row r="6" spans="2:9" x14ac:dyDescent="0.35">
      <c r="B6" t="s">
        <v>193</v>
      </c>
      <c r="C6" s="9">
        <f ca="1">Calculations!M16</f>
        <v>-11897149.023420798</v>
      </c>
      <c r="E6" s="27">
        <f ca="1">F5</f>
        <v>375112456.41147405</v>
      </c>
      <c r="F6" s="27">
        <f ca="1">-C6+E6</f>
        <v>387009605.43489486</v>
      </c>
      <c r="H6" s="9">
        <f t="shared" ref="H6:H8" ca="1" si="0">E6</f>
        <v>375112456.41147405</v>
      </c>
      <c r="I6" s="9">
        <f t="shared" ref="I6" ca="1" si="1">-C6</f>
        <v>11897149.023420798</v>
      </c>
    </row>
    <row r="7" spans="2:9" x14ac:dyDescent="0.35">
      <c r="B7" t="s">
        <v>194</v>
      </c>
      <c r="C7" s="9">
        <f ca="1">SUM(C4:C6)</f>
        <v>-387009605.43489486</v>
      </c>
      <c r="E7" s="27">
        <f ca="1">F6</f>
        <v>387009605.43489486</v>
      </c>
      <c r="F7" s="27">
        <f>F8</f>
        <v>424111943</v>
      </c>
      <c r="H7" s="9">
        <f t="shared" ca="1" si="0"/>
        <v>387009605.43489486</v>
      </c>
      <c r="I7" s="9">
        <f ca="1">I8-H7</f>
        <v>37102337.56510514</v>
      </c>
    </row>
    <row r="8" spans="2:9" x14ac:dyDescent="0.35">
      <c r="B8" t="s">
        <v>195</v>
      </c>
      <c r="C8" s="9">
        <f>Calculations!F16</f>
        <v>424111943</v>
      </c>
      <c r="E8" s="27">
        <v>0</v>
      </c>
      <c r="F8" s="27">
        <f>C8</f>
        <v>424111943</v>
      </c>
      <c r="H8" s="9">
        <f t="shared" si="0"/>
        <v>0</v>
      </c>
      <c r="I8" s="9">
        <f>C8</f>
        <v>424111943</v>
      </c>
    </row>
    <row r="10" spans="2:9" x14ac:dyDescent="0.35">
      <c r="B10" t="s">
        <v>150</v>
      </c>
    </row>
    <row r="12" spans="2:9" x14ac:dyDescent="0.35">
      <c r="E12" t="s">
        <v>188</v>
      </c>
      <c r="F12" t="s">
        <v>189</v>
      </c>
      <c r="H12" t="s">
        <v>190</v>
      </c>
      <c r="I12" t="s">
        <v>191</v>
      </c>
    </row>
    <row r="13" spans="2:9" x14ac:dyDescent="0.35">
      <c r="B13" t="s">
        <v>192</v>
      </c>
      <c r="C13">
        <f ca="1">Calculations!H16</f>
        <v>2425</v>
      </c>
      <c r="E13">
        <v>0</v>
      </c>
      <c r="F13">
        <f ca="1">C13</f>
        <v>2425</v>
      </c>
      <c r="H13">
        <f t="shared" ref="H13:I16" si="2">E13</f>
        <v>0</v>
      </c>
      <c r="I13">
        <f t="shared" ca="1" si="2"/>
        <v>2425</v>
      </c>
    </row>
    <row r="14" spans="2:9" x14ac:dyDescent="0.35">
      <c r="B14" t="s">
        <v>193</v>
      </c>
      <c r="C14">
        <f ca="1">INT(Calculations!I16)</f>
        <v>347</v>
      </c>
      <c r="E14">
        <f ca="1">F13</f>
        <v>2425</v>
      </c>
      <c r="F14">
        <f ca="1">C14</f>
        <v>347</v>
      </c>
      <c r="H14">
        <f t="shared" ca="1" si="2"/>
        <v>2425</v>
      </c>
      <c r="I14">
        <f t="shared" ca="1" si="2"/>
        <v>347</v>
      </c>
    </row>
    <row r="15" spans="2:9" x14ac:dyDescent="0.35">
      <c r="B15" t="s">
        <v>194</v>
      </c>
      <c r="C15">
        <f ca="1">C13+C14-C16</f>
        <v>-792</v>
      </c>
      <c r="E15">
        <f ca="1">E14+F14</f>
        <v>2772</v>
      </c>
      <c r="F15">
        <f ca="1">-C15</f>
        <v>792</v>
      </c>
      <c r="H15">
        <f t="shared" ca="1" si="2"/>
        <v>2772</v>
      </c>
      <c r="I15">
        <f t="shared" ca="1" si="2"/>
        <v>792</v>
      </c>
    </row>
    <row r="16" spans="2:9" x14ac:dyDescent="0.35">
      <c r="B16" t="s">
        <v>195</v>
      </c>
      <c r="C16">
        <f>Calculations!G16</f>
        <v>3564</v>
      </c>
      <c r="E16">
        <v>0</v>
      </c>
      <c r="F16">
        <f>C16</f>
        <v>3564</v>
      </c>
      <c r="H16">
        <f t="shared" si="2"/>
        <v>0</v>
      </c>
      <c r="I16">
        <f t="shared" si="2"/>
        <v>3564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8886-2087-493E-852D-918E391BA676}">
  <dimension ref="B1:I16"/>
  <sheetViews>
    <sheetView topLeftCell="D1" workbookViewId="0">
      <selection activeCell="L12" sqref="L12"/>
    </sheetView>
  </sheetViews>
  <sheetFormatPr defaultRowHeight="14.5" x14ac:dyDescent="0.35"/>
  <cols>
    <col min="2" max="2" width="28.453125" bestFit="1" customWidth="1"/>
    <col min="3" max="3" width="14.26953125" bestFit="1" customWidth="1"/>
    <col min="5" max="6" width="13.54296875" bestFit="1" customWidth="1"/>
    <col min="8" max="9" width="13.54296875" bestFit="1" customWidth="1"/>
  </cols>
  <sheetData>
    <row r="1" spans="2:9" x14ac:dyDescent="0.35">
      <c r="C1" s="21" t="s">
        <v>109</v>
      </c>
    </row>
    <row r="2" spans="2:9" x14ac:dyDescent="0.35">
      <c r="B2" t="s">
        <v>101</v>
      </c>
    </row>
    <row r="3" spans="2:9" x14ac:dyDescent="0.35">
      <c r="E3" t="s">
        <v>188</v>
      </c>
      <c r="F3" t="s">
        <v>189</v>
      </c>
      <c r="H3" t="s">
        <v>190</v>
      </c>
      <c r="I3" t="s">
        <v>191</v>
      </c>
    </row>
    <row r="4" spans="2:9" x14ac:dyDescent="0.35">
      <c r="B4" t="s">
        <v>171</v>
      </c>
      <c r="C4" s="9">
        <f>Calculations!K15</f>
        <v>-670058483.71829188</v>
      </c>
      <c r="E4" s="27">
        <v>0</v>
      </c>
      <c r="F4" s="27">
        <f>-C4</f>
        <v>670058483.71829188</v>
      </c>
      <c r="H4" s="9">
        <f>E4</f>
        <v>0</v>
      </c>
      <c r="I4" s="9">
        <f>F4</f>
        <v>670058483.71829188</v>
      </c>
    </row>
    <row r="5" spans="2:9" x14ac:dyDescent="0.35">
      <c r="B5" t="s">
        <v>192</v>
      </c>
      <c r="C5" s="9">
        <f ca="1">Calculations!L15</f>
        <v>-460929960.98000002</v>
      </c>
      <c r="E5" s="27">
        <f>F4</f>
        <v>670058483.71829188</v>
      </c>
      <c r="F5" s="27">
        <f ca="1">-C5+E5</f>
        <v>1130988444.6982918</v>
      </c>
      <c r="H5" s="9">
        <f>E5</f>
        <v>670058483.71829188</v>
      </c>
      <c r="I5" s="9">
        <f ca="1">-C5</f>
        <v>460929960.98000002</v>
      </c>
    </row>
    <row r="6" spans="2:9" x14ac:dyDescent="0.35">
      <c r="B6" t="s">
        <v>193</v>
      </c>
      <c r="C6" s="9">
        <f ca="1">Calculations!M15</f>
        <v>-31328545.000713639</v>
      </c>
      <c r="E6" s="27">
        <f ca="1">F5</f>
        <v>1130988444.6982918</v>
      </c>
      <c r="F6" s="27">
        <f ca="1">-C6+E6</f>
        <v>1162316989.6990054</v>
      </c>
      <c r="H6" s="9">
        <f t="shared" ref="H6:H8" ca="1" si="0">E6</f>
        <v>1130988444.6982918</v>
      </c>
      <c r="I6" s="9">
        <f t="shared" ref="I6" ca="1" si="1">-C6</f>
        <v>31328545.000713639</v>
      </c>
    </row>
    <row r="7" spans="2:9" x14ac:dyDescent="0.35">
      <c r="B7" t="s">
        <v>194</v>
      </c>
      <c r="C7" s="9">
        <f ca="1">SUM(C4:C6)</f>
        <v>-1162316989.6990054</v>
      </c>
      <c r="E7" s="27">
        <f ca="1">F6</f>
        <v>1162316989.6990054</v>
      </c>
      <c r="F7" s="27">
        <f>F8</f>
        <v>1270774464</v>
      </c>
      <c r="H7" s="9">
        <f t="shared" ca="1" si="0"/>
        <v>1162316989.6990054</v>
      </c>
      <c r="I7" s="9">
        <f ca="1">I8-H7</f>
        <v>108457474.30099463</v>
      </c>
    </row>
    <row r="8" spans="2:9" x14ac:dyDescent="0.35">
      <c r="B8" t="s">
        <v>195</v>
      </c>
      <c r="C8" s="9">
        <f>Calculations!F15</f>
        <v>1270774464</v>
      </c>
      <c r="E8" s="27">
        <v>0</v>
      </c>
      <c r="F8" s="27">
        <f>C8</f>
        <v>1270774464</v>
      </c>
      <c r="H8" s="9">
        <f t="shared" si="0"/>
        <v>0</v>
      </c>
      <c r="I8" s="9">
        <f>C8</f>
        <v>1270774464</v>
      </c>
    </row>
    <row r="10" spans="2:9" x14ac:dyDescent="0.35">
      <c r="B10" t="s">
        <v>150</v>
      </c>
    </row>
    <row r="12" spans="2:9" x14ac:dyDescent="0.35">
      <c r="E12" t="s">
        <v>188</v>
      </c>
      <c r="F12" t="s">
        <v>189</v>
      </c>
      <c r="H12" t="s">
        <v>190</v>
      </c>
      <c r="I12" t="s">
        <v>191</v>
      </c>
    </row>
    <row r="13" spans="2:9" x14ac:dyDescent="0.35">
      <c r="B13" t="s">
        <v>192</v>
      </c>
      <c r="C13">
        <f ca="1">Calculations!H15</f>
        <v>7679</v>
      </c>
      <c r="E13">
        <v>0</v>
      </c>
      <c r="F13">
        <f ca="1">C13</f>
        <v>7679</v>
      </c>
      <c r="H13">
        <f t="shared" ref="H13:I16" si="2">E13</f>
        <v>0</v>
      </c>
      <c r="I13">
        <f t="shared" ca="1" si="2"/>
        <v>7679</v>
      </c>
    </row>
    <row r="14" spans="2:9" x14ac:dyDescent="0.35">
      <c r="B14" t="s">
        <v>193</v>
      </c>
      <c r="C14">
        <f ca="1">INT(Calculations!I15)</f>
        <v>972</v>
      </c>
      <c r="E14">
        <f ca="1">F13</f>
        <v>7679</v>
      </c>
      <c r="F14">
        <f ca="1">C14</f>
        <v>972</v>
      </c>
      <c r="H14">
        <f t="shared" ca="1" si="2"/>
        <v>7679</v>
      </c>
      <c r="I14">
        <f t="shared" ca="1" si="2"/>
        <v>972</v>
      </c>
    </row>
    <row r="15" spans="2:9" x14ac:dyDescent="0.35">
      <c r="B15" t="s">
        <v>194</v>
      </c>
      <c r="C15">
        <f ca="1">C13+C14-C16</f>
        <v>-1839</v>
      </c>
      <c r="E15">
        <f ca="1">E14+F14</f>
        <v>8651</v>
      </c>
      <c r="F15">
        <f ca="1">-C15</f>
        <v>1839</v>
      </c>
      <c r="H15">
        <f t="shared" ca="1" si="2"/>
        <v>8651</v>
      </c>
      <c r="I15">
        <f t="shared" ca="1" si="2"/>
        <v>1839</v>
      </c>
    </row>
    <row r="16" spans="2:9" x14ac:dyDescent="0.35">
      <c r="B16" t="s">
        <v>195</v>
      </c>
      <c r="C16">
        <f>Calculations!G15</f>
        <v>10490</v>
      </c>
      <c r="E16">
        <v>0</v>
      </c>
      <c r="F16">
        <f>C16</f>
        <v>10490</v>
      </c>
      <c r="H16">
        <f t="shared" si="2"/>
        <v>0</v>
      </c>
      <c r="I16">
        <f t="shared" si="2"/>
        <v>10490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4115-BAD1-46F5-920C-C8E83A0C1ED7}">
  <dimension ref="B1:I16"/>
  <sheetViews>
    <sheetView topLeftCell="B1" workbookViewId="0"/>
  </sheetViews>
  <sheetFormatPr defaultRowHeight="14.5" x14ac:dyDescent="0.35"/>
  <cols>
    <col min="2" max="2" width="28.453125" bestFit="1" customWidth="1"/>
    <col min="3" max="3" width="12.7265625" bestFit="1" customWidth="1"/>
    <col min="5" max="6" width="12" bestFit="1" customWidth="1"/>
    <col min="8" max="8" width="12" bestFit="1" customWidth="1"/>
    <col min="9" max="9" width="12.7265625" bestFit="1" customWidth="1"/>
  </cols>
  <sheetData>
    <row r="1" spans="2:9" x14ac:dyDescent="0.35">
      <c r="C1" s="21" t="s">
        <v>167</v>
      </c>
    </row>
    <row r="2" spans="2:9" x14ac:dyDescent="0.35">
      <c r="B2" t="s">
        <v>101</v>
      </c>
    </row>
    <row r="3" spans="2:9" x14ac:dyDescent="0.35">
      <c r="E3" t="s">
        <v>188</v>
      </c>
      <c r="F3" t="s">
        <v>189</v>
      </c>
      <c r="H3" t="s">
        <v>190</v>
      </c>
      <c r="I3" t="s">
        <v>191</v>
      </c>
    </row>
    <row r="4" spans="2:9" x14ac:dyDescent="0.35">
      <c r="B4" t="s">
        <v>171</v>
      </c>
      <c r="C4" s="9">
        <f>Calculations!K17</f>
        <v>-65201091.518594787</v>
      </c>
      <c r="E4" s="27">
        <v>0</v>
      </c>
      <c r="F4" s="27">
        <f>-C4</f>
        <v>65201091.518594787</v>
      </c>
      <c r="H4" s="9">
        <f>E4</f>
        <v>0</v>
      </c>
      <c r="I4" s="9">
        <f>F4</f>
        <v>65201091.518594787</v>
      </c>
    </row>
    <row r="5" spans="2:9" x14ac:dyDescent="0.35">
      <c r="B5" t="s">
        <v>192</v>
      </c>
      <c r="C5" s="9">
        <f ca="1">Calculations!L17</f>
        <v>-26212916.230000008</v>
      </c>
      <c r="E5" s="27">
        <f>F4</f>
        <v>65201091.518594787</v>
      </c>
      <c r="F5" s="27">
        <f ca="1">-C5+E5</f>
        <v>91414007.748594791</v>
      </c>
      <c r="H5" s="9">
        <f>E5</f>
        <v>65201091.518594787</v>
      </c>
      <c r="I5" s="9">
        <f ca="1">-C5</f>
        <v>26212916.230000008</v>
      </c>
    </row>
    <row r="6" spans="2:9" x14ac:dyDescent="0.35">
      <c r="B6" t="s">
        <v>193</v>
      </c>
      <c r="C6" s="9">
        <f ca="1">Calculations!M17</f>
        <v>-451837.79781186103</v>
      </c>
      <c r="E6" s="27">
        <f ca="1">F5</f>
        <v>91414007.748594791</v>
      </c>
      <c r="F6" s="27">
        <f ca="1">-C6+E6</f>
        <v>91865845.546406657</v>
      </c>
      <c r="H6" s="9">
        <f t="shared" ref="H6:H8" ca="1" si="0">E6</f>
        <v>91414007.748594791</v>
      </c>
      <c r="I6" s="9">
        <f t="shared" ref="I6" ca="1" si="1">-C6</f>
        <v>451837.79781186103</v>
      </c>
    </row>
    <row r="7" spans="2:9" x14ac:dyDescent="0.35">
      <c r="B7" t="s">
        <v>194</v>
      </c>
      <c r="C7" s="9">
        <f ca="1">SUM(C4:C6)</f>
        <v>-91865845.546406657</v>
      </c>
      <c r="E7" s="27">
        <f ca="1">F6</f>
        <v>91865845.546406657</v>
      </c>
      <c r="F7" s="27">
        <f>F8</f>
        <v>123654702</v>
      </c>
      <c r="H7" s="9">
        <f t="shared" ca="1" si="0"/>
        <v>91865845.546406657</v>
      </c>
      <c r="I7" s="9">
        <f ca="1">I8-H7</f>
        <v>31788856.453593343</v>
      </c>
    </row>
    <row r="8" spans="2:9" x14ac:dyDescent="0.35">
      <c r="B8" t="s">
        <v>195</v>
      </c>
      <c r="C8" s="9">
        <f>Calculations!F17</f>
        <v>123654702</v>
      </c>
      <c r="E8" s="27">
        <v>0</v>
      </c>
      <c r="F8" s="27">
        <f>C8</f>
        <v>123654702</v>
      </c>
      <c r="H8" s="9">
        <f t="shared" si="0"/>
        <v>0</v>
      </c>
      <c r="I8" s="9">
        <f>C8</f>
        <v>123654702</v>
      </c>
    </row>
    <row r="10" spans="2:9" x14ac:dyDescent="0.35">
      <c r="B10" t="s">
        <v>150</v>
      </c>
    </row>
    <row r="12" spans="2:9" x14ac:dyDescent="0.35">
      <c r="E12" t="s">
        <v>188</v>
      </c>
      <c r="F12" t="s">
        <v>189</v>
      </c>
      <c r="H12" t="s">
        <v>190</v>
      </c>
      <c r="I12" t="s">
        <v>191</v>
      </c>
    </row>
    <row r="13" spans="2:9" x14ac:dyDescent="0.35">
      <c r="B13" t="s">
        <v>192</v>
      </c>
      <c r="C13">
        <f ca="1">Calculations!H17</f>
        <v>345</v>
      </c>
      <c r="E13">
        <v>0</v>
      </c>
      <c r="F13">
        <f ca="1">C13</f>
        <v>345</v>
      </c>
      <c r="H13">
        <f t="shared" ref="H13:I16" si="2">E13</f>
        <v>0</v>
      </c>
      <c r="I13">
        <f t="shared" ca="1" si="2"/>
        <v>345</v>
      </c>
    </row>
    <row r="14" spans="2:9" x14ac:dyDescent="0.35">
      <c r="B14" t="s">
        <v>193</v>
      </c>
      <c r="C14">
        <f ca="1">INT(Calculations!I17)</f>
        <v>6</v>
      </c>
      <c r="E14">
        <f ca="1">F13</f>
        <v>345</v>
      </c>
      <c r="F14">
        <f ca="1">C14</f>
        <v>6</v>
      </c>
      <c r="H14">
        <f t="shared" ca="1" si="2"/>
        <v>345</v>
      </c>
      <c r="I14">
        <f t="shared" ca="1" si="2"/>
        <v>6</v>
      </c>
    </row>
    <row r="15" spans="2:9" x14ac:dyDescent="0.35">
      <c r="B15" t="s">
        <v>194</v>
      </c>
      <c r="C15">
        <f ca="1">C13+C14-C16</f>
        <v>-750</v>
      </c>
      <c r="E15">
        <f ca="1">E14+F14</f>
        <v>351</v>
      </c>
      <c r="F15">
        <f ca="1">-C15</f>
        <v>750</v>
      </c>
      <c r="H15">
        <f t="shared" ca="1" si="2"/>
        <v>351</v>
      </c>
      <c r="I15">
        <f t="shared" ca="1" si="2"/>
        <v>750</v>
      </c>
    </row>
    <row r="16" spans="2:9" x14ac:dyDescent="0.35">
      <c r="B16" t="s">
        <v>195</v>
      </c>
      <c r="C16">
        <f>Calculations!G17</f>
        <v>1101</v>
      </c>
      <c r="E16">
        <v>0</v>
      </c>
      <c r="F16">
        <f>C16</f>
        <v>1101</v>
      </c>
      <c r="H16">
        <f t="shared" si="2"/>
        <v>0</v>
      </c>
      <c r="I16">
        <f t="shared" si="2"/>
        <v>1101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03AD-8C91-4D92-BE9F-9DC427BC53FC}">
  <dimension ref="B1:I16"/>
  <sheetViews>
    <sheetView topLeftCell="C1" workbookViewId="0"/>
  </sheetViews>
  <sheetFormatPr defaultRowHeight="14.5" x14ac:dyDescent="0.35"/>
  <cols>
    <col min="2" max="2" width="28.453125" bestFit="1" customWidth="1"/>
    <col min="3" max="3" width="13.54296875" bestFit="1" customWidth="1"/>
    <col min="5" max="6" width="12" bestFit="1" customWidth="1"/>
    <col min="8" max="8" width="12" bestFit="1" customWidth="1"/>
    <col min="9" max="9" width="12.7265625" bestFit="1" customWidth="1"/>
  </cols>
  <sheetData>
    <row r="1" spans="2:9" x14ac:dyDescent="0.35">
      <c r="C1" s="21" t="s">
        <v>168</v>
      </c>
    </row>
    <row r="2" spans="2:9" x14ac:dyDescent="0.35">
      <c r="B2" t="s">
        <v>101</v>
      </c>
    </row>
    <row r="3" spans="2:9" x14ac:dyDescent="0.35">
      <c r="E3" t="s">
        <v>188</v>
      </c>
      <c r="F3" t="s">
        <v>189</v>
      </c>
      <c r="H3" t="s">
        <v>190</v>
      </c>
      <c r="I3" t="s">
        <v>191</v>
      </c>
    </row>
    <row r="4" spans="2:9" x14ac:dyDescent="0.35">
      <c r="B4" t="s">
        <v>171</v>
      </c>
      <c r="C4" s="9">
        <f>Calculations!K19</f>
        <v>-93381608.291536078</v>
      </c>
      <c r="E4" s="27">
        <v>0</v>
      </c>
      <c r="F4" s="27">
        <f>-C4</f>
        <v>93381608.291536078</v>
      </c>
      <c r="H4" s="9">
        <f>E4</f>
        <v>0</v>
      </c>
      <c r="I4" s="9">
        <f>F4</f>
        <v>93381608.291536078</v>
      </c>
    </row>
    <row r="5" spans="2:9" x14ac:dyDescent="0.35">
      <c r="B5" t="s">
        <v>192</v>
      </c>
      <c r="C5" s="9">
        <f ca="1">Calculations!L19</f>
        <v>-74833175.447694391</v>
      </c>
      <c r="E5" s="27">
        <f>F4</f>
        <v>93381608.291536078</v>
      </c>
      <c r="F5" s="27">
        <f ca="1">-C5+E5</f>
        <v>168214783.73923045</v>
      </c>
      <c r="H5" s="9">
        <f>E5</f>
        <v>93381608.291536078</v>
      </c>
      <c r="I5" s="9">
        <f ca="1">-C5</f>
        <v>74833175.447694391</v>
      </c>
    </row>
    <row r="6" spans="2:9" x14ac:dyDescent="0.35">
      <c r="B6" t="s">
        <v>193</v>
      </c>
      <c r="C6" s="9">
        <f ca="1">Calculations!M19</f>
        <v>-4668606.2606116664</v>
      </c>
      <c r="E6" s="27">
        <f ca="1">F5</f>
        <v>168214783.73923045</v>
      </c>
      <c r="F6" s="27">
        <f ca="1">-C6+E6</f>
        <v>172883389.99984211</v>
      </c>
      <c r="H6" s="9">
        <f t="shared" ref="H6:H8" ca="1" si="0">E6</f>
        <v>168214783.73923045</v>
      </c>
      <c r="I6" s="9">
        <f t="shared" ref="I6" ca="1" si="1">-C6</f>
        <v>4668606.2606116664</v>
      </c>
    </row>
    <row r="7" spans="2:9" x14ac:dyDescent="0.35">
      <c r="B7" t="s">
        <v>194</v>
      </c>
      <c r="C7" s="9">
        <f ca="1">SUM(C4:C6)</f>
        <v>-172883389.99984211</v>
      </c>
      <c r="E7" s="27">
        <f ca="1">F6</f>
        <v>172883389.99984211</v>
      </c>
      <c r="F7" s="27">
        <f>F8</f>
        <v>161476790</v>
      </c>
      <c r="H7" s="9">
        <f t="shared" ca="1" si="0"/>
        <v>172883389.99984211</v>
      </c>
      <c r="I7" s="9">
        <f ca="1">I8-H7</f>
        <v>-11406599.999842107</v>
      </c>
    </row>
    <row r="8" spans="2:9" x14ac:dyDescent="0.35">
      <c r="B8" t="s">
        <v>195</v>
      </c>
      <c r="C8" s="9">
        <f>Calculations!F19</f>
        <v>161476790</v>
      </c>
      <c r="E8" s="27">
        <v>0</v>
      </c>
      <c r="F8" s="27">
        <f>C8</f>
        <v>161476790</v>
      </c>
      <c r="H8" s="9">
        <f t="shared" si="0"/>
        <v>0</v>
      </c>
      <c r="I8" s="9">
        <f>C8</f>
        <v>161476790</v>
      </c>
    </row>
    <row r="10" spans="2:9" x14ac:dyDescent="0.35">
      <c r="B10" t="s">
        <v>150</v>
      </c>
    </row>
    <row r="12" spans="2:9" x14ac:dyDescent="0.35">
      <c r="E12" t="s">
        <v>188</v>
      </c>
      <c r="F12" t="s">
        <v>189</v>
      </c>
      <c r="H12" t="s">
        <v>190</v>
      </c>
      <c r="I12" t="s">
        <v>191</v>
      </c>
    </row>
    <row r="13" spans="2:9" x14ac:dyDescent="0.35">
      <c r="B13" t="s">
        <v>192</v>
      </c>
      <c r="C13">
        <f ca="1">Calculations!H19</f>
        <v>499</v>
      </c>
      <c r="E13">
        <v>0</v>
      </c>
      <c r="F13">
        <f ca="1">C13</f>
        <v>499</v>
      </c>
      <c r="H13">
        <f t="shared" ref="H13:I16" si="2">E13</f>
        <v>0</v>
      </c>
      <c r="I13">
        <f t="shared" ca="1" si="2"/>
        <v>499</v>
      </c>
    </row>
    <row r="14" spans="2:9" x14ac:dyDescent="0.35">
      <c r="B14" t="s">
        <v>193</v>
      </c>
      <c r="C14">
        <f ca="1">INT(Calculations!I19)</f>
        <v>53</v>
      </c>
      <c r="E14">
        <f ca="1">F13</f>
        <v>499</v>
      </c>
      <c r="F14">
        <f ca="1">C14</f>
        <v>53</v>
      </c>
      <c r="H14">
        <f t="shared" ca="1" si="2"/>
        <v>499</v>
      </c>
      <c r="I14">
        <f t="shared" ca="1" si="2"/>
        <v>53</v>
      </c>
    </row>
    <row r="15" spans="2:9" x14ac:dyDescent="0.35">
      <c r="B15" t="s">
        <v>194</v>
      </c>
      <c r="C15">
        <f ca="1">C13+C14-C16</f>
        <v>70</v>
      </c>
      <c r="E15">
        <f ca="1">E14+F14</f>
        <v>552</v>
      </c>
      <c r="F15">
        <f ca="1">-C15</f>
        <v>-70</v>
      </c>
      <c r="H15">
        <f t="shared" ca="1" si="2"/>
        <v>552</v>
      </c>
      <c r="I15">
        <f t="shared" ca="1" si="2"/>
        <v>-70</v>
      </c>
    </row>
    <row r="16" spans="2:9" x14ac:dyDescent="0.35">
      <c r="B16" t="s">
        <v>195</v>
      </c>
      <c r="C16">
        <f>Calculations!G19</f>
        <v>482</v>
      </c>
      <c r="E16">
        <v>0</v>
      </c>
      <c r="F16">
        <f>C16</f>
        <v>482</v>
      </c>
      <c r="H16">
        <f t="shared" si="2"/>
        <v>0</v>
      </c>
      <c r="I16">
        <f t="shared" si="2"/>
        <v>482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0BAF-7BFA-4822-87FC-89662D3D5953}">
  <dimension ref="B1:I32"/>
  <sheetViews>
    <sheetView topLeftCell="C1" workbookViewId="0">
      <selection activeCell="V4" sqref="V4"/>
    </sheetView>
  </sheetViews>
  <sheetFormatPr defaultRowHeight="14.5" x14ac:dyDescent="0.35"/>
  <cols>
    <col min="2" max="2" width="28.453125" bestFit="1" customWidth="1"/>
    <col min="3" max="3" width="14.26953125" bestFit="1" customWidth="1"/>
    <col min="5" max="6" width="13.54296875" bestFit="1" customWidth="1"/>
    <col min="8" max="9" width="13.54296875" bestFit="1" customWidth="1"/>
  </cols>
  <sheetData>
    <row r="1" spans="2:9" x14ac:dyDescent="0.35">
      <c r="C1" s="21" t="s">
        <v>196</v>
      </c>
    </row>
    <row r="2" spans="2:9" x14ac:dyDescent="0.35">
      <c r="B2" t="s">
        <v>101</v>
      </c>
    </row>
    <row r="3" spans="2:9" x14ac:dyDescent="0.35">
      <c r="E3" t="s">
        <v>188</v>
      </c>
      <c r="F3" t="s">
        <v>189</v>
      </c>
      <c r="H3" t="s">
        <v>190</v>
      </c>
      <c r="I3" t="s">
        <v>191</v>
      </c>
    </row>
    <row r="4" spans="2:9" x14ac:dyDescent="0.35">
      <c r="B4" t="s">
        <v>171</v>
      </c>
      <c r="C4" s="9">
        <f>Calculations!K4+Calculations!K6+Calculations!K10+Calculations!K11+Calculations!K12+Calculations!K14+Calculations!K15+Calculations!K16+Calculations!K17+Calculations!K19</f>
        <v>-1342848197.3222921</v>
      </c>
      <c r="E4" s="27">
        <v>0</v>
      </c>
      <c r="F4" s="27">
        <f>-C4</f>
        <v>1342848197.3222921</v>
      </c>
      <c r="H4" s="9">
        <f>E4</f>
        <v>0</v>
      </c>
      <c r="I4" s="9">
        <f>F4</f>
        <v>1342848197.3222921</v>
      </c>
    </row>
    <row r="5" spans="2:9" x14ac:dyDescent="0.35">
      <c r="B5" t="s">
        <v>192</v>
      </c>
      <c r="C5" s="9">
        <f ca="1">Calculations!L4+Calculations!L6+Calculations!L10+Calculations!L11+Calculations!L12+Calculations!L14+Calculations!L15+Calculations!L16+Calculations!L17+Calculations!L19</f>
        <v>-946897586.34735215</v>
      </c>
      <c r="E5" s="27">
        <f>F4</f>
        <v>1342848197.3222921</v>
      </c>
      <c r="F5" s="27">
        <f ca="1">-C5+E5</f>
        <v>2289745783.6696444</v>
      </c>
      <c r="H5" s="9">
        <f>E5</f>
        <v>1342848197.3222921</v>
      </c>
      <c r="I5" s="9">
        <f ca="1">-C5</f>
        <v>946897586.34735215</v>
      </c>
    </row>
    <row r="6" spans="2:9" x14ac:dyDescent="0.35">
      <c r="B6" t="s">
        <v>193</v>
      </c>
      <c r="C6" s="9">
        <f ca="1">Calculations!M4+Calculations!M6+Calculations!M10+Calculations!M11+Calculations!M12+Calculations!M14+Calculations!M15+Calculations!M16+Calculations!M17+Calculations!M19</f>
        <v>-58743571.78046798</v>
      </c>
      <c r="E6" s="27">
        <f ca="1">F5</f>
        <v>2289745783.6696444</v>
      </c>
      <c r="F6" s="27">
        <f ca="1">-C6+E6</f>
        <v>2348489355.4501123</v>
      </c>
      <c r="H6" s="9">
        <f t="shared" ref="H6:H8" ca="1" si="0">E6</f>
        <v>2289745783.6696444</v>
      </c>
      <c r="I6" s="9">
        <f t="shared" ref="I6" ca="1" si="1">-C6</f>
        <v>58743571.78046798</v>
      </c>
    </row>
    <row r="7" spans="2:9" x14ac:dyDescent="0.35">
      <c r="B7" t="s">
        <v>194</v>
      </c>
      <c r="C7" s="9">
        <f ca="1">SUM(C4:C6)</f>
        <v>-2348489355.4501123</v>
      </c>
      <c r="E7" s="27">
        <f ca="1">F6</f>
        <v>2348489355.4501123</v>
      </c>
      <c r="F7" s="27">
        <f>F8</f>
        <v>2661942265</v>
      </c>
      <c r="H7" s="9">
        <f t="shared" ca="1" si="0"/>
        <v>2348489355.4501123</v>
      </c>
      <c r="I7" s="9">
        <f ca="1">I8-H7</f>
        <v>313452909.54988766</v>
      </c>
    </row>
    <row r="8" spans="2:9" x14ac:dyDescent="0.35">
      <c r="B8" t="s">
        <v>195</v>
      </c>
      <c r="C8" s="9">
        <f>Calculations!F4+Calculations!F6+Calculations!F10+Calculations!F11+Calculations!F12+Calculations!F14+Calculations!F15+Calculations!F16+Calculations!F17+Calculations!F19</f>
        <v>2661942265</v>
      </c>
      <c r="E8" s="27">
        <v>0</v>
      </c>
      <c r="F8" s="27">
        <f>C8</f>
        <v>2661942265</v>
      </c>
      <c r="H8" s="9">
        <f t="shared" si="0"/>
        <v>0</v>
      </c>
      <c r="I8" s="9">
        <f>C8</f>
        <v>2661942265</v>
      </c>
    </row>
    <row r="10" spans="2:9" x14ac:dyDescent="0.35">
      <c r="B10" t="s">
        <v>150</v>
      </c>
    </row>
    <row r="12" spans="2:9" x14ac:dyDescent="0.35">
      <c r="E12" t="s">
        <v>188</v>
      </c>
      <c r="F12" t="s">
        <v>189</v>
      </c>
      <c r="H12" t="s">
        <v>190</v>
      </c>
      <c r="I12" t="s">
        <v>191</v>
      </c>
    </row>
    <row r="13" spans="2:9" x14ac:dyDescent="0.35">
      <c r="B13" t="s">
        <v>192</v>
      </c>
      <c r="C13" s="6">
        <f ca="1">Calculations!H4+Calculations!H6+Calculations!H10+Calculations!H11+Calculations!H12+Calculations!H14+Calculations!H15+Calculations!H16+Calculations!H17+Calculations!H19</f>
        <v>13631</v>
      </c>
      <c r="E13">
        <v>0</v>
      </c>
      <c r="F13">
        <f ca="1">C13</f>
        <v>13631</v>
      </c>
      <c r="H13">
        <f t="shared" ref="H13:I16" si="2">E13</f>
        <v>0</v>
      </c>
      <c r="I13">
        <f t="shared" ca="1" si="2"/>
        <v>13631</v>
      </c>
    </row>
    <row r="14" spans="2:9" x14ac:dyDescent="0.35">
      <c r="B14" t="s">
        <v>193</v>
      </c>
      <c r="C14" s="6">
        <f ca="1">INT(Calculations!I4+Calculations!I6+Calculations!I10+Calculations!I11+Calculations!I12+Calculations!I14+Calculations!I15+Calculations!I16+Calculations!I17+Calculations!I19)</f>
        <v>1625</v>
      </c>
      <c r="E14">
        <f ca="1">F13</f>
        <v>13631</v>
      </c>
      <c r="F14">
        <f ca="1">C14</f>
        <v>1625</v>
      </c>
      <c r="H14">
        <f t="shared" ca="1" si="2"/>
        <v>13631</v>
      </c>
      <c r="I14">
        <f t="shared" ca="1" si="2"/>
        <v>1625</v>
      </c>
    </row>
    <row r="15" spans="2:9" x14ac:dyDescent="0.35">
      <c r="B15" t="s">
        <v>194</v>
      </c>
      <c r="C15" s="6">
        <f ca="1">C13+C14-C16</f>
        <v>-3983</v>
      </c>
      <c r="E15">
        <f ca="1">E14+F14</f>
        <v>15256</v>
      </c>
      <c r="F15">
        <f ca="1">-C15</f>
        <v>3983</v>
      </c>
      <c r="H15">
        <f t="shared" ca="1" si="2"/>
        <v>15256</v>
      </c>
      <c r="I15">
        <f t="shared" ca="1" si="2"/>
        <v>3983</v>
      </c>
    </row>
    <row r="16" spans="2:9" x14ac:dyDescent="0.35">
      <c r="B16" t="s">
        <v>195</v>
      </c>
      <c r="C16" s="6">
        <f>Calculations!G4+Calculations!G6+Calculations!G10+Calculations!G11+Calculations!G12+Calculations!G14+Calculations!G15+Calculations!G16+Calculations!G17+Calculations!G19</f>
        <v>19239</v>
      </c>
      <c r="E16">
        <v>0</v>
      </c>
      <c r="F16">
        <f>C16</f>
        <v>19239</v>
      </c>
      <c r="H16">
        <f t="shared" si="2"/>
        <v>0</v>
      </c>
      <c r="I16">
        <f t="shared" si="2"/>
        <v>19239</v>
      </c>
    </row>
    <row r="20" spans="4:9" x14ac:dyDescent="0.35">
      <c r="F20" s="30">
        <v>10500.767837860287</v>
      </c>
    </row>
    <row r="23" spans="4:9" x14ac:dyDescent="0.35">
      <c r="D23" s="3" t="s">
        <v>197</v>
      </c>
      <c r="E23" s="3"/>
      <c r="F23" s="3" t="s">
        <v>198</v>
      </c>
      <c r="G23" s="3" t="s">
        <v>199</v>
      </c>
      <c r="H23" s="3" t="s">
        <v>200</v>
      </c>
      <c r="I23" s="28"/>
    </row>
    <row r="24" spans="4:9" x14ac:dyDescent="0.35">
      <c r="D24">
        <v>1</v>
      </c>
      <c r="E24" s="30">
        <f ca="1">$I$15/8</f>
        <v>497.875</v>
      </c>
      <c r="F24" s="30">
        <f ca="1">E24</f>
        <v>497.875</v>
      </c>
      <c r="G24" s="9">
        <f>$F$20</f>
        <v>10500.767837860287</v>
      </c>
      <c r="H24" s="9">
        <f ca="1">F24*G24</f>
        <v>5228069.7872746903</v>
      </c>
    </row>
    <row r="25" spans="4:9" x14ac:dyDescent="0.35">
      <c r="D25">
        <v>2</v>
      </c>
      <c r="E25" s="30">
        <f t="shared" ref="E25:E31" ca="1" si="3">$I$15/8</f>
        <v>497.875</v>
      </c>
      <c r="F25" s="30">
        <f ca="1">E25+E24</f>
        <v>995.75</v>
      </c>
      <c r="G25" s="9">
        <f>$F$20</f>
        <v>10500.767837860287</v>
      </c>
      <c r="H25" s="9">
        <f t="shared" ref="H25:H31" ca="1" si="4">F25*G25</f>
        <v>10456139.574549381</v>
      </c>
    </row>
    <row r="26" spans="4:9" x14ac:dyDescent="0.35">
      <c r="D26">
        <v>3</v>
      </c>
      <c r="E26" s="30">
        <f t="shared" ca="1" si="3"/>
        <v>497.875</v>
      </c>
      <c r="F26" s="30">
        <f ca="1">F25+E26</f>
        <v>1493.625</v>
      </c>
      <c r="G26" s="9">
        <f t="shared" ref="G26:G31" si="5">$F$20</f>
        <v>10500.767837860287</v>
      </c>
      <c r="H26" s="9">
        <f t="shared" ca="1" si="4"/>
        <v>15684209.361824071</v>
      </c>
    </row>
    <row r="27" spans="4:9" x14ac:dyDescent="0.35">
      <c r="D27">
        <v>4</v>
      </c>
      <c r="E27" s="30">
        <f t="shared" ca="1" si="3"/>
        <v>497.875</v>
      </c>
      <c r="F27" s="30">
        <f t="shared" ref="F27:F31" ca="1" si="6">F26+E27</f>
        <v>1991.5</v>
      </c>
      <c r="G27" s="9">
        <f t="shared" si="5"/>
        <v>10500.767837860287</v>
      </c>
      <c r="H27" s="9">
        <f t="shared" ca="1" si="4"/>
        <v>20912279.149098761</v>
      </c>
    </row>
    <row r="28" spans="4:9" x14ac:dyDescent="0.35">
      <c r="D28">
        <v>5</v>
      </c>
      <c r="E28" s="30">
        <f t="shared" ca="1" si="3"/>
        <v>497.875</v>
      </c>
      <c r="F28" s="30">
        <f t="shared" ca="1" si="6"/>
        <v>2489.375</v>
      </c>
      <c r="G28" s="9">
        <f t="shared" si="5"/>
        <v>10500.767837860287</v>
      </c>
      <c r="H28" s="9">
        <f t="shared" ca="1" si="4"/>
        <v>26140348.93637345</v>
      </c>
    </row>
    <row r="29" spans="4:9" x14ac:dyDescent="0.35">
      <c r="D29">
        <v>6</v>
      </c>
      <c r="E29" s="30">
        <f t="shared" ca="1" si="3"/>
        <v>497.875</v>
      </c>
      <c r="F29" s="30">
        <f t="shared" ca="1" si="6"/>
        <v>2987.25</v>
      </c>
      <c r="G29" s="9">
        <f t="shared" si="5"/>
        <v>10500.767837860287</v>
      </c>
      <c r="H29" s="9">
        <f t="shared" ca="1" si="4"/>
        <v>31368418.723648142</v>
      </c>
    </row>
    <row r="30" spans="4:9" x14ac:dyDescent="0.35">
      <c r="D30">
        <v>7</v>
      </c>
      <c r="E30" s="30">
        <f t="shared" ca="1" si="3"/>
        <v>497.875</v>
      </c>
      <c r="F30" s="30">
        <f t="shared" ca="1" si="6"/>
        <v>3485.125</v>
      </c>
      <c r="G30" s="9">
        <f t="shared" si="5"/>
        <v>10500.767837860287</v>
      </c>
      <c r="H30" s="9">
        <f t="shared" ca="1" si="4"/>
        <v>36596488.510922834</v>
      </c>
    </row>
    <row r="31" spans="4:9" x14ac:dyDescent="0.35">
      <c r="D31">
        <v>8</v>
      </c>
      <c r="E31" s="30">
        <f t="shared" ca="1" si="3"/>
        <v>497.875</v>
      </c>
      <c r="F31" s="30">
        <f t="shared" ca="1" si="6"/>
        <v>3983</v>
      </c>
      <c r="G31" s="9">
        <f t="shared" si="5"/>
        <v>10500.767837860287</v>
      </c>
      <c r="H31" s="9">
        <f t="shared" ca="1" si="4"/>
        <v>41824558.298197523</v>
      </c>
    </row>
    <row r="32" spans="4:9" ht="15" thickBot="1" x14ac:dyDescent="0.4">
      <c r="G32" s="9"/>
      <c r="H32" s="10">
        <f ca="1">SUM(H24:H31)</f>
        <v>188210512.34188884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910E-629B-4827-B50C-2A7F8A5CCCD0}">
  <dimension ref="A1:AE29"/>
  <sheetViews>
    <sheetView workbookViewId="0">
      <selection activeCell="D8" sqref="D8"/>
    </sheetView>
  </sheetViews>
  <sheetFormatPr defaultRowHeight="14.5" x14ac:dyDescent="0.35"/>
  <cols>
    <col min="1" max="1" width="20" bestFit="1" customWidth="1"/>
    <col min="3" max="3" width="14.26953125" bestFit="1" customWidth="1"/>
    <col min="4" max="5" width="12.7265625" bestFit="1" customWidth="1"/>
    <col min="6" max="6" width="16.26953125" hidden="1" customWidth="1"/>
    <col min="7" max="7" width="20.7265625" hidden="1" customWidth="1"/>
    <col min="8" max="8" width="12.7265625" bestFit="1" customWidth="1"/>
    <col min="9" max="9" width="16.26953125" hidden="1" customWidth="1"/>
    <col min="10" max="11" width="20.7265625" hidden="1" customWidth="1"/>
    <col min="12" max="12" width="12.7265625" bestFit="1" customWidth="1"/>
    <col min="13" max="13" width="16.26953125" hidden="1" customWidth="1"/>
    <col min="14" max="16" width="20.7265625" hidden="1" customWidth="1"/>
    <col min="17" max="17" width="12.7265625" bestFit="1" customWidth="1"/>
    <col min="18" max="18" width="16.26953125" hidden="1" customWidth="1"/>
    <col min="19" max="22" width="20.7265625" hidden="1" customWidth="1"/>
    <col min="23" max="23" width="12.7265625" bestFit="1" customWidth="1"/>
    <col min="24" max="24" width="16.26953125" hidden="1" customWidth="1"/>
    <col min="25" max="29" width="20.7265625" hidden="1" customWidth="1"/>
    <col min="31" max="31" width="14.26953125" bestFit="1" customWidth="1"/>
  </cols>
  <sheetData>
    <row r="1" spans="1:29" x14ac:dyDescent="0.35">
      <c r="G1">
        <v>1</v>
      </c>
      <c r="J1">
        <v>2</v>
      </c>
      <c r="N1">
        <v>3</v>
      </c>
      <c r="S1">
        <v>4</v>
      </c>
      <c r="Y1">
        <v>5</v>
      </c>
    </row>
    <row r="2" spans="1:29" x14ac:dyDescent="0.35">
      <c r="C2" t="s">
        <v>171</v>
      </c>
      <c r="D2" s="31" t="s">
        <v>127</v>
      </c>
      <c r="E2" s="32" t="s">
        <v>128</v>
      </c>
      <c r="F2" s="32"/>
      <c r="G2" s="32" t="s">
        <v>128</v>
      </c>
      <c r="H2" s="33" t="s">
        <v>129</v>
      </c>
      <c r="I2" s="33"/>
      <c r="J2" s="33" t="s">
        <v>128</v>
      </c>
      <c r="K2" s="33" t="s">
        <v>129</v>
      </c>
      <c r="L2" s="34" t="s">
        <v>130</v>
      </c>
      <c r="M2" s="34" t="s">
        <v>130</v>
      </c>
      <c r="N2" s="34" t="s">
        <v>128</v>
      </c>
      <c r="O2" s="34" t="s">
        <v>129</v>
      </c>
      <c r="P2" s="34" t="s">
        <v>130</v>
      </c>
      <c r="Q2" s="35" t="s">
        <v>131</v>
      </c>
      <c r="R2" s="35" t="s">
        <v>131</v>
      </c>
      <c r="S2" s="35" t="s">
        <v>128</v>
      </c>
      <c r="T2" s="35" t="s">
        <v>129</v>
      </c>
      <c r="U2" s="35" t="s">
        <v>130</v>
      </c>
      <c r="V2" s="35" t="s">
        <v>131</v>
      </c>
      <c r="W2" s="36" t="s">
        <v>132</v>
      </c>
      <c r="X2" s="36" t="s">
        <v>132</v>
      </c>
      <c r="Y2" s="36" t="s">
        <v>128</v>
      </c>
      <c r="Z2" s="36" t="s">
        <v>129</v>
      </c>
      <c r="AA2" s="36" t="s">
        <v>130</v>
      </c>
      <c r="AB2" s="36" t="s">
        <v>131</v>
      </c>
      <c r="AC2" s="36" t="s">
        <v>132</v>
      </c>
    </row>
    <row r="3" spans="1:29" x14ac:dyDescent="0.35">
      <c r="A3" s="3" t="s">
        <v>133</v>
      </c>
      <c r="C3" s="3" t="s">
        <v>143</v>
      </c>
      <c r="D3" s="31" t="s">
        <v>101</v>
      </c>
      <c r="E3" s="32" t="s">
        <v>101</v>
      </c>
      <c r="F3" s="32" t="s">
        <v>152</v>
      </c>
      <c r="G3" s="32" t="s">
        <v>156</v>
      </c>
      <c r="H3" s="33" t="s">
        <v>101</v>
      </c>
      <c r="I3" s="33" t="s">
        <v>152</v>
      </c>
      <c r="J3" s="33" t="s">
        <v>156</v>
      </c>
      <c r="K3" s="33" t="s">
        <v>156</v>
      </c>
      <c r="L3" s="34" t="s">
        <v>101</v>
      </c>
      <c r="M3" s="34" t="s">
        <v>152</v>
      </c>
      <c r="N3" s="34" t="s">
        <v>156</v>
      </c>
      <c r="O3" s="34" t="s">
        <v>156</v>
      </c>
      <c r="P3" s="34" t="s">
        <v>156</v>
      </c>
      <c r="Q3" s="35" t="s">
        <v>101</v>
      </c>
      <c r="R3" s="35" t="s">
        <v>152</v>
      </c>
      <c r="S3" s="35" t="s">
        <v>156</v>
      </c>
      <c r="T3" s="35" t="s">
        <v>156</v>
      </c>
      <c r="U3" s="35" t="s">
        <v>156</v>
      </c>
      <c r="V3" s="35" t="s">
        <v>156</v>
      </c>
      <c r="W3" s="37" t="s">
        <v>101</v>
      </c>
      <c r="X3" s="37" t="s">
        <v>152</v>
      </c>
      <c r="Y3" s="36" t="s">
        <v>156</v>
      </c>
      <c r="Z3" s="36" t="s">
        <v>156</v>
      </c>
      <c r="AA3" s="36" t="s">
        <v>156</v>
      </c>
      <c r="AB3" s="36" t="s">
        <v>156</v>
      </c>
      <c r="AC3" s="36" t="s">
        <v>156</v>
      </c>
    </row>
    <row r="4" spans="1:29" x14ac:dyDescent="0.35">
      <c r="A4" s="21" t="s">
        <v>161</v>
      </c>
      <c r="C4" s="15">
        <v>-30824357.03669456</v>
      </c>
      <c r="D4" s="39">
        <v>-6379180.0553350486</v>
      </c>
      <c r="E4" s="40">
        <f>F4+G4</f>
        <v>-5168986.2252474185</v>
      </c>
      <c r="F4" s="40">
        <v>-5113706.3394773388</v>
      </c>
      <c r="G4" s="40">
        <v>-55279.885770079542</v>
      </c>
      <c r="H4" s="41">
        <f>SUM(I4:K4)</f>
        <v>-5196296.2748479284</v>
      </c>
      <c r="I4" s="41">
        <v>-4960128.3402890954</v>
      </c>
      <c r="J4" s="41">
        <v>-55279.885770079542</v>
      </c>
      <c r="K4" s="41">
        <v>-180888.0487887534</v>
      </c>
      <c r="L4" s="42">
        <f>SUM(M4:P4)</f>
        <v>-5188889.4454239681</v>
      </c>
      <c r="M4" s="42">
        <v>-4897120.3597041862</v>
      </c>
      <c r="N4" s="42">
        <v>-55279.885770079542</v>
      </c>
      <c r="O4" s="42">
        <v>-180888.0487887534</v>
      </c>
      <c r="P4" s="42">
        <v>-55601.15116094907</v>
      </c>
      <c r="Q4" s="43">
        <f>SUM(R4:V4)</f>
        <v>-5148449.694259678</v>
      </c>
      <c r="R4" s="43">
        <v>-4677188.810738977</v>
      </c>
      <c r="S4" s="43">
        <v>-55279.885770079542</v>
      </c>
      <c r="T4" s="43">
        <v>-180888.0487887534</v>
      </c>
      <c r="U4" s="43">
        <v>-55601.15116094907</v>
      </c>
      <c r="V4" s="43">
        <v>-179491.79780091901</v>
      </c>
      <c r="W4" s="38">
        <f>SUM(X4:AC4)</f>
        <v>-5127413.1095565492</v>
      </c>
      <c r="X4" s="38">
        <v>-4573620.5971781788</v>
      </c>
      <c r="Y4" s="36">
        <v>-55279.885770079542</v>
      </c>
      <c r="Z4" s="36">
        <v>-180888.0487887534</v>
      </c>
      <c r="AA4" s="36">
        <v>-55601.15116094907</v>
      </c>
      <c r="AB4" s="36">
        <v>-179491.79780091901</v>
      </c>
      <c r="AC4" s="36">
        <v>-82531.628857669173</v>
      </c>
    </row>
    <row r="5" spans="1:29" x14ac:dyDescent="0.35">
      <c r="C5" s="9"/>
      <c r="D5" s="39"/>
      <c r="E5" s="40"/>
      <c r="F5" s="40"/>
      <c r="G5" s="40"/>
      <c r="H5" s="41"/>
      <c r="I5" s="41"/>
      <c r="J5" s="41"/>
      <c r="K5" s="41"/>
      <c r="L5" s="42"/>
      <c r="M5" s="42"/>
      <c r="N5" s="42"/>
      <c r="O5" s="42"/>
      <c r="P5" s="42"/>
      <c r="Q5" s="43"/>
      <c r="R5" s="43"/>
      <c r="S5" s="43"/>
      <c r="T5" s="43"/>
      <c r="U5" s="43"/>
      <c r="V5" s="43"/>
      <c r="W5" s="38"/>
      <c r="X5" s="36"/>
      <c r="Y5" s="36"/>
      <c r="Z5" s="36"/>
      <c r="AA5" s="36"/>
      <c r="AB5" s="36"/>
      <c r="AC5" s="36"/>
    </row>
    <row r="6" spans="1:29" x14ac:dyDescent="0.35">
      <c r="A6" t="s">
        <v>162</v>
      </c>
      <c r="C6" s="15">
        <v>-13112617.433456313</v>
      </c>
      <c r="D6" s="39"/>
      <c r="E6" s="40"/>
      <c r="F6" s="40"/>
      <c r="G6" s="40"/>
      <c r="H6" s="41"/>
      <c r="I6" s="41"/>
      <c r="J6" s="41"/>
      <c r="K6" s="41"/>
      <c r="L6" s="42"/>
      <c r="M6" s="42"/>
      <c r="N6" s="42"/>
      <c r="O6" s="42"/>
      <c r="P6" s="42"/>
      <c r="Q6" s="43"/>
      <c r="R6" s="43"/>
      <c r="S6" s="43"/>
      <c r="T6" s="43"/>
      <c r="U6" s="43"/>
      <c r="V6" s="43"/>
      <c r="W6" s="38"/>
      <c r="X6" s="36"/>
      <c r="Y6" s="36"/>
      <c r="Z6" s="36"/>
      <c r="AA6" s="36"/>
      <c r="AB6" s="36"/>
      <c r="AC6" s="36"/>
    </row>
    <row r="7" spans="1:29" x14ac:dyDescent="0.35">
      <c r="A7" s="21" t="s">
        <v>162</v>
      </c>
      <c r="C7" s="24"/>
      <c r="D7" s="39">
        <v>-161436.46426408875</v>
      </c>
      <c r="E7" s="40">
        <f>F7+G7</f>
        <v>-161436.46426408875</v>
      </c>
      <c r="F7" s="40">
        <v>-161436.46426408875</v>
      </c>
      <c r="G7" s="40">
        <v>0</v>
      </c>
      <c r="H7" s="41">
        <f t="shared" ref="H7:H8" si="0">SUM(I7:K7)</f>
        <v>-161436.46426408875</v>
      </c>
      <c r="I7" s="41">
        <v>-161436.46426408875</v>
      </c>
      <c r="J7" s="41">
        <v>0</v>
      </c>
      <c r="K7" s="41">
        <v>0</v>
      </c>
      <c r="L7" s="42">
        <f t="shared" ref="L7:L8" si="1">SUM(M7:P7)</f>
        <v>-161436.46426408875</v>
      </c>
      <c r="M7" s="42">
        <v>-161436.46426408875</v>
      </c>
      <c r="N7" s="42">
        <v>0</v>
      </c>
      <c r="O7" s="42">
        <v>0</v>
      </c>
      <c r="P7" s="42">
        <v>0</v>
      </c>
      <c r="Q7" s="43">
        <f t="shared" ref="Q7:Q8" si="2">SUM(R7:V7)</f>
        <v>-154135.6993336993</v>
      </c>
      <c r="R7" s="43">
        <v>-154135.6993336993</v>
      </c>
      <c r="S7" s="43">
        <v>0</v>
      </c>
      <c r="T7" s="43">
        <v>0</v>
      </c>
      <c r="U7" s="43">
        <v>0</v>
      </c>
      <c r="V7" s="43">
        <v>0</v>
      </c>
      <c r="W7" s="38">
        <f>SUM(X7:AC7)</f>
        <v>-33345.962907172827</v>
      </c>
      <c r="X7" s="38">
        <v>-33345.962907172827</v>
      </c>
      <c r="Y7" s="36">
        <v>0</v>
      </c>
      <c r="Z7" s="36">
        <v>0</v>
      </c>
      <c r="AA7" s="36">
        <v>0</v>
      </c>
      <c r="AB7" s="36">
        <v>0</v>
      </c>
      <c r="AC7" s="36">
        <v>0</v>
      </c>
    </row>
    <row r="8" spans="1:29" x14ac:dyDescent="0.35">
      <c r="A8" s="21" t="s">
        <v>162</v>
      </c>
      <c r="C8" s="24"/>
      <c r="D8" s="39">
        <v>-3162221.2373635923</v>
      </c>
      <c r="E8" s="40">
        <f>F8+G8</f>
        <v>-2889521.3748580767</v>
      </c>
      <c r="F8" s="40">
        <v>-2889521.3748580767</v>
      </c>
      <c r="G8" s="40">
        <v>0</v>
      </c>
      <c r="H8" s="41">
        <f t="shared" si="0"/>
        <v>-2863613.0378958411</v>
      </c>
      <c r="I8" s="41">
        <v>-2863613.0378958411</v>
      </c>
      <c r="J8" s="41">
        <v>0</v>
      </c>
      <c r="K8" s="41">
        <v>0</v>
      </c>
      <c r="L8" s="42">
        <f t="shared" si="1"/>
        <v>-2832863.9214509302</v>
      </c>
      <c r="M8" s="42">
        <v>-2832863.9214509302</v>
      </c>
      <c r="N8" s="42">
        <v>0</v>
      </c>
      <c r="O8" s="42">
        <v>0</v>
      </c>
      <c r="P8" s="42">
        <v>0</v>
      </c>
      <c r="Q8" s="43">
        <f t="shared" si="2"/>
        <v>-2825656.2886211802</v>
      </c>
      <c r="R8" s="43">
        <v>-2825656.2886211802</v>
      </c>
      <c r="S8" s="43">
        <v>0</v>
      </c>
      <c r="T8" s="43">
        <v>0</v>
      </c>
      <c r="U8" s="43">
        <v>0</v>
      </c>
      <c r="V8" s="43">
        <v>0</v>
      </c>
      <c r="W8" s="38">
        <f>SUM(X8:AC8)</f>
        <v>-2812123.3275316413</v>
      </c>
      <c r="X8" s="38">
        <v>-2812123.3275316413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</row>
    <row r="9" spans="1:29" x14ac:dyDescent="0.35">
      <c r="C9" s="9"/>
      <c r="D9" s="39"/>
      <c r="E9" s="40"/>
      <c r="F9" s="40"/>
      <c r="G9" s="40"/>
      <c r="H9" s="41"/>
      <c r="I9" s="41"/>
      <c r="J9" s="41"/>
      <c r="K9" s="41"/>
      <c r="L9" s="42"/>
      <c r="M9" s="42"/>
      <c r="N9" s="42"/>
      <c r="O9" s="42"/>
      <c r="P9" s="42"/>
      <c r="Q9" s="43"/>
      <c r="R9" s="43"/>
      <c r="S9" s="43"/>
      <c r="T9" s="43"/>
      <c r="U9" s="43"/>
      <c r="V9" s="43"/>
      <c r="W9" s="38"/>
      <c r="X9" s="36"/>
      <c r="Y9" s="36"/>
      <c r="Z9" s="36"/>
      <c r="AA9" s="36"/>
      <c r="AB9" s="36"/>
      <c r="AC9" s="36"/>
    </row>
    <row r="10" spans="1:29" x14ac:dyDescent="0.35">
      <c r="A10" s="21" t="s">
        <v>163</v>
      </c>
      <c r="C10" s="15">
        <v>-37480154.670074679</v>
      </c>
      <c r="D10" s="39">
        <v>-6517432.7383279288</v>
      </c>
      <c r="E10" s="40">
        <f t="shared" ref="E10:E12" si="3">F10+G10</f>
        <v>-5784744.3431332475</v>
      </c>
      <c r="F10" s="40">
        <v>-5660298.4841597397</v>
      </c>
      <c r="G10" s="40">
        <v>-124445.85897350818</v>
      </c>
      <c r="H10" s="41">
        <f t="shared" ref="H10:H12" si="4">SUM(I10:K10)</f>
        <v>-5794056.12919713</v>
      </c>
      <c r="I10" s="41">
        <v>-5644694.9744100478</v>
      </c>
      <c r="J10" s="41">
        <v>-124445.85897350818</v>
      </c>
      <c r="K10" s="41">
        <v>-24915.295813574427</v>
      </c>
      <c r="L10" s="42">
        <f t="shared" ref="L10:L12" si="5">SUM(M10:P10)</f>
        <v>-5820901.7004153375</v>
      </c>
      <c r="M10" s="42">
        <v>-5621532.6881115884</v>
      </c>
      <c r="N10" s="42">
        <v>-124445.85897350818</v>
      </c>
      <c r="O10" s="42">
        <v>-24915.295813574427</v>
      </c>
      <c r="P10" s="42">
        <v>-50007.857516666518</v>
      </c>
      <c r="Q10" s="43">
        <f t="shared" ref="Q10:Q12" si="6">SUM(R10:V10)</f>
        <v>-5816696.1755459625</v>
      </c>
      <c r="R10" s="43">
        <v>-5592356.9655095357</v>
      </c>
      <c r="S10" s="43">
        <v>-124445.85897350818</v>
      </c>
      <c r="T10" s="43">
        <v>-24915.295813574427</v>
      </c>
      <c r="U10" s="43">
        <v>-50007.857516666518</v>
      </c>
      <c r="V10" s="43">
        <v>-24970.197732677614</v>
      </c>
      <c r="W10" s="38">
        <f>SUM(X10:AC10)</f>
        <v>-5816696.1755459625</v>
      </c>
      <c r="X10" s="38">
        <v>-5592356.9655095357</v>
      </c>
      <c r="Y10" s="36">
        <v>-124445.85897350818</v>
      </c>
      <c r="Z10" s="36">
        <v>-24915.295813574427</v>
      </c>
      <c r="AA10" s="36">
        <v>-50007.857516666518</v>
      </c>
      <c r="AB10" s="36">
        <v>-24970.197732677614</v>
      </c>
      <c r="AC10" s="36">
        <v>0</v>
      </c>
    </row>
    <row r="11" spans="1:29" x14ac:dyDescent="0.35">
      <c r="A11" s="21" t="s">
        <v>164</v>
      </c>
      <c r="C11" s="15">
        <v>-74045586.300000012</v>
      </c>
      <c r="D11" s="39">
        <v>-15861292.85</v>
      </c>
      <c r="E11" s="40">
        <f t="shared" si="3"/>
        <v>-14735261.710907834</v>
      </c>
      <c r="F11" s="40">
        <v>-14334129.810000001</v>
      </c>
      <c r="G11" s="40">
        <v>-401131.90090783336</v>
      </c>
      <c r="H11" s="41">
        <f t="shared" si="4"/>
        <v>-14916727.441040391</v>
      </c>
      <c r="I11" s="41">
        <v>-14111429.18</v>
      </c>
      <c r="J11" s="41">
        <v>-401131.90090783336</v>
      </c>
      <c r="K11" s="41">
        <v>-404166.36013255781</v>
      </c>
      <c r="L11" s="42">
        <f t="shared" si="5"/>
        <v>-14983773.196741007</v>
      </c>
      <c r="M11" s="42">
        <v>-14022598.050000001</v>
      </c>
      <c r="N11" s="42">
        <v>-401131.90090783336</v>
      </c>
      <c r="O11" s="42">
        <v>-404166.36013255781</v>
      </c>
      <c r="P11" s="42">
        <v>-155876.88570061477</v>
      </c>
      <c r="Q11" s="43">
        <f t="shared" si="6"/>
        <v>-15103600.404032245</v>
      </c>
      <c r="R11" s="43">
        <v>-13798087.32</v>
      </c>
      <c r="S11" s="43">
        <v>-401131.90090783336</v>
      </c>
      <c r="T11" s="43">
        <v>-404166.36013255781</v>
      </c>
      <c r="U11" s="43">
        <v>-155876.88570061477</v>
      </c>
      <c r="V11" s="43">
        <v>-344337.93729123793</v>
      </c>
      <c r="W11" s="38">
        <f>SUM(X11:AC11)</f>
        <v>-15164654.207825975</v>
      </c>
      <c r="X11" s="38">
        <v>-13624049.23</v>
      </c>
      <c r="Y11" s="36">
        <v>-401131.90090783336</v>
      </c>
      <c r="Z11" s="36">
        <v>-404166.36013255781</v>
      </c>
      <c r="AA11" s="36">
        <v>-155876.88570061477</v>
      </c>
      <c r="AB11" s="36">
        <v>-344337.93729123793</v>
      </c>
      <c r="AC11" s="36">
        <v>-235091.89379373001</v>
      </c>
    </row>
    <row r="12" spans="1:29" x14ac:dyDescent="0.35">
      <c r="A12" s="21" t="s">
        <v>165</v>
      </c>
      <c r="C12" s="15">
        <v>-11312032.140000001</v>
      </c>
      <c r="D12" s="39">
        <v>-2648938.4500000002</v>
      </c>
      <c r="E12" s="40">
        <f t="shared" si="3"/>
        <v>-2606992.6422379315</v>
      </c>
      <c r="F12" s="40">
        <v>-2584775.39</v>
      </c>
      <c r="G12" s="40">
        <v>-22217.252237931429</v>
      </c>
      <c r="H12" s="41">
        <f t="shared" si="4"/>
        <v>-2666333.60642685</v>
      </c>
      <c r="I12" s="41">
        <v>-2576518.69</v>
      </c>
      <c r="J12" s="41">
        <v>-22217.252237931429</v>
      </c>
      <c r="K12" s="41">
        <v>-67597.664188918599</v>
      </c>
      <c r="L12" s="42">
        <f t="shared" si="5"/>
        <v>-2684151.4282128266</v>
      </c>
      <c r="M12" s="42">
        <v>-2549224.2400000002</v>
      </c>
      <c r="N12" s="42">
        <v>-22217.252237931429</v>
      </c>
      <c r="O12" s="42">
        <v>-67597.664188918599</v>
      </c>
      <c r="P12" s="42">
        <v>-45112.271785976467</v>
      </c>
      <c r="Q12" s="43">
        <f t="shared" si="6"/>
        <v>-2805178.5022866041</v>
      </c>
      <c r="R12" s="43">
        <v>-2485616.0699999998</v>
      </c>
      <c r="S12" s="43">
        <v>-22217.252237931429</v>
      </c>
      <c r="T12" s="43">
        <v>-67597.664188918599</v>
      </c>
      <c r="U12" s="43">
        <v>-45112.271785976467</v>
      </c>
      <c r="V12" s="43">
        <v>-184635.24407377778</v>
      </c>
      <c r="W12" s="38">
        <f>SUM(X12:AC12)</f>
        <v>-2951020.6871276568</v>
      </c>
      <c r="X12" s="38">
        <v>-2394497.52</v>
      </c>
      <c r="Y12" s="36">
        <v>-22217.252237931429</v>
      </c>
      <c r="Z12" s="36">
        <v>-67597.664188918599</v>
      </c>
      <c r="AA12" s="36">
        <v>-45112.271785976467</v>
      </c>
      <c r="AB12" s="36">
        <v>-184635.24407377778</v>
      </c>
      <c r="AC12" s="36">
        <v>-236960.73484105262</v>
      </c>
    </row>
    <row r="13" spans="1:29" x14ac:dyDescent="0.35">
      <c r="C13" s="9"/>
      <c r="D13" s="39"/>
      <c r="E13" s="40"/>
      <c r="F13" s="40"/>
      <c r="G13" s="40"/>
      <c r="H13" s="41"/>
      <c r="I13" s="41"/>
      <c r="J13" s="41"/>
      <c r="K13" s="41"/>
      <c r="L13" s="42"/>
      <c r="M13" s="42"/>
      <c r="N13" s="42"/>
      <c r="O13" s="42"/>
      <c r="P13" s="42"/>
      <c r="Q13" s="43"/>
      <c r="R13" s="43"/>
      <c r="S13" s="43"/>
      <c r="T13" s="43"/>
      <c r="U13" s="43"/>
      <c r="V13" s="43"/>
      <c r="W13" s="38"/>
      <c r="X13" s="36"/>
      <c r="Y13" s="36"/>
      <c r="Z13" s="36"/>
      <c r="AA13" s="36"/>
      <c r="AB13" s="36"/>
      <c r="AC13" s="36"/>
    </row>
    <row r="14" spans="1:29" x14ac:dyDescent="0.35">
      <c r="A14" s="21" t="s">
        <v>111</v>
      </c>
      <c r="C14" s="15">
        <v>-73119777.408275813</v>
      </c>
      <c r="D14" s="39">
        <v>-14770235.51</v>
      </c>
      <c r="E14" s="40">
        <f t="shared" ref="E14:E17" si="7">F14+G14</f>
        <v>-14548129.857713683</v>
      </c>
      <c r="F14" s="40">
        <v>-14045840.15</v>
      </c>
      <c r="G14" s="40">
        <v>-502289.70771368197</v>
      </c>
      <c r="H14" s="41">
        <f t="shared" ref="H14:H17" si="8">SUM(I14:K14)</f>
        <v>-14612191.855812939</v>
      </c>
      <c r="I14" s="41">
        <v>-13983980.74</v>
      </c>
      <c r="J14" s="41">
        <v>-502289.70771368197</v>
      </c>
      <c r="K14" s="41">
        <v>-125921.40809925685</v>
      </c>
      <c r="L14" s="42">
        <f t="shared" ref="L14:L17" si="9">SUM(M14:P14)</f>
        <v>-14713396.818066018</v>
      </c>
      <c r="M14" s="42">
        <v>-13857619.880000001</v>
      </c>
      <c r="N14" s="42">
        <v>-502289.70771368197</v>
      </c>
      <c r="O14" s="42">
        <v>-125921.40809925685</v>
      </c>
      <c r="P14" s="42">
        <v>-227565.82225307898</v>
      </c>
      <c r="Q14" s="43">
        <f t="shared" ref="Q14:Q17" si="10">SUM(R14:V14)</f>
        <v>-14914510.590384694</v>
      </c>
      <c r="R14" s="43">
        <v>-13676034.66</v>
      </c>
      <c r="S14" s="43">
        <v>-502289.70771368197</v>
      </c>
      <c r="T14" s="43">
        <v>-125921.40809925685</v>
      </c>
      <c r="U14" s="43">
        <v>-227565.82225307898</v>
      </c>
      <c r="V14" s="43">
        <v>-382698.99231867719</v>
      </c>
      <c r="W14" s="38">
        <f>SUM(X14:AC14)</f>
        <v>-15049706.818294331</v>
      </c>
      <c r="X14" s="38">
        <v>-13580112.800000001</v>
      </c>
      <c r="Y14" s="36">
        <v>-502289.70771368197</v>
      </c>
      <c r="Z14" s="36">
        <v>-125921.40809925685</v>
      </c>
      <c r="AA14" s="36">
        <v>-227565.82225307898</v>
      </c>
      <c r="AB14" s="36">
        <v>-382698.99231867719</v>
      </c>
      <c r="AC14" s="36">
        <v>-231118.08790963638</v>
      </c>
    </row>
    <row r="15" spans="1:29" x14ac:dyDescent="0.35">
      <c r="A15" s="21" t="s">
        <v>109</v>
      </c>
      <c r="C15" s="15">
        <v>-536895861.46425891</v>
      </c>
      <c r="D15" s="39">
        <v>-102608232.18000001</v>
      </c>
      <c r="E15" s="40">
        <f t="shared" si="7"/>
        <v>-94978241.540912122</v>
      </c>
      <c r="F15" s="40">
        <v>-92314591.260000005</v>
      </c>
      <c r="G15" s="40">
        <v>-2663650.2809121106</v>
      </c>
      <c r="H15" s="41">
        <f t="shared" si="8"/>
        <v>-95284956.906646609</v>
      </c>
      <c r="I15" s="41">
        <v>-90498558.780000001</v>
      </c>
      <c r="J15" s="41">
        <v>-2663650.2809121106</v>
      </c>
      <c r="K15" s="41">
        <v>-2122747.845734485</v>
      </c>
      <c r="L15" s="42">
        <f t="shared" si="9"/>
        <v>-96163729.449750826</v>
      </c>
      <c r="M15" s="42">
        <v>-88225796.449999988</v>
      </c>
      <c r="N15" s="42">
        <v>-2663650.2809121106</v>
      </c>
      <c r="O15" s="42">
        <v>-2122747.845734485</v>
      </c>
      <c r="P15" s="42">
        <v>-3151534.8731042342</v>
      </c>
      <c r="Q15" s="43">
        <f t="shared" si="10"/>
        <v>-97333380.533621028</v>
      </c>
      <c r="R15" s="43">
        <v>-86114198.030000001</v>
      </c>
      <c r="S15" s="43">
        <v>-2663650.2809121106</v>
      </c>
      <c r="T15" s="43">
        <v>-2122747.845734485</v>
      </c>
      <c r="U15" s="43">
        <v>-3151534.8731042342</v>
      </c>
      <c r="V15" s="43">
        <v>-3281249.5038701938</v>
      </c>
      <c r="W15" s="38">
        <f>SUM(X15:AC15)</f>
        <v>-98628167.508382797</v>
      </c>
      <c r="X15" s="38">
        <v>-83770056.370000005</v>
      </c>
      <c r="Y15" s="36">
        <v>-2663650.2809121106</v>
      </c>
      <c r="Z15" s="36">
        <v>-2122747.845734485</v>
      </c>
      <c r="AA15" s="36">
        <v>-3151534.8731042342</v>
      </c>
      <c r="AB15" s="36">
        <v>-3281249.5038701938</v>
      </c>
      <c r="AC15" s="36">
        <v>-3638928.6347617689</v>
      </c>
    </row>
    <row r="16" spans="1:29" x14ac:dyDescent="0.35">
      <c r="A16" s="21" t="s">
        <v>112</v>
      </c>
      <c r="C16" s="15">
        <v>-178991537.81349346</v>
      </c>
      <c r="D16" s="39">
        <v>-33803703.399999999</v>
      </c>
      <c r="E16" s="40">
        <f t="shared" si="7"/>
        <v>-32205654.396168206</v>
      </c>
      <c r="F16" s="40">
        <v>-30507763.039999999</v>
      </c>
      <c r="G16" s="40">
        <v>-1697891.3561682054</v>
      </c>
      <c r="H16" s="41">
        <f t="shared" si="8"/>
        <v>-32700006.25956393</v>
      </c>
      <c r="I16" s="41">
        <v>-29478655.370000001</v>
      </c>
      <c r="J16" s="41">
        <v>-1697891.3561682054</v>
      </c>
      <c r="K16" s="41">
        <v>-1523459.5333957237</v>
      </c>
      <c r="L16" s="42">
        <f t="shared" si="9"/>
        <v>-33139291.094920445</v>
      </c>
      <c r="M16" s="42">
        <v>-28656982.460000001</v>
      </c>
      <c r="N16" s="42">
        <v>-1697891.3561682054</v>
      </c>
      <c r="O16" s="42">
        <v>-1523459.5333957237</v>
      </c>
      <c r="P16" s="42">
        <v>-1260957.745356516</v>
      </c>
      <c r="Q16" s="43">
        <f t="shared" si="10"/>
        <v>-33422414.004300602</v>
      </c>
      <c r="R16" s="43">
        <v>-27763104.98</v>
      </c>
      <c r="S16" s="43">
        <v>-1697891.3561682054</v>
      </c>
      <c r="T16" s="43">
        <v>-1523459.5333957237</v>
      </c>
      <c r="U16" s="43">
        <v>-1260957.745356516</v>
      </c>
      <c r="V16" s="43">
        <v>-1177000.3893801568</v>
      </c>
      <c r="W16" s="38">
        <f>SUM(X16:AC16)</f>
        <v>-33710386.666032307</v>
      </c>
      <c r="X16" s="38">
        <v>-26786290.280000001</v>
      </c>
      <c r="Y16" s="36">
        <v>-1697891.3561682054</v>
      </c>
      <c r="Z16" s="36">
        <v>-1523459.5333957237</v>
      </c>
      <c r="AA16" s="36">
        <v>-1260957.745356516</v>
      </c>
      <c r="AB16" s="36">
        <v>-1177000.3893801568</v>
      </c>
      <c r="AC16" s="36">
        <v>-1264787.3617317078</v>
      </c>
    </row>
    <row r="17" spans="1:31" x14ac:dyDescent="0.35">
      <c r="A17" s="21" t="s">
        <v>167</v>
      </c>
      <c r="C17" s="15">
        <v>-47678177.110878319</v>
      </c>
      <c r="D17" s="39">
        <v>-5206570.0600000015</v>
      </c>
      <c r="E17" s="40">
        <f t="shared" si="7"/>
        <v>-5058661.1594740227</v>
      </c>
      <c r="F17" s="40">
        <v>-5039940.6300000008</v>
      </c>
      <c r="G17" s="40">
        <v>-18720.529474022325</v>
      </c>
      <c r="H17" s="41">
        <f t="shared" si="8"/>
        <v>-5058661.1594740227</v>
      </c>
      <c r="I17" s="41">
        <v>-5039940.6300000008</v>
      </c>
      <c r="J17" s="41">
        <v>-18720.529474022325</v>
      </c>
      <c r="K17" s="41">
        <v>0</v>
      </c>
      <c r="L17" s="42">
        <f t="shared" si="9"/>
        <v>-5096608.3494118163</v>
      </c>
      <c r="M17" s="42">
        <v>-4983927.24</v>
      </c>
      <c r="N17" s="42">
        <v>-18720.529474022325</v>
      </c>
      <c r="O17" s="42">
        <v>0</v>
      </c>
      <c r="P17" s="42">
        <v>-93960.579937794566</v>
      </c>
      <c r="Q17" s="43">
        <f t="shared" si="10"/>
        <v>-5096608.3494118163</v>
      </c>
      <c r="R17" s="43">
        <v>-4983927.24</v>
      </c>
      <c r="S17" s="43">
        <v>-18720.529474022325</v>
      </c>
      <c r="T17" s="43">
        <v>0</v>
      </c>
      <c r="U17" s="43">
        <v>-93960.579937794566</v>
      </c>
      <c r="V17" s="43">
        <v>0</v>
      </c>
      <c r="W17" s="38">
        <f>SUM(X17:AC17)</f>
        <v>-5096608.3494118163</v>
      </c>
      <c r="X17" s="38">
        <v>-4983927.24</v>
      </c>
      <c r="Y17" s="36">
        <v>-18720.529474022325</v>
      </c>
      <c r="Z17" s="36">
        <v>0</v>
      </c>
      <c r="AA17" s="36">
        <v>-93960.579937794566</v>
      </c>
      <c r="AB17" s="36">
        <v>0</v>
      </c>
      <c r="AC17" s="36">
        <v>0</v>
      </c>
    </row>
    <row r="18" spans="1:31" x14ac:dyDescent="0.35">
      <c r="C18" s="9"/>
      <c r="D18" s="39"/>
      <c r="E18" s="40"/>
      <c r="F18" s="40"/>
      <c r="G18" s="40"/>
      <c r="H18" s="41"/>
      <c r="I18" s="41"/>
      <c r="J18" s="41"/>
      <c r="K18" s="41"/>
      <c r="L18" s="42"/>
      <c r="M18" s="42"/>
      <c r="N18" s="42"/>
      <c r="O18" s="42"/>
      <c r="P18" s="42"/>
      <c r="Q18" s="43"/>
      <c r="R18" s="43"/>
      <c r="S18" s="43"/>
      <c r="T18" s="43"/>
      <c r="U18" s="43"/>
      <c r="V18" s="43"/>
      <c r="W18" s="38"/>
      <c r="X18" s="36"/>
      <c r="Y18" s="36"/>
      <c r="Z18" s="36"/>
      <c r="AA18" s="36"/>
      <c r="AB18" s="36"/>
      <c r="AC18" s="36"/>
    </row>
    <row r="19" spans="1:31" x14ac:dyDescent="0.35">
      <c r="A19" t="s">
        <v>168</v>
      </c>
      <c r="C19" s="15">
        <v>-68429946.160736322</v>
      </c>
      <c r="D19" s="39"/>
      <c r="E19" s="40"/>
      <c r="F19" s="40"/>
      <c r="G19" s="40"/>
      <c r="H19" s="41"/>
      <c r="I19" s="41"/>
      <c r="J19" s="41"/>
      <c r="K19" s="41"/>
      <c r="L19" s="42"/>
      <c r="M19" s="42"/>
      <c r="N19" s="42"/>
      <c r="O19" s="42"/>
      <c r="P19" s="42"/>
      <c r="Q19" s="43"/>
      <c r="R19" s="43"/>
      <c r="S19" s="43"/>
      <c r="T19" s="43"/>
      <c r="U19" s="43"/>
      <c r="V19" s="43"/>
      <c r="W19" s="38"/>
      <c r="X19" s="36"/>
      <c r="Y19" s="36"/>
      <c r="Z19" s="36"/>
      <c r="AA19" s="36"/>
      <c r="AB19" s="36"/>
      <c r="AC19" s="36"/>
    </row>
    <row r="20" spans="1:31" x14ac:dyDescent="0.35">
      <c r="A20" s="21" t="s">
        <v>168</v>
      </c>
      <c r="C20" s="24"/>
      <c r="D20" s="39">
        <v>-14741879.785020979</v>
      </c>
      <c r="E20" s="40">
        <f t="shared" ref="E20:E21" si="11">F20+G20</f>
        <v>-14480407.79269826</v>
      </c>
      <c r="F20" s="40">
        <v>-14241679.807199104</v>
      </c>
      <c r="G20" s="40">
        <v>-238727.98549915632</v>
      </c>
      <c r="H20" s="41">
        <f t="shared" ref="H20:H21" si="12">SUM(I20:K20)</f>
        <v>-14801282.446340268</v>
      </c>
      <c r="I20" s="41">
        <v>-14082548.302944425</v>
      </c>
      <c r="J20" s="41">
        <v>-238727.98549915632</v>
      </c>
      <c r="K20" s="41">
        <v>-480006.15789668693</v>
      </c>
      <c r="L20" s="42">
        <f t="shared" ref="L20:L21" si="13">SUM(M20:P20)</f>
        <v>-14977426.98243501</v>
      </c>
      <c r="M20" s="42">
        <v>-13958201.328684259</v>
      </c>
      <c r="N20" s="42">
        <v>-238727.98549915632</v>
      </c>
      <c r="O20" s="42">
        <v>-480006.15789668693</v>
      </c>
      <c r="P20" s="42">
        <v>-300491.51035490789</v>
      </c>
      <c r="Q20" s="43">
        <f t="shared" ref="Q20:Q21" si="14">SUM(R20:V20)</f>
        <v>-15415047.04312644</v>
      </c>
      <c r="R20" s="43">
        <v>-13671127.356504958</v>
      </c>
      <c r="S20" s="43">
        <v>-238727.98549915632</v>
      </c>
      <c r="T20" s="43">
        <v>-480006.15789668693</v>
      </c>
      <c r="U20" s="43">
        <v>-300491.51035490789</v>
      </c>
      <c r="V20" s="43">
        <v>-724694.03287073097</v>
      </c>
      <c r="W20" s="38">
        <f>SUM(X20:AC20)</f>
        <v>-15620041.367354209</v>
      </c>
      <c r="X20" s="38">
        <v>-13453706.348407386</v>
      </c>
      <c r="Y20" s="36">
        <v>-238727.98549915632</v>
      </c>
      <c r="Z20" s="36">
        <v>-480006.15789668693</v>
      </c>
      <c r="AA20" s="36">
        <v>-300491.51035490789</v>
      </c>
      <c r="AB20" s="36">
        <v>-724694.03287073097</v>
      </c>
      <c r="AC20" s="36">
        <v>-422415.3323253417</v>
      </c>
    </row>
    <row r="21" spans="1:31" x14ac:dyDescent="0.35">
      <c r="A21" s="21" t="s">
        <v>168</v>
      </c>
      <c r="C21" s="24"/>
      <c r="D21" s="39">
        <v>-496183.97641602141</v>
      </c>
      <c r="E21" s="40">
        <f t="shared" si="11"/>
        <v>-496183.97641602141</v>
      </c>
      <c r="F21" s="40">
        <v>-496183.97641602141</v>
      </c>
      <c r="G21" s="40">
        <v>0</v>
      </c>
      <c r="H21" s="41">
        <f t="shared" si="12"/>
        <v>-496183.97641602141</v>
      </c>
      <c r="I21" s="41">
        <v>-496183.97641602141</v>
      </c>
      <c r="J21" s="41">
        <v>0</v>
      </c>
      <c r="K21" s="41">
        <v>0</v>
      </c>
      <c r="L21" s="42">
        <f t="shared" si="13"/>
        <v>-496183.97641602141</v>
      </c>
      <c r="M21" s="42">
        <v>-496183.97641602141</v>
      </c>
      <c r="N21" s="42">
        <v>0</v>
      </c>
      <c r="O21" s="42">
        <v>0</v>
      </c>
      <c r="P21" s="42">
        <v>0</v>
      </c>
      <c r="Q21" s="43">
        <f t="shared" si="14"/>
        <v>-496183.97641602141</v>
      </c>
      <c r="R21" s="43">
        <v>-496183.97641602141</v>
      </c>
      <c r="S21" s="43">
        <v>0</v>
      </c>
      <c r="T21" s="43">
        <v>0</v>
      </c>
      <c r="U21" s="43">
        <v>0</v>
      </c>
      <c r="V21" s="43">
        <v>0</v>
      </c>
      <c r="W21" s="38">
        <f>SUM(X21:AC21)</f>
        <v>-496183.97641602141</v>
      </c>
      <c r="X21" s="38">
        <v>-496183.97641602141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</row>
    <row r="22" spans="1:31" x14ac:dyDescent="0.35">
      <c r="V22" s="43"/>
      <c r="AB22" s="36"/>
    </row>
    <row r="24" spans="1:31" x14ac:dyDescent="0.35">
      <c r="C24" s="9">
        <f>SUM(C4:C21)</f>
        <v>-1071890047.5378685</v>
      </c>
      <c r="D24" s="9">
        <f>SUM(D4:D21)</f>
        <v>-206357306.70672768</v>
      </c>
      <c r="E24" s="9">
        <f>SUM(E4:E21)</f>
        <v>-193114221.4840309</v>
      </c>
      <c r="H24" s="9">
        <f>SUM(H4:H21)</f>
        <v>-194551745.557926</v>
      </c>
      <c r="L24" s="9">
        <f>SUM(L4:L21)</f>
        <v>-196258652.8275083</v>
      </c>
      <c r="Q24" s="9">
        <f>SUM(Q4:Q21)</f>
        <v>-198531861.26133996</v>
      </c>
      <c r="W24" s="9">
        <f>SUM(W4:W21)</f>
        <v>-200506348.15638644</v>
      </c>
      <c r="AE24" s="9">
        <f>SUM(C24:W24)</f>
        <v>-2261210183.5317879</v>
      </c>
    </row>
    <row r="26" spans="1:31" x14ac:dyDescent="0.35">
      <c r="AE26" s="44">
        <v>2463655664</v>
      </c>
    </row>
    <row r="28" spans="1:31" x14ac:dyDescent="0.35">
      <c r="AE28" s="45">
        <f>-AE24/AE26</f>
        <v>0.91782720149311736</v>
      </c>
    </row>
    <row r="29" spans="1:31" x14ac:dyDescent="0.35">
      <c r="D29" s="9">
        <f>SUM(D4:D21)</f>
        <v>-206357306.70672768</v>
      </c>
      <c r="F29" s="9">
        <f>SUM(F4:F21)</f>
        <v>-187389866.72637436</v>
      </c>
      <c r="I29" s="9">
        <f>SUM(I4:I21)</f>
        <v>-183897688.48621953</v>
      </c>
      <c r="M29" s="9">
        <f>SUM(M4:M21)</f>
        <v>-180263487.05863109</v>
      </c>
      <c r="R29" s="9">
        <f>SUM(R4:R21)</f>
        <v>-176237617.39712438</v>
      </c>
      <c r="X29" s="9">
        <f>SUM(X4:X21)</f>
        <v>-172100270.61794996</v>
      </c>
      <c r="Y29">
        <f>SUM(A29:X29)</f>
        <v>-1106246236.993027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3E63EC12842447A4B14432922A636A" ma:contentTypeVersion="6" ma:contentTypeDescription="Create a new document." ma:contentTypeScope="" ma:versionID="ccff78401b22508210a0f2fd5030a7e0">
  <xsd:schema xmlns:xsd="http://www.w3.org/2001/XMLSchema" xmlns:xs="http://www.w3.org/2001/XMLSchema" xmlns:p="http://schemas.microsoft.com/office/2006/metadata/properties" xmlns:ns2="116c225d-2ac5-4466-8457-2b38377d0b58" xmlns:ns3="103faf84-1a31-4778-8652-dd0957278219" targetNamespace="http://schemas.microsoft.com/office/2006/metadata/properties" ma:root="true" ma:fieldsID="090591408561f959c3d8fcfc715a082d" ns2:_="" ns3:_="">
    <xsd:import namespace="116c225d-2ac5-4466-8457-2b38377d0b58"/>
    <xsd:import namespace="103faf84-1a31-4778-8652-dd09572782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c225d-2ac5-4466-8457-2b38377d0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3faf84-1a31-4778-8652-dd09572782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772BDF-C6E7-432E-8E3F-4743A8C160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5C9A071-9F25-4219-AC5C-0E7DC4986F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BFC18F-2CD2-45A8-B3D8-DE66FF9D1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6c225d-2ac5-4466-8457-2b38377d0b58"/>
    <ds:schemaRef ds:uri="103faf84-1a31-4778-8652-dd09572782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BOT</vt:lpstr>
      <vt:lpstr>GHA</vt:lpstr>
      <vt:lpstr>GHC</vt:lpstr>
      <vt:lpstr>MOZ</vt:lpstr>
      <vt:lpstr>NAM</vt:lpstr>
      <vt:lpstr>LES</vt:lpstr>
      <vt:lpstr>Central &amp; Commercial</vt:lpstr>
      <vt:lpstr>Inland</vt:lpstr>
      <vt:lpstr>Coastal</vt:lpstr>
      <vt:lpstr>Public Sector</vt:lpstr>
      <vt:lpstr>Legal</vt:lpstr>
      <vt:lpstr>iLease</vt:lpstr>
      <vt:lpstr>Company Cars</vt:lpstr>
      <vt:lpstr>ZAM</vt:lpstr>
      <vt:lpstr>ZMK</vt:lpstr>
      <vt:lpstr>Summary</vt:lpstr>
      <vt:lpstr>Calculations</vt:lpstr>
      <vt:lpstr>RSA Split</vt:lpstr>
      <vt:lpstr>Forecast</vt:lpstr>
      <vt:lpstr>Risk Map</vt:lpstr>
      <vt:lpstr>Botswana</vt:lpstr>
      <vt:lpstr>Ghana</vt:lpstr>
      <vt:lpstr>Mozambique</vt:lpstr>
      <vt:lpstr>Namibia</vt:lpstr>
      <vt:lpstr>Lesotho</vt:lpstr>
      <vt:lpstr>Central</vt:lpstr>
      <vt:lpstr>Coastal graph</vt:lpstr>
      <vt:lpstr>Inland graph</vt:lpstr>
      <vt:lpstr>Public</vt:lpstr>
      <vt:lpstr>Zambia</vt:lpstr>
      <vt:lpstr>Consul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Predityle Davhana</cp:lastModifiedBy>
  <cp:revision/>
  <dcterms:created xsi:type="dcterms:W3CDTF">2024-02-01T10:25:10Z</dcterms:created>
  <dcterms:modified xsi:type="dcterms:W3CDTF">2025-11-18T11:42:16Z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0x010100F83E63EC12842447A4B14432922A636A</vt:lpwstr>
  </property>
</Properties>
</file>